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yroff\IT\DataBase\pgsql\"/>
    </mc:Choice>
  </mc:AlternateContent>
  <bookViews>
    <workbookView xWindow="0" yWindow="60" windowWidth="9600" windowHeight="2208" activeTab="7"/>
  </bookViews>
  <sheets>
    <sheet name="Нормы" sheetId="1" r:id="rId1"/>
    <sheet name="0,66 кВ, фасонные жилы" sheetId="3" state="hidden" r:id="rId2"/>
    <sheet name="1 кВ, круглые жилы" sheetId="4" state="hidden" r:id="rId3"/>
    <sheet name="1 кВ, фасонные жилы" sheetId="5" state="hidden" r:id="rId4"/>
    <sheet name="3 кВ, круглые жилы" sheetId="6" state="hidden" r:id="rId5"/>
    <sheet name="3 кВ, фасонные жилы" sheetId="7" state="hidden" r:id="rId6"/>
    <sheet name="Данные ТНПА" sheetId="10" r:id="rId7"/>
    <sheet name="Лист1" sheetId="11" r:id="rId8"/>
  </sheets>
  <definedNames>
    <definedName name="_xlnm._FilterDatabase" localSheetId="0" hidden="1">Нормы!$A$9:$K$261</definedName>
    <definedName name="ПластикатИзоляции">'Данные ТНПА'!$T$1:$T$7</definedName>
    <definedName name="ПлотностьИзоляции">Нормы!#REF!</definedName>
    <definedName name="ПлотностьКорделя">Нормы!#REF!</definedName>
    <definedName name="ПлотностьОболочки">Нормы!#REF!</definedName>
    <definedName name="ПлотностьПояснойИзоляции">Нормы!#REF!</definedName>
    <definedName name="ТипОболочки">'Данные ТНПА'!$AB$1:$AB$7</definedName>
  </definedNames>
  <calcPr calcId="152511"/>
</workbook>
</file>

<file path=xl/calcChain.xml><?xml version="1.0" encoding="utf-8"?>
<calcChain xmlns="http://schemas.openxmlformats.org/spreadsheetml/2006/main">
  <c r="L9" i="11" l="1"/>
  <c r="L10" i="11"/>
  <c r="L11" i="11"/>
  <c r="L12" i="11"/>
  <c r="L13" i="11"/>
  <c r="L14" i="11"/>
  <c r="L15" i="11"/>
  <c r="L16" i="11"/>
  <c r="L17" i="11"/>
  <c r="L18" i="11"/>
  <c r="L8" i="1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L174" i="1"/>
  <c r="L76" i="1"/>
  <c r="AC9" i="10" l="1"/>
  <c r="AC10" i="10"/>
  <c r="AC11" i="10"/>
  <c r="AC12" i="10"/>
  <c r="AC13" i="10"/>
  <c r="AC14" i="10"/>
  <c r="AC15" i="10"/>
  <c r="AC8" i="10"/>
  <c r="AB10" i="10"/>
  <c r="AB11" i="10"/>
  <c r="AB12" i="10" s="1"/>
  <c r="AB13" i="10" s="1"/>
  <c r="AB14" i="10" s="1"/>
  <c r="AB15" i="10" s="1"/>
  <c r="AB9" i="10"/>
  <c r="F9" i="10"/>
  <c r="F10" i="10"/>
  <c r="F11" i="10"/>
  <c r="F12" i="10"/>
  <c r="F13" i="10"/>
  <c r="F14" i="10"/>
  <c r="F15" i="10"/>
  <c r="F16" i="10"/>
  <c r="F8" i="10"/>
  <c r="E9" i="10"/>
  <c r="E10" i="10" s="1"/>
  <c r="E11" i="10" s="1"/>
  <c r="E12" i="10" s="1"/>
  <c r="E13" i="10" s="1"/>
  <c r="E14" i="10" s="1"/>
  <c r="E15" i="10" s="1"/>
  <c r="E16" i="10" s="1"/>
  <c r="E8" i="10"/>
  <c r="E37" i="10" l="1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D18" i="10"/>
  <c r="D19" i="10"/>
  <c r="D20" i="10"/>
  <c r="D21" i="10"/>
  <c r="D22" i="10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BY12" i="1" l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11" i="1"/>
  <c r="BY10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71" i="1"/>
  <c r="BX72" i="1"/>
  <c r="BX73" i="1"/>
  <c r="BX74" i="1"/>
  <c r="BX75" i="1"/>
  <c r="BX76" i="1"/>
  <c r="BX77" i="1"/>
  <c r="BX78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0" i="1"/>
  <c r="K254" i="1"/>
  <c r="K253" i="1"/>
  <c r="K252" i="1"/>
  <c r="K244" i="1"/>
  <c r="K243" i="1"/>
  <c r="K242" i="1"/>
  <c r="K234" i="1"/>
  <c r="K233" i="1"/>
  <c r="K232" i="1"/>
  <c r="K224" i="1"/>
  <c r="K223" i="1"/>
  <c r="K222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89" i="1"/>
  <c r="K188" i="1"/>
  <c r="K187" i="1"/>
  <c r="K186" i="1"/>
  <c r="K177" i="1"/>
  <c r="K176" i="1"/>
  <c r="K175" i="1"/>
  <c r="K174" i="1"/>
  <c r="K165" i="1"/>
  <c r="K164" i="1"/>
  <c r="K163" i="1"/>
  <c r="K162" i="1"/>
  <c r="K153" i="1"/>
  <c r="K152" i="1"/>
  <c r="K151" i="1"/>
  <c r="K150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18" i="1"/>
  <c r="K117" i="1"/>
  <c r="K116" i="1"/>
  <c r="K108" i="1"/>
  <c r="K107" i="1"/>
  <c r="K106" i="1"/>
  <c r="K98" i="1"/>
  <c r="K97" i="1"/>
  <c r="K96" i="1"/>
  <c r="K87" i="1"/>
  <c r="K86" i="1"/>
  <c r="K85" i="1"/>
  <c r="K84" i="1"/>
  <c r="K83" i="1"/>
  <c r="K74" i="1"/>
  <c r="K73" i="1"/>
  <c r="K72" i="1"/>
  <c r="K71" i="1"/>
  <c r="K70" i="1"/>
  <c r="K61" i="1"/>
  <c r="K60" i="1"/>
  <c r="K59" i="1"/>
  <c r="K58" i="1"/>
  <c r="K49" i="1"/>
  <c r="K48" i="1"/>
  <c r="K47" i="1"/>
  <c r="K46" i="1"/>
  <c r="K37" i="1"/>
  <c r="K36" i="1"/>
  <c r="K35" i="1"/>
  <c r="K34" i="1"/>
  <c r="K25" i="1"/>
  <c r="K24" i="1"/>
  <c r="K23" i="1"/>
  <c r="K22" i="1"/>
  <c r="K13" i="1"/>
  <c r="K12" i="1"/>
  <c r="K11" i="1"/>
  <c r="K10" i="1"/>
  <c r="K19" i="1"/>
  <c r="K261" i="1"/>
  <c r="K260" i="1"/>
  <c r="K259" i="1"/>
  <c r="K258" i="1"/>
  <c r="K257" i="1"/>
  <c r="K256" i="1"/>
  <c r="K255" i="1"/>
  <c r="K251" i="1"/>
  <c r="K250" i="1"/>
  <c r="K249" i="1"/>
  <c r="K248" i="1"/>
  <c r="K247" i="1"/>
  <c r="K246" i="1"/>
  <c r="K245" i="1"/>
  <c r="K241" i="1"/>
  <c r="K240" i="1"/>
  <c r="K239" i="1"/>
  <c r="K238" i="1"/>
  <c r="K237" i="1"/>
  <c r="K236" i="1"/>
  <c r="K235" i="1"/>
  <c r="K231" i="1"/>
  <c r="K230" i="1"/>
  <c r="K229" i="1"/>
  <c r="K228" i="1"/>
  <c r="K227" i="1"/>
  <c r="K226" i="1"/>
  <c r="K225" i="1"/>
  <c r="K221" i="1"/>
  <c r="K220" i="1"/>
  <c r="K219" i="1"/>
  <c r="K218" i="1"/>
  <c r="K217" i="1"/>
  <c r="K216" i="1"/>
  <c r="K215" i="1"/>
  <c r="K214" i="1"/>
  <c r="K213" i="1"/>
  <c r="K197" i="1"/>
  <c r="K196" i="1"/>
  <c r="K195" i="1"/>
  <c r="K194" i="1"/>
  <c r="K193" i="1"/>
  <c r="K192" i="1"/>
  <c r="K191" i="1"/>
  <c r="K190" i="1"/>
  <c r="K185" i="1"/>
  <c r="K184" i="1"/>
  <c r="K183" i="1"/>
  <c r="K182" i="1"/>
  <c r="K181" i="1"/>
  <c r="K180" i="1"/>
  <c r="K179" i="1"/>
  <c r="K178" i="1"/>
  <c r="K173" i="1"/>
  <c r="K172" i="1"/>
  <c r="K171" i="1"/>
  <c r="K170" i="1"/>
  <c r="K169" i="1"/>
  <c r="K168" i="1"/>
  <c r="K167" i="1"/>
  <c r="K166" i="1"/>
  <c r="K161" i="1"/>
  <c r="K160" i="1"/>
  <c r="K159" i="1"/>
  <c r="K158" i="1"/>
  <c r="K157" i="1"/>
  <c r="K156" i="1"/>
  <c r="K155" i="1"/>
  <c r="K154" i="1"/>
  <c r="K149" i="1"/>
  <c r="K148" i="1"/>
  <c r="K147" i="1"/>
  <c r="K146" i="1"/>
  <c r="K145" i="1"/>
  <c r="K144" i="1"/>
  <c r="K143" i="1"/>
  <c r="K142" i="1"/>
  <c r="K125" i="1"/>
  <c r="K124" i="1"/>
  <c r="K123" i="1"/>
  <c r="K122" i="1"/>
  <c r="K121" i="1"/>
  <c r="K120" i="1"/>
  <c r="K119" i="1"/>
  <c r="K115" i="1"/>
  <c r="K114" i="1"/>
  <c r="K113" i="1"/>
  <c r="K112" i="1"/>
  <c r="K111" i="1"/>
  <c r="K110" i="1"/>
  <c r="K109" i="1"/>
  <c r="K105" i="1"/>
  <c r="K104" i="1"/>
  <c r="K103" i="1"/>
  <c r="K102" i="1"/>
  <c r="K101" i="1"/>
  <c r="K100" i="1"/>
  <c r="K99" i="1"/>
  <c r="K95" i="1"/>
  <c r="K94" i="1"/>
  <c r="K93" i="1"/>
  <c r="K92" i="1"/>
  <c r="K91" i="1"/>
  <c r="K90" i="1"/>
  <c r="K89" i="1"/>
  <c r="K88" i="1"/>
  <c r="K82" i="1"/>
  <c r="K81" i="1"/>
  <c r="K80" i="1"/>
  <c r="K79" i="1"/>
  <c r="K78" i="1"/>
  <c r="K77" i="1"/>
  <c r="K76" i="1"/>
  <c r="K75" i="1"/>
  <c r="K69" i="1"/>
  <c r="K68" i="1"/>
  <c r="K67" i="1"/>
  <c r="K66" i="1"/>
  <c r="K65" i="1"/>
  <c r="K64" i="1"/>
  <c r="K63" i="1"/>
  <c r="K62" i="1"/>
  <c r="K57" i="1"/>
  <c r="K56" i="1"/>
  <c r="K55" i="1"/>
  <c r="K54" i="1"/>
  <c r="K53" i="1"/>
  <c r="K52" i="1"/>
  <c r="K51" i="1"/>
  <c r="K50" i="1"/>
  <c r="K45" i="1"/>
  <c r="K44" i="1"/>
  <c r="K43" i="1"/>
  <c r="K42" i="1"/>
  <c r="K41" i="1"/>
  <c r="K40" i="1"/>
  <c r="K39" i="1"/>
  <c r="K38" i="1"/>
  <c r="K33" i="1"/>
  <c r="K32" i="1"/>
  <c r="K31" i="1"/>
  <c r="K30" i="1"/>
  <c r="K29" i="1"/>
  <c r="K28" i="1"/>
  <c r="K27" i="1"/>
  <c r="K26" i="1"/>
  <c r="K21" i="1"/>
  <c r="K20" i="1"/>
  <c r="K18" i="1"/>
  <c r="K17" i="1"/>
  <c r="K16" i="1"/>
  <c r="K15" i="1"/>
  <c r="K14" i="1"/>
  <c r="E17" i="10" l="1"/>
  <c r="AX9" i="1"/>
  <c r="AR9" i="1"/>
  <c r="AL9" i="1"/>
  <c r="A212" i="1"/>
  <c r="A211" i="1"/>
  <c r="A210" i="1"/>
  <c r="A209" i="1"/>
  <c r="A208" i="1"/>
  <c r="A207" i="1"/>
  <c r="A206" i="1"/>
  <c r="A204" i="1"/>
  <c r="A203" i="1"/>
  <c r="A201" i="1"/>
  <c r="A200" i="1"/>
  <c r="A199" i="1"/>
  <c r="A198" i="1"/>
  <c r="A217" i="1"/>
  <c r="A215" i="1"/>
  <c r="A214" i="1"/>
  <c r="G213" i="1"/>
  <c r="G149" i="1"/>
  <c r="G127" i="1"/>
  <c r="G148" i="1"/>
  <c r="AC148" i="1" s="1"/>
  <c r="AG148" i="1" s="1"/>
  <c r="A141" i="1"/>
  <c r="A140" i="1"/>
  <c r="AC130" i="1"/>
  <c r="AC131" i="1"/>
  <c r="A129" i="1"/>
  <c r="AA145" i="1"/>
  <c r="CB145" i="1" s="1"/>
  <c r="AA147" i="1"/>
  <c r="CB147" i="1" s="1"/>
  <c r="G154" i="1"/>
  <c r="AC147" i="1"/>
  <c r="A139" i="1"/>
  <c r="AA146" i="1"/>
  <c r="CB146" i="1" s="1"/>
  <c r="AC145" i="1"/>
  <c r="A137" i="1"/>
  <c r="AA144" i="1"/>
  <c r="CB144" i="1" s="1"/>
  <c r="A135" i="1"/>
  <c r="A134" i="1"/>
  <c r="A133" i="1"/>
  <c r="A131" i="1"/>
  <c r="AA132" i="1"/>
  <c r="CB132" i="1" s="1"/>
  <c r="A142" i="1"/>
  <c r="G189" i="1"/>
  <c r="G188" i="1"/>
  <c r="AC79" i="1" s="1"/>
  <c r="AG79" i="1" s="1"/>
  <c r="G197" i="1"/>
  <c r="G187" i="1"/>
  <c r="G196" i="1"/>
  <c r="G186" i="1"/>
  <c r="G195" i="1"/>
  <c r="G194" i="1"/>
  <c r="G193" i="1"/>
  <c r="G192" i="1"/>
  <c r="G191" i="1"/>
  <c r="G190" i="1"/>
  <c r="G177" i="1"/>
  <c r="G176" i="1"/>
  <c r="G185" i="1"/>
  <c r="G175" i="1"/>
  <c r="G184" i="1"/>
  <c r="G174" i="1"/>
  <c r="G183" i="1"/>
  <c r="G182" i="1"/>
  <c r="G181" i="1"/>
  <c r="G180" i="1"/>
  <c r="G179" i="1"/>
  <c r="G178" i="1"/>
  <c r="G153" i="1"/>
  <c r="G152" i="1"/>
  <c r="G161" i="1"/>
  <c r="G151" i="1"/>
  <c r="G160" i="1"/>
  <c r="G150" i="1"/>
  <c r="G159" i="1"/>
  <c r="G158" i="1"/>
  <c r="G157" i="1"/>
  <c r="G156" i="1"/>
  <c r="G155" i="1"/>
  <c r="AC82" i="1"/>
  <c r="AG82" i="1" s="1"/>
  <c r="AA82" i="1"/>
  <c r="CB82" i="1" s="1"/>
  <c r="A74" i="1"/>
  <c r="AC81" i="1"/>
  <c r="AG81" i="1" s="1"/>
  <c r="AA81" i="1"/>
  <c r="CB81" i="1" s="1"/>
  <c r="A82" i="1"/>
  <c r="AC80" i="1"/>
  <c r="AG80" i="1" s="1"/>
  <c r="AA80" i="1"/>
  <c r="CB80" i="1" s="1"/>
  <c r="A73" i="1"/>
  <c r="A81" i="1"/>
  <c r="AC78" i="1"/>
  <c r="AG78" i="1" s="1"/>
  <c r="AA78" i="1"/>
  <c r="CB78" i="1" s="1"/>
  <c r="A72" i="1"/>
  <c r="A80" i="1"/>
  <c r="A71" i="1"/>
  <c r="A79" i="1"/>
  <c r="A70" i="1"/>
  <c r="AA73" i="1"/>
  <c r="CB73" i="1" s="1"/>
  <c r="A78" i="1"/>
  <c r="A77" i="1"/>
  <c r="A76" i="1"/>
  <c r="A75" i="1"/>
  <c r="BB33" i="1"/>
  <c r="BA33" i="1" s="1"/>
  <c r="AC33" i="1"/>
  <c r="AG33" i="1" s="1"/>
  <c r="AA33" i="1"/>
  <c r="CB33" i="1" s="1"/>
  <c r="A25" i="1"/>
  <c r="BB32" i="1"/>
  <c r="BA32" i="1" s="1"/>
  <c r="AC32" i="1"/>
  <c r="AG32" i="1" s="1"/>
  <c r="AA32" i="1"/>
  <c r="CB32" i="1" s="1"/>
  <c r="A24" i="1"/>
  <c r="BB31" i="1"/>
  <c r="BA31" i="1" s="1"/>
  <c r="AC31" i="1"/>
  <c r="AG31" i="1" s="1"/>
  <c r="AA31" i="1"/>
  <c r="CB31" i="1" s="1"/>
  <c r="A33" i="1"/>
  <c r="BB30" i="1"/>
  <c r="BA30" i="1" s="1"/>
  <c r="AC30" i="1"/>
  <c r="AG30" i="1" s="1"/>
  <c r="AA30" i="1"/>
  <c r="CB30" i="1" s="1"/>
  <c r="A23" i="1"/>
  <c r="BB29" i="1"/>
  <c r="BA29" i="1" s="1"/>
  <c r="AC29" i="1"/>
  <c r="AG29" i="1" s="1"/>
  <c r="AA29" i="1"/>
  <c r="CB29" i="1" s="1"/>
  <c r="A32" i="1"/>
  <c r="BB28" i="1"/>
  <c r="BA28" i="1" s="1"/>
  <c r="AC28" i="1"/>
  <c r="AG28" i="1" s="1"/>
  <c r="AA28" i="1"/>
  <c r="CB28" i="1" s="1"/>
  <c r="A22" i="1"/>
  <c r="BB27" i="1"/>
  <c r="BA27" i="1" s="1"/>
  <c r="AC27" i="1"/>
  <c r="AG27" i="1" s="1"/>
  <c r="AA27" i="1"/>
  <c r="CB27" i="1" s="1"/>
  <c r="A31" i="1"/>
  <c r="AC26" i="1"/>
  <c r="AF26" i="1" s="1"/>
  <c r="AA26" i="1"/>
  <c r="CB26" i="1" s="1"/>
  <c r="A30" i="1"/>
  <c r="AC25" i="1"/>
  <c r="AF25" i="1" s="1"/>
  <c r="AA25" i="1"/>
  <c r="CB25" i="1" s="1"/>
  <c r="A29" i="1"/>
  <c r="AC24" i="1"/>
  <c r="AG24" i="1" s="1"/>
  <c r="AA24" i="1"/>
  <c r="CB24" i="1" s="1"/>
  <c r="A28" i="1"/>
  <c r="AC23" i="1"/>
  <c r="AG23" i="1" s="1"/>
  <c r="AA23" i="1"/>
  <c r="CB23" i="1" s="1"/>
  <c r="A27" i="1"/>
  <c r="AC22" i="1"/>
  <c r="AG22" i="1" s="1"/>
  <c r="AA22" i="1"/>
  <c r="CB22" i="1" s="1"/>
  <c r="A26" i="1"/>
  <c r="AA149" i="1" l="1"/>
  <c r="CB149" i="1" s="1"/>
  <c r="AA148" i="1"/>
  <c r="CB148" i="1" s="1"/>
  <c r="AC73" i="1"/>
  <c r="AF73" i="1" s="1"/>
  <c r="AA79" i="1"/>
  <c r="CB79" i="1" s="1"/>
  <c r="AA133" i="1"/>
  <c r="CB133" i="1" s="1"/>
  <c r="A149" i="1"/>
  <c r="A148" i="1"/>
  <c r="AD28" i="1"/>
  <c r="AF28" i="1"/>
  <c r="AD27" i="1"/>
  <c r="AD29" i="1"/>
  <c r="A213" i="1"/>
  <c r="A219" i="1"/>
  <c r="A221" i="1"/>
  <c r="A220" i="1"/>
  <c r="A216" i="1"/>
  <c r="A218" i="1"/>
  <c r="A202" i="1"/>
  <c r="A205" i="1"/>
  <c r="AD79" i="1"/>
  <c r="AD80" i="1"/>
  <c r="AF79" i="1"/>
  <c r="AF80" i="1"/>
  <c r="AF148" i="1"/>
  <c r="AD148" i="1"/>
  <c r="AC149" i="1"/>
  <c r="AF130" i="1"/>
  <c r="AD130" i="1"/>
  <c r="AD131" i="1"/>
  <c r="AF131" i="1"/>
  <c r="A143" i="1"/>
  <c r="A144" i="1"/>
  <c r="A145" i="1"/>
  <c r="A146" i="1"/>
  <c r="A147" i="1"/>
  <c r="A126" i="1"/>
  <c r="AC132" i="1"/>
  <c r="AC133" i="1"/>
  <c r="A127" i="1"/>
  <c r="AG130" i="1"/>
  <c r="AG131" i="1"/>
  <c r="AA130" i="1"/>
  <c r="CB130" i="1" s="1"/>
  <c r="AA131" i="1"/>
  <c r="CB131" i="1" s="1"/>
  <c r="A130" i="1"/>
  <c r="A128" i="1"/>
  <c r="A132" i="1"/>
  <c r="AF145" i="1"/>
  <c r="AG145" i="1"/>
  <c r="AD145" i="1"/>
  <c r="AF147" i="1"/>
  <c r="AG147" i="1"/>
  <c r="AD147" i="1"/>
  <c r="A136" i="1"/>
  <c r="AC144" i="1"/>
  <c r="A138" i="1"/>
  <c r="AC146" i="1"/>
  <c r="AD23" i="1"/>
  <c r="AF30" i="1"/>
  <c r="AF31" i="1"/>
  <c r="AF22" i="1"/>
  <c r="AF23" i="1"/>
  <c r="AD30" i="1"/>
  <c r="AD78" i="1"/>
  <c r="AF81" i="1"/>
  <c r="AD33" i="1"/>
  <c r="AD82" i="1"/>
  <c r="AD24" i="1"/>
  <c r="AF27" i="1"/>
  <c r="AF29" i="1"/>
  <c r="AD32" i="1"/>
  <c r="AF33" i="1"/>
  <c r="AF78" i="1"/>
  <c r="AF82" i="1"/>
  <c r="AF24" i="1"/>
  <c r="AD31" i="1"/>
  <c r="AF32" i="1"/>
  <c r="AD22" i="1"/>
  <c r="AD81" i="1"/>
  <c r="CG29" i="1"/>
  <c r="CG30" i="1"/>
  <c r="CG31" i="1"/>
  <c r="CG32" i="1"/>
  <c r="AG25" i="1"/>
  <c r="AG26" i="1"/>
  <c r="CG27" i="1"/>
  <c r="AD25" i="1"/>
  <c r="AD26" i="1"/>
  <c r="CG28" i="1"/>
  <c r="CG33" i="1"/>
  <c r="AG73" i="1" l="1"/>
  <c r="AD73" i="1"/>
  <c r="BB210" i="1"/>
  <c r="BB208" i="1"/>
  <c r="BB206" i="1"/>
  <c r="BB199" i="1"/>
  <c r="AF149" i="1"/>
  <c r="AG149" i="1"/>
  <c r="AD149" i="1"/>
  <c r="AD144" i="1"/>
  <c r="AG144" i="1"/>
  <c r="AF144" i="1"/>
  <c r="AG133" i="1"/>
  <c r="AD133" i="1"/>
  <c r="AF133" i="1"/>
  <c r="AD146" i="1"/>
  <c r="AG146" i="1"/>
  <c r="AF146" i="1"/>
  <c r="AF132" i="1"/>
  <c r="AD132" i="1"/>
  <c r="AG132" i="1"/>
  <c r="BB221" i="1" l="1"/>
  <c r="BB220" i="1"/>
  <c r="BB147" i="1"/>
  <c r="BA147" i="1" s="1"/>
  <c r="BB212" i="1"/>
  <c r="BB200" i="1"/>
  <c r="BB198" i="1"/>
  <c r="BA199" i="1"/>
  <c r="BB215" i="1"/>
  <c r="BB209" i="1"/>
  <c r="BB219" i="1"/>
  <c r="BB205" i="1"/>
  <c r="BB211" i="1"/>
  <c r="BB204" i="1"/>
  <c r="BB214" i="1"/>
  <c r="BB207" i="1"/>
  <c r="BB213" i="1"/>
  <c r="BB217" i="1"/>
  <c r="BB202" i="1"/>
  <c r="BA206" i="1"/>
  <c r="BA208" i="1"/>
  <c r="BA210" i="1"/>
  <c r="BB148" i="1"/>
  <c r="BB140" i="1"/>
  <c r="BB128" i="1"/>
  <c r="BB138" i="1"/>
  <c r="BB143" i="1"/>
  <c r="BB136" i="1"/>
  <c r="BB146" i="1"/>
  <c r="BB134" i="1"/>
  <c r="BB130" i="1"/>
  <c r="BB142" i="1"/>
  <c r="BB74" i="1"/>
  <c r="BB71" i="1"/>
  <c r="BB73" i="1"/>
  <c r="BB72" i="1"/>
  <c r="BB70" i="1"/>
  <c r="BB26" i="1"/>
  <c r="BB22" i="1"/>
  <c r="BB23" i="1"/>
  <c r="BB24" i="1"/>
  <c r="BB216" i="1" l="1"/>
  <c r="BA216" i="1" s="1"/>
  <c r="BA220" i="1"/>
  <c r="BA221" i="1"/>
  <c r="BA202" i="1"/>
  <c r="BA207" i="1"/>
  <c r="BA211" i="1"/>
  <c r="BA205" i="1"/>
  <c r="BA209" i="1"/>
  <c r="BB218" i="1"/>
  <c r="BA217" i="1"/>
  <c r="BA214" i="1"/>
  <c r="BA200" i="1"/>
  <c r="BA219" i="1"/>
  <c r="BA215" i="1"/>
  <c r="BA198" i="1"/>
  <c r="BA213" i="1"/>
  <c r="BA204" i="1"/>
  <c r="BA212" i="1"/>
  <c r="BB144" i="1"/>
  <c r="BA144" i="1" s="1"/>
  <c r="BB132" i="1"/>
  <c r="BA132" i="1" s="1"/>
  <c r="BB135" i="1"/>
  <c r="BA135" i="1" s="1"/>
  <c r="BA148" i="1"/>
  <c r="BB149" i="1"/>
  <c r="BB137" i="1"/>
  <c r="BB139" i="1"/>
  <c r="BB126" i="1"/>
  <c r="BA138" i="1"/>
  <c r="BA130" i="1"/>
  <c r="BA128" i="1"/>
  <c r="BB133" i="1"/>
  <c r="BB141" i="1"/>
  <c r="BA142" i="1"/>
  <c r="BA134" i="1"/>
  <c r="BA146" i="1"/>
  <c r="BB127" i="1"/>
  <c r="BB129" i="1"/>
  <c r="BA136" i="1"/>
  <c r="BA143" i="1"/>
  <c r="BA140" i="1"/>
  <c r="BA73" i="1"/>
  <c r="BA71" i="1"/>
  <c r="BA74" i="1"/>
  <c r="BA70" i="1"/>
  <c r="BA72" i="1"/>
  <c r="BA23" i="1"/>
  <c r="BA26" i="1"/>
  <c r="BA24" i="1"/>
  <c r="BA22" i="1"/>
  <c r="BB25" i="1"/>
  <c r="BA218" i="1" l="1"/>
  <c r="BA149" i="1"/>
  <c r="BA129" i="1"/>
  <c r="BA141" i="1"/>
  <c r="BA133" i="1"/>
  <c r="BA137" i="1"/>
  <c r="BA139" i="1"/>
  <c r="BA126" i="1"/>
  <c r="BA127" i="1"/>
  <c r="BA25" i="1"/>
  <c r="A14" i="1" l="1"/>
  <c r="A15" i="1"/>
  <c r="A16" i="1"/>
  <c r="A17" i="1"/>
  <c r="A18" i="1"/>
  <c r="A19" i="1"/>
  <c r="A10" i="1"/>
  <c r="A20" i="1"/>
  <c r="A11" i="1"/>
  <c r="A21" i="1"/>
  <c r="A12" i="1"/>
  <c r="A13" i="1"/>
  <c r="A38" i="1"/>
  <c r="A39" i="1"/>
  <c r="A40" i="1"/>
  <c r="A41" i="1"/>
  <c r="A42" i="1"/>
  <c r="A43" i="1"/>
  <c r="A34" i="1"/>
  <c r="A44" i="1"/>
  <c r="A35" i="1"/>
  <c r="A45" i="1"/>
  <c r="A36" i="1"/>
  <c r="A37" i="1"/>
  <c r="A50" i="1"/>
  <c r="A51" i="1"/>
  <c r="A52" i="1"/>
  <c r="A53" i="1"/>
  <c r="A54" i="1"/>
  <c r="A55" i="1"/>
  <c r="A46" i="1"/>
  <c r="A56" i="1"/>
  <c r="A47" i="1"/>
  <c r="A57" i="1"/>
  <c r="A48" i="1"/>
  <c r="A49" i="1"/>
  <c r="A62" i="1"/>
  <c r="A63" i="1"/>
  <c r="A64" i="1"/>
  <c r="A65" i="1"/>
  <c r="A66" i="1"/>
  <c r="A67" i="1"/>
  <c r="A58" i="1"/>
  <c r="A68" i="1"/>
  <c r="A59" i="1"/>
  <c r="A69" i="1"/>
  <c r="A60" i="1"/>
  <c r="A61" i="1"/>
  <c r="A88" i="1"/>
  <c r="A89" i="1"/>
  <c r="A90" i="1"/>
  <c r="A91" i="1"/>
  <c r="A83" i="1"/>
  <c r="A92" i="1"/>
  <c r="A84" i="1"/>
  <c r="A93" i="1"/>
  <c r="A85" i="1"/>
  <c r="A94" i="1"/>
  <c r="A86" i="1"/>
  <c r="A95" i="1"/>
  <c r="A87" i="1"/>
  <c r="BB39" i="1" l="1"/>
  <c r="BA39" i="1" s="1"/>
  <c r="BB40" i="1"/>
  <c r="BA40" i="1" s="1"/>
  <c r="BB41" i="1"/>
  <c r="BA41" i="1" s="1"/>
  <c r="BB42" i="1"/>
  <c r="BA42" i="1" s="1"/>
  <c r="BB43" i="1"/>
  <c r="BA43" i="1" s="1"/>
  <c r="BB44" i="1"/>
  <c r="BA44" i="1" s="1"/>
  <c r="BB45" i="1"/>
  <c r="BA45" i="1" s="1"/>
  <c r="BB51" i="1"/>
  <c r="BA51" i="1" s="1"/>
  <c r="BB52" i="1"/>
  <c r="BA52" i="1" s="1"/>
  <c r="BB53" i="1"/>
  <c r="BA53" i="1" s="1"/>
  <c r="BB54" i="1"/>
  <c r="BA54" i="1" s="1"/>
  <c r="BB55" i="1"/>
  <c r="BA55" i="1" s="1"/>
  <c r="BB56" i="1"/>
  <c r="BA56" i="1" s="1"/>
  <c r="BB57" i="1"/>
  <c r="BA57" i="1" s="1"/>
  <c r="BB63" i="1"/>
  <c r="BA63" i="1" s="1"/>
  <c r="BB64" i="1"/>
  <c r="BA64" i="1" s="1"/>
  <c r="BB65" i="1"/>
  <c r="BA65" i="1" s="1"/>
  <c r="BB66" i="1"/>
  <c r="BA66" i="1" s="1"/>
  <c r="BB67" i="1"/>
  <c r="BA67" i="1" s="1"/>
  <c r="BB68" i="1"/>
  <c r="BA68" i="1" s="1"/>
  <c r="BB69" i="1"/>
  <c r="BA69" i="1" s="1"/>
  <c r="BB88" i="1"/>
  <c r="BA88" i="1" s="1"/>
  <c r="BB89" i="1"/>
  <c r="BA89" i="1" s="1"/>
  <c r="BB90" i="1"/>
  <c r="BA90" i="1" s="1"/>
  <c r="BB91" i="1"/>
  <c r="BA91" i="1" s="1"/>
  <c r="BB92" i="1"/>
  <c r="BA92" i="1" s="1"/>
  <c r="BB93" i="1"/>
  <c r="BA93" i="1" s="1"/>
  <c r="BB94" i="1"/>
  <c r="BA94" i="1" s="1"/>
  <c r="BB95" i="1"/>
  <c r="BA95" i="1" s="1"/>
  <c r="BB100" i="1"/>
  <c r="BA100" i="1" s="1"/>
  <c r="BB101" i="1"/>
  <c r="BA101" i="1" s="1"/>
  <c r="BB102" i="1"/>
  <c r="BA102" i="1" s="1"/>
  <c r="BB103" i="1"/>
  <c r="BA103" i="1" s="1"/>
  <c r="BB104" i="1"/>
  <c r="BA104" i="1" s="1"/>
  <c r="BB105" i="1"/>
  <c r="BA105" i="1" s="1"/>
  <c r="BB110" i="1"/>
  <c r="BA110" i="1" s="1"/>
  <c r="BB111" i="1"/>
  <c r="BA111" i="1" s="1"/>
  <c r="BB112" i="1"/>
  <c r="BA112" i="1" s="1"/>
  <c r="BB113" i="1"/>
  <c r="BA113" i="1" s="1"/>
  <c r="BB114" i="1"/>
  <c r="BA114" i="1" s="1"/>
  <c r="BB115" i="1"/>
  <c r="BA115" i="1" s="1"/>
  <c r="BB120" i="1"/>
  <c r="BA120" i="1" s="1"/>
  <c r="BB121" i="1"/>
  <c r="BA121" i="1" s="1"/>
  <c r="BB122" i="1"/>
  <c r="BA122" i="1" s="1"/>
  <c r="BB123" i="1"/>
  <c r="BA123" i="1" s="1"/>
  <c r="BB124" i="1"/>
  <c r="BA124" i="1" s="1"/>
  <c r="BB125" i="1"/>
  <c r="BA125" i="1" s="1"/>
  <c r="BB155" i="1"/>
  <c r="BA155" i="1" s="1"/>
  <c r="BB156" i="1"/>
  <c r="BA156" i="1" s="1"/>
  <c r="BB157" i="1"/>
  <c r="BA157" i="1" s="1"/>
  <c r="BB158" i="1"/>
  <c r="BA158" i="1" s="1"/>
  <c r="BB159" i="1"/>
  <c r="BA159" i="1" s="1"/>
  <c r="BB160" i="1"/>
  <c r="BA160" i="1" s="1"/>
  <c r="BB161" i="1"/>
  <c r="BA161" i="1" s="1"/>
  <c r="BB167" i="1"/>
  <c r="BA167" i="1" s="1"/>
  <c r="BB169" i="1"/>
  <c r="BA169" i="1" s="1"/>
  <c r="BB171" i="1"/>
  <c r="BA171" i="1" s="1"/>
  <c r="BB168" i="1"/>
  <c r="BA168" i="1" s="1"/>
  <c r="BB170" i="1"/>
  <c r="BA170" i="1" s="1"/>
  <c r="BB172" i="1"/>
  <c r="BA172" i="1" s="1"/>
  <c r="BB173" i="1"/>
  <c r="BA173" i="1" s="1"/>
  <c r="BB179" i="1"/>
  <c r="BA179" i="1" s="1"/>
  <c r="BB180" i="1"/>
  <c r="BA180" i="1" s="1"/>
  <c r="BB181" i="1"/>
  <c r="BA181" i="1" s="1"/>
  <c r="BB182" i="1"/>
  <c r="BA182" i="1" s="1"/>
  <c r="BB183" i="1"/>
  <c r="BA183" i="1" s="1"/>
  <c r="BB184" i="1"/>
  <c r="BA184" i="1" s="1"/>
  <c r="BB185" i="1"/>
  <c r="BA185" i="1" s="1"/>
  <c r="BB191" i="1"/>
  <c r="BA191" i="1" s="1"/>
  <c r="BB192" i="1"/>
  <c r="BA192" i="1" s="1"/>
  <c r="BB193" i="1"/>
  <c r="BA193" i="1" s="1"/>
  <c r="BB194" i="1"/>
  <c r="BA194" i="1" s="1"/>
  <c r="BB195" i="1"/>
  <c r="BA195" i="1" s="1"/>
  <c r="BB196" i="1"/>
  <c r="BA196" i="1" s="1"/>
  <c r="BB197" i="1"/>
  <c r="BA197" i="1" s="1"/>
  <c r="BB226" i="1"/>
  <c r="BA226" i="1" s="1"/>
  <c r="BB227" i="1"/>
  <c r="BA227" i="1" s="1"/>
  <c r="BB229" i="1"/>
  <c r="BA229" i="1" s="1"/>
  <c r="BB228" i="1"/>
  <c r="BA228" i="1" s="1"/>
  <c r="BB230" i="1"/>
  <c r="BA230" i="1" s="1"/>
  <c r="BB231" i="1"/>
  <c r="BA231" i="1" s="1"/>
  <c r="BB236" i="1"/>
  <c r="BA236" i="1" s="1"/>
  <c r="BB237" i="1"/>
  <c r="BA237" i="1" s="1"/>
  <c r="BB238" i="1"/>
  <c r="BA238" i="1" s="1"/>
  <c r="BB239" i="1"/>
  <c r="BA239" i="1" s="1"/>
  <c r="BB240" i="1"/>
  <c r="BA240" i="1" s="1"/>
  <c r="BB241" i="1"/>
  <c r="BA241" i="1" s="1"/>
  <c r="BB246" i="1"/>
  <c r="BA246" i="1" s="1"/>
  <c r="BB247" i="1"/>
  <c r="BA247" i="1" s="1"/>
  <c r="BB248" i="1"/>
  <c r="BA248" i="1" s="1"/>
  <c r="BB249" i="1"/>
  <c r="BA249" i="1" s="1"/>
  <c r="BB250" i="1"/>
  <c r="BA250" i="1" s="1"/>
  <c r="BB251" i="1"/>
  <c r="BA251" i="1" s="1"/>
  <c r="BB256" i="1"/>
  <c r="BA256" i="1" s="1"/>
  <c r="BB257" i="1"/>
  <c r="BA257" i="1" s="1"/>
  <c r="BB258" i="1"/>
  <c r="BA258" i="1" s="1"/>
  <c r="BB259" i="1"/>
  <c r="BA259" i="1" s="1"/>
  <c r="BB260" i="1"/>
  <c r="BA260" i="1" s="1"/>
  <c r="BB261" i="1"/>
  <c r="BA261" i="1" s="1"/>
  <c r="AO9" i="1" l="1"/>
  <c r="AU9" i="1" s="1"/>
  <c r="AV9" i="1" s="1"/>
  <c r="AJ9" i="1"/>
  <c r="AP9" i="1" l="1"/>
  <c r="AA10" i="1" l="1"/>
  <c r="CB10" i="1" s="1"/>
  <c r="AC10" i="1"/>
  <c r="AG10" i="1" s="1"/>
  <c r="AA11" i="1"/>
  <c r="CB11" i="1" s="1"/>
  <c r="AC11" i="1"/>
  <c r="AA12" i="1"/>
  <c r="CB12" i="1" s="1"/>
  <c r="AC12" i="1"/>
  <c r="AG12" i="1" s="1"/>
  <c r="AA13" i="1"/>
  <c r="CB13" i="1" s="1"/>
  <c r="AC13" i="1"/>
  <c r="AF13" i="1" s="1"/>
  <c r="AA14" i="1"/>
  <c r="CB14" i="1" s="1"/>
  <c r="AC14" i="1"/>
  <c r="AF14" i="1" s="1"/>
  <c r="AA15" i="1"/>
  <c r="CB15" i="1" s="1"/>
  <c r="AC15" i="1"/>
  <c r="AF15" i="1" s="1"/>
  <c r="AA16" i="1"/>
  <c r="CB16" i="1" s="1"/>
  <c r="AC16" i="1"/>
  <c r="AF16" i="1" s="1"/>
  <c r="AA17" i="1"/>
  <c r="CB17" i="1" s="1"/>
  <c r="AC17" i="1"/>
  <c r="AD17" i="1" s="1"/>
  <c r="AA18" i="1"/>
  <c r="CB18" i="1" s="1"/>
  <c r="AC18" i="1"/>
  <c r="AD18" i="1" s="1"/>
  <c r="AA19" i="1"/>
  <c r="CB19" i="1" s="1"/>
  <c r="AC19" i="1"/>
  <c r="AF19" i="1" s="1"/>
  <c r="AA20" i="1"/>
  <c r="CB20" i="1" s="1"/>
  <c r="AC20" i="1"/>
  <c r="AF20" i="1" s="1"/>
  <c r="AA21" i="1"/>
  <c r="CB21" i="1" s="1"/>
  <c r="AC21" i="1"/>
  <c r="AF21" i="1" s="1"/>
  <c r="AA34" i="1"/>
  <c r="CB34" i="1" s="1"/>
  <c r="AC34" i="1"/>
  <c r="AD34" i="1" s="1"/>
  <c r="AA35" i="1"/>
  <c r="CB35" i="1" s="1"/>
  <c r="AC35" i="1"/>
  <c r="AF35" i="1" s="1"/>
  <c r="AA36" i="1"/>
  <c r="CB36" i="1" s="1"/>
  <c r="AC36" i="1"/>
  <c r="AD36" i="1" s="1"/>
  <c r="AA37" i="1"/>
  <c r="CB37" i="1" s="1"/>
  <c r="AC37" i="1"/>
  <c r="AD37" i="1" s="1"/>
  <c r="AA38" i="1"/>
  <c r="CB38" i="1" s="1"/>
  <c r="AC38" i="1"/>
  <c r="AF38" i="1" s="1"/>
  <c r="AA39" i="1"/>
  <c r="CB39" i="1" s="1"/>
  <c r="AC39" i="1"/>
  <c r="AD39" i="1" s="1"/>
  <c r="AA49" i="1"/>
  <c r="CB49" i="1" s="1"/>
  <c r="AC49" i="1"/>
  <c r="AG49" i="1" s="1"/>
  <c r="AA50" i="1"/>
  <c r="CB50" i="1" s="1"/>
  <c r="AC50" i="1"/>
  <c r="AG50" i="1" s="1"/>
  <c r="AA51" i="1"/>
  <c r="CB51" i="1" s="1"/>
  <c r="AC51" i="1"/>
  <c r="AD51" i="1" s="1"/>
  <c r="AA52" i="1"/>
  <c r="CB52" i="1" s="1"/>
  <c r="AC52" i="1"/>
  <c r="AG52" i="1" s="1"/>
  <c r="AA53" i="1"/>
  <c r="CB53" i="1" s="1"/>
  <c r="AC53" i="1"/>
  <c r="AD53" i="1" s="1"/>
  <c r="AA54" i="1"/>
  <c r="CB54" i="1" s="1"/>
  <c r="AC54" i="1"/>
  <c r="AF54" i="1" s="1"/>
  <c r="AA55" i="1"/>
  <c r="CB55" i="1" s="1"/>
  <c r="AC55" i="1"/>
  <c r="AG55" i="1" s="1"/>
  <c r="AA56" i="1"/>
  <c r="CB56" i="1" s="1"/>
  <c r="AC56" i="1"/>
  <c r="AF56" i="1" s="1"/>
  <c r="AA57" i="1"/>
  <c r="CB57" i="1" s="1"/>
  <c r="AC57" i="1"/>
  <c r="AF57" i="1" s="1"/>
  <c r="AA58" i="1"/>
  <c r="CB58" i="1" s="1"/>
  <c r="AC58" i="1"/>
  <c r="AG58" i="1" s="1"/>
  <c r="AA59" i="1"/>
  <c r="CB59" i="1" s="1"/>
  <c r="AC59" i="1"/>
  <c r="AD59" i="1" s="1"/>
  <c r="AA60" i="1"/>
  <c r="CB60" i="1" s="1"/>
  <c r="AC60" i="1"/>
  <c r="AD60" i="1" s="1"/>
  <c r="AA61" i="1"/>
  <c r="CB61" i="1" s="1"/>
  <c r="AC61" i="1"/>
  <c r="AD61" i="1" s="1"/>
  <c r="AA62" i="1"/>
  <c r="CB62" i="1" s="1"/>
  <c r="AC62" i="1"/>
  <c r="AF62" i="1" s="1"/>
  <c r="AA63" i="1"/>
  <c r="CB63" i="1" s="1"/>
  <c r="AC63" i="1"/>
  <c r="AG63" i="1" s="1"/>
  <c r="AA64" i="1"/>
  <c r="CB64" i="1" s="1"/>
  <c r="AC64" i="1"/>
  <c r="AF64" i="1" s="1"/>
  <c r="AA65" i="1"/>
  <c r="CB65" i="1" s="1"/>
  <c r="AC65" i="1"/>
  <c r="AF65" i="1" s="1"/>
  <c r="AA66" i="1"/>
  <c r="CB66" i="1" s="1"/>
  <c r="AC66" i="1"/>
  <c r="AF66" i="1" s="1"/>
  <c r="AA67" i="1"/>
  <c r="CB67" i="1" s="1"/>
  <c r="AC67" i="1"/>
  <c r="AF67" i="1" s="1"/>
  <c r="AA68" i="1"/>
  <c r="CB68" i="1" s="1"/>
  <c r="AC68" i="1"/>
  <c r="AF68" i="1" s="1"/>
  <c r="AA83" i="1"/>
  <c r="CB83" i="1" s="1"/>
  <c r="AC83" i="1"/>
  <c r="AF83" i="1" s="1"/>
  <c r="AA84" i="1"/>
  <c r="CB84" i="1" s="1"/>
  <c r="AC84" i="1"/>
  <c r="AF84" i="1" s="1"/>
  <c r="AA85" i="1"/>
  <c r="CB85" i="1" s="1"/>
  <c r="AC85" i="1"/>
  <c r="AF85" i="1" s="1"/>
  <c r="AA94" i="1"/>
  <c r="CB94" i="1" s="1"/>
  <c r="AC94" i="1"/>
  <c r="AF94" i="1" s="1"/>
  <c r="AA95" i="1"/>
  <c r="CB95" i="1" s="1"/>
  <c r="AC95" i="1"/>
  <c r="AF95" i="1" s="1"/>
  <c r="G225" i="1"/>
  <c r="G226" i="1"/>
  <c r="G227" i="1"/>
  <c r="A153" i="1"/>
  <c r="A161" i="1"/>
  <c r="A151" i="1"/>
  <c r="A150" i="1"/>
  <c r="A159" i="1"/>
  <c r="A157" i="1"/>
  <c r="A227" i="1" l="1"/>
  <c r="A226" i="1"/>
  <c r="A225" i="1"/>
  <c r="A154" i="1"/>
  <c r="A156" i="1"/>
  <c r="A158" i="1"/>
  <c r="AC151" i="1"/>
  <c r="AF151" i="1" s="1"/>
  <c r="A155" i="1"/>
  <c r="A160" i="1"/>
  <c r="A152" i="1"/>
  <c r="AA150" i="1"/>
  <c r="CB150" i="1" s="1"/>
  <c r="AF17" i="1"/>
  <c r="AC150" i="1"/>
  <c r="AF150" i="1" s="1"/>
  <c r="AD83" i="1"/>
  <c r="AF58" i="1"/>
  <c r="AF63" i="1"/>
  <c r="AD35" i="1"/>
  <c r="AD54" i="1"/>
  <c r="AD50" i="1"/>
  <c r="AG95" i="1"/>
  <c r="AF55" i="1"/>
  <c r="AD62" i="1"/>
  <c r="AF18" i="1"/>
  <c r="AD84" i="1"/>
  <c r="AD58" i="1"/>
  <c r="AG54" i="1"/>
  <c r="AF49" i="1"/>
  <c r="AF34" i="1"/>
  <c r="AD21" i="1"/>
  <c r="AD19" i="1"/>
  <c r="AG17" i="1"/>
  <c r="AG13" i="1"/>
  <c r="AG66" i="1"/>
  <c r="AD66" i="1"/>
  <c r="AG62" i="1"/>
  <c r="AD38" i="1"/>
  <c r="AG35" i="1"/>
  <c r="AD14" i="1"/>
  <c r="AG21" i="1"/>
  <c r="AG19" i="1"/>
  <c r="AD94" i="1"/>
  <c r="AG84" i="1"/>
  <c r="AD68" i="1"/>
  <c r="AD67" i="1"/>
  <c r="AD65" i="1"/>
  <c r="AD64" i="1"/>
  <c r="AD63" i="1"/>
  <c r="AG61" i="1"/>
  <c r="AG60" i="1"/>
  <c r="AG59" i="1"/>
  <c r="AD57" i="1"/>
  <c r="AD56" i="1"/>
  <c r="AD55" i="1"/>
  <c r="AG53" i="1"/>
  <c r="AD49" i="1"/>
  <c r="AG37" i="1"/>
  <c r="AG36" i="1"/>
  <c r="AG34" i="1"/>
  <c r="AD20" i="1"/>
  <c r="AG18" i="1"/>
  <c r="AD16" i="1"/>
  <c r="AG14" i="1"/>
  <c r="AD13" i="1"/>
  <c r="AG85" i="1"/>
  <c r="AF61" i="1"/>
  <c r="AF60" i="1"/>
  <c r="AF59" i="1"/>
  <c r="AF53" i="1"/>
  <c r="AF37" i="1"/>
  <c r="AF36" i="1"/>
  <c r="AG15" i="1"/>
  <c r="AD95" i="1"/>
  <c r="AD85" i="1"/>
  <c r="AG83" i="1"/>
  <c r="AG67" i="1"/>
  <c r="AG65" i="1"/>
  <c r="AG64" i="1"/>
  <c r="AG57" i="1"/>
  <c r="AG56" i="1"/>
  <c r="AF50" i="1"/>
  <c r="AG38" i="1"/>
  <c r="AG20" i="1"/>
  <c r="AG16" i="1"/>
  <c r="AD15" i="1"/>
  <c r="AG94" i="1"/>
  <c r="AG68" i="1"/>
  <c r="AF52" i="1"/>
  <c r="AD52" i="1"/>
  <c r="AG51" i="1"/>
  <c r="AF51" i="1"/>
  <c r="AF39" i="1"/>
  <c r="AG39" i="1"/>
  <c r="AD11" i="1"/>
  <c r="AF11" i="1"/>
  <c r="AD12" i="1"/>
  <c r="AF12" i="1"/>
  <c r="AG11" i="1"/>
  <c r="AD10" i="1"/>
  <c r="AF10" i="1"/>
  <c r="AA151" i="1"/>
  <c r="CB151" i="1" s="1"/>
  <c r="AD151" i="1" l="1"/>
  <c r="AG151" i="1"/>
  <c r="AG150" i="1"/>
  <c r="AD150" i="1"/>
  <c r="G118" i="1" l="1"/>
  <c r="G117" i="1"/>
  <c r="G116" i="1"/>
  <c r="G125" i="1"/>
  <c r="G124" i="1"/>
  <c r="G123" i="1"/>
  <c r="G122" i="1"/>
  <c r="G121" i="1"/>
  <c r="G120" i="1"/>
  <c r="G119" i="1"/>
  <c r="G108" i="1"/>
  <c r="G107" i="1"/>
  <c r="G106" i="1"/>
  <c r="G115" i="1"/>
  <c r="G114" i="1"/>
  <c r="G113" i="1"/>
  <c r="G112" i="1"/>
  <c r="G111" i="1"/>
  <c r="G110" i="1"/>
  <c r="G109" i="1"/>
  <c r="G98" i="1"/>
  <c r="G97" i="1"/>
  <c r="G96" i="1"/>
  <c r="G105" i="1"/>
  <c r="G104" i="1"/>
  <c r="G103" i="1"/>
  <c r="G102" i="1"/>
  <c r="G101" i="1"/>
  <c r="G100" i="1"/>
  <c r="G99" i="1"/>
  <c r="AA209" i="1" l="1"/>
  <c r="CB209" i="1" s="1"/>
  <c r="AC209" i="1"/>
  <c r="AC210" i="1"/>
  <c r="AA210" i="1"/>
  <c r="CB210" i="1" s="1"/>
  <c r="AA134" i="1"/>
  <c r="CB134" i="1" s="1"/>
  <c r="AC134" i="1"/>
  <c r="AC153" i="1"/>
  <c r="AA153" i="1"/>
  <c r="CB153" i="1" s="1"/>
  <c r="AA158" i="1"/>
  <c r="CB158" i="1" s="1"/>
  <c r="AC158" i="1"/>
  <c r="AA135" i="1"/>
  <c r="CB135" i="1" s="1"/>
  <c r="AC135" i="1"/>
  <c r="AA136" i="1"/>
  <c r="CB136" i="1" s="1"/>
  <c r="AC136" i="1"/>
  <c r="AC152" i="1"/>
  <c r="AA152" i="1"/>
  <c r="CB152" i="1" s="1"/>
  <c r="AC155" i="1"/>
  <c r="AA155" i="1"/>
  <c r="CB155" i="1" s="1"/>
  <c r="AC156" i="1"/>
  <c r="AA156" i="1"/>
  <c r="CB156" i="1" s="1"/>
  <c r="AA154" i="1"/>
  <c r="CB154" i="1" s="1"/>
  <c r="AC154" i="1"/>
  <c r="AA157" i="1"/>
  <c r="CB157" i="1" s="1"/>
  <c r="AC157" i="1"/>
  <c r="AA43" i="1"/>
  <c r="CB43" i="1" s="1"/>
  <c r="AC43" i="1"/>
  <c r="AA44" i="1"/>
  <c r="CB44" i="1" s="1"/>
  <c r="AC44" i="1"/>
  <c r="AA45" i="1"/>
  <c r="CB45" i="1" s="1"/>
  <c r="AC45" i="1"/>
  <c r="AA46" i="1"/>
  <c r="CB46" i="1" s="1"/>
  <c r="AC46" i="1"/>
  <c r="AA40" i="1"/>
  <c r="CB40" i="1" s="1"/>
  <c r="AC40" i="1"/>
  <c r="AA42" i="1"/>
  <c r="CB42" i="1" s="1"/>
  <c r="AC42" i="1"/>
  <c r="AA47" i="1"/>
  <c r="CB47" i="1" s="1"/>
  <c r="AC47" i="1"/>
  <c r="AA41" i="1"/>
  <c r="CB41" i="1" s="1"/>
  <c r="AC41" i="1"/>
  <c r="AA48" i="1"/>
  <c r="CB48" i="1" s="1"/>
  <c r="AC48" i="1"/>
  <c r="A109" i="1"/>
  <c r="A119" i="1"/>
  <c r="A102" i="1"/>
  <c r="A112" i="1"/>
  <c r="A122" i="1"/>
  <c r="A105" i="1"/>
  <c r="A115" i="1"/>
  <c r="A125" i="1"/>
  <c r="A99" i="1"/>
  <c r="A100" i="1"/>
  <c r="A110" i="1"/>
  <c r="A120" i="1"/>
  <c r="A116" i="1"/>
  <c r="A123" i="1"/>
  <c r="A101" i="1"/>
  <c r="A97" i="1"/>
  <c r="A111" i="1"/>
  <c r="A107" i="1"/>
  <c r="A121" i="1"/>
  <c r="A117" i="1"/>
  <c r="A103" i="1"/>
  <c r="A113" i="1"/>
  <c r="A96" i="1"/>
  <c r="A106" i="1"/>
  <c r="A104" i="1"/>
  <c r="A98" i="1"/>
  <c r="A114" i="1"/>
  <c r="A108" i="1"/>
  <c r="A124" i="1"/>
  <c r="A118" i="1"/>
  <c r="AA108" i="1"/>
  <c r="CB108" i="1" s="1"/>
  <c r="AC108" i="1"/>
  <c r="AC109" i="1"/>
  <c r="AA109" i="1"/>
  <c r="CB109" i="1" s="1"/>
  <c r="AA110" i="1"/>
  <c r="CB110" i="1" s="1"/>
  <c r="AC110" i="1"/>
  <c r="AA111" i="1"/>
  <c r="CB111" i="1" s="1"/>
  <c r="AC111" i="1"/>
  <c r="AA112" i="1"/>
  <c r="CB112" i="1" s="1"/>
  <c r="AC112" i="1"/>
  <c r="AA113" i="1"/>
  <c r="CB113" i="1" s="1"/>
  <c r="AC113" i="1"/>
  <c r="AA115" i="1"/>
  <c r="CB115" i="1" s="1"/>
  <c r="AC115" i="1"/>
  <c r="AC124" i="1"/>
  <c r="AA124" i="1"/>
  <c r="CB124" i="1" s="1"/>
  <c r="AC114" i="1"/>
  <c r="AA114" i="1"/>
  <c r="CB114" i="1" s="1"/>
  <c r="AA116" i="1"/>
  <c r="CB116" i="1" s="1"/>
  <c r="AC116" i="1"/>
  <c r="AA117" i="1"/>
  <c r="CB117" i="1" s="1"/>
  <c r="AC117" i="1"/>
  <c r="AC118" i="1"/>
  <c r="AA118" i="1"/>
  <c r="CB118" i="1" s="1"/>
  <c r="AC119" i="1"/>
  <c r="AA119" i="1"/>
  <c r="CB119" i="1" s="1"/>
  <c r="AC120" i="1"/>
  <c r="AA120" i="1"/>
  <c r="CB120" i="1" s="1"/>
  <c r="AA121" i="1"/>
  <c r="CB121" i="1" s="1"/>
  <c r="AC121" i="1"/>
  <c r="AA122" i="1"/>
  <c r="CB122" i="1" s="1"/>
  <c r="AC122" i="1"/>
  <c r="AA123" i="1"/>
  <c r="CB123" i="1" s="1"/>
  <c r="AC123" i="1"/>
  <c r="AC125" i="1"/>
  <c r="AA125" i="1"/>
  <c r="CB125" i="1" s="1"/>
  <c r="AF210" i="1" l="1"/>
  <c r="AD210" i="1"/>
  <c r="AG210" i="1"/>
  <c r="AD209" i="1"/>
  <c r="AG209" i="1"/>
  <c r="AF209" i="1"/>
  <c r="AG157" i="1"/>
  <c r="AD157" i="1"/>
  <c r="AF157" i="1"/>
  <c r="AF135" i="1"/>
  <c r="AD135" i="1"/>
  <c r="AG135" i="1"/>
  <c r="AD156" i="1"/>
  <c r="AG156" i="1"/>
  <c r="AF156" i="1"/>
  <c r="AG154" i="1"/>
  <c r="AD154" i="1"/>
  <c r="AF154" i="1"/>
  <c r="AG158" i="1"/>
  <c r="AF158" i="1"/>
  <c r="AD158" i="1"/>
  <c r="AD155" i="1"/>
  <c r="AG155" i="1"/>
  <c r="AF155" i="1"/>
  <c r="AD152" i="1"/>
  <c r="AF152" i="1"/>
  <c r="AG152" i="1"/>
  <c r="AG153" i="1"/>
  <c r="AD153" i="1"/>
  <c r="AF153" i="1"/>
  <c r="AG136" i="1"/>
  <c r="AF136" i="1"/>
  <c r="AD136" i="1"/>
  <c r="AF134" i="1"/>
  <c r="AD134" i="1"/>
  <c r="AG134" i="1"/>
  <c r="AF41" i="1"/>
  <c r="AD41" i="1"/>
  <c r="AG41" i="1"/>
  <c r="AD46" i="1"/>
  <c r="AF46" i="1"/>
  <c r="AG46" i="1"/>
  <c r="AD47" i="1"/>
  <c r="AF47" i="1"/>
  <c r="AG47" i="1"/>
  <c r="AD45" i="1"/>
  <c r="AG45" i="1"/>
  <c r="AF45" i="1"/>
  <c r="AD42" i="1"/>
  <c r="AG42" i="1"/>
  <c r="AF42" i="1"/>
  <c r="AD44" i="1"/>
  <c r="AF44" i="1"/>
  <c r="AG44" i="1"/>
  <c r="AF48" i="1"/>
  <c r="AG48" i="1"/>
  <c r="AD48" i="1"/>
  <c r="AF40" i="1"/>
  <c r="AG40" i="1"/>
  <c r="AD40" i="1"/>
  <c r="AD43" i="1"/>
  <c r="AF43" i="1"/>
  <c r="AG43" i="1"/>
  <c r="AF125" i="1"/>
  <c r="AD125" i="1"/>
  <c r="AG125" i="1"/>
  <c r="AF123" i="1"/>
  <c r="AD123" i="1"/>
  <c r="AG123" i="1"/>
  <c r="AG120" i="1"/>
  <c r="AD120" i="1"/>
  <c r="AF120" i="1"/>
  <c r="AF113" i="1"/>
  <c r="AD113" i="1"/>
  <c r="AG113" i="1"/>
  <c r="AG122" i="1"/>
  <c r="AF122" i="1"/>
  <c r="AD122" i="1"/>
  <c r="AG119" i="1"/>
  <c r="AF119" i="1"/>
  <c r="AD119" i="1"/>
  <c r="AF114" i="1"/>
  <c r="AG114" i="1"/>
  <c r="AD114" i="1"/>
  <c r="AF112" i="1"/>
  <c r="AD112" i="1"/>
  <c r="AG112" i="1"/>
  <c r="AF109" i="1"/>
  <c r="AG109" i="1"/>
  <c r="AD109" i="1"/>
  <c r="AF108" i="1"/>
  <c r="AD108" i="1"/>
  <c r="AG108" i="1"/>
  <c r="AF121" i="1"/>
  <c r="AD121" i="1"/>
  <c r="AG121" i="1"/>
  <c r="AG118" i="1"/>
  <c r="AD118" i="1"/>
  <c r="AF118" i="1"/>
  <c r="AF117" i="1"/>
  <c r="AD117" i="1"/>
  <c r="AG117" i="1"/>
  <c r="AF111" i="1"/>
  <c r="AG111" i="1"/>
  <c r="AD111" i="1"/>
  <c r="AF116" i="1"/>
  <c r="AD116" i="1"/>
  <c r="AG116" i="1"/>
  <c r="AG124" i="1"/>
  <c r="AF124" i="1"/>
  <c r="AD124" i="1"/>
  <c r="AF115" i="1"/>
  <c r="AG115" i="1"/>
  <c r="AD115" i="1"/>
  <c r="AF110" i="1"/>
  <c r="AD110" i="1"/>
  <c r="AG110" i="1"/>
  <c r="L8" i="10" l="1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M14" i="10"/>
  <c r="N14" i="10"/>
  <c r="M15" i="10"/>
  <c r="N15" i="10"/>
  <c r="K8" i="10"/>
  <c r="M8" i="10"/>
  <c r="M9" i="10"/>
  <c r="M10" i="10"/>
  <c r="M11" i="10"/>
  <c r="M12" i="10"/>
  <c r="M13" i="10"/>
  <c r="BG9" i="1"/>
  <c r="BE9" i="1"/>
  <c r="BU3" i="1"/>
  <c r="BP9" i="1" l="1"/>
  <c r="BM9" i="1"/>
  <c r="BJ9" i="1"/>
  <c r="N9" i="10" l="1"/>
  <c r="N10" i="10"/>
  <c r="N11" i="10"/>
  <c r="N12" i="10"/>
  <c r="N13" i="10"/>
  <c r="N8" i="10"/>
  <c r="CG9" i="1"/>
  <c r="CA9" i="1"/>
  <c r="CG210" i="1" l="1"/>
  <c r="CG209" i="1"/>
  <c r="CG147" i="1"/>
  <c r="CG148" i="1"/>
  <c r="CG136" i="1"/>
  <c r="CG134" i="1"/>
  <c r="CG146" i="1"/>
  <c r="CG132" i="1"/>
  <c r="CG144" i="1"/>
  <c r="CG133" i="1"/>
  <c r="CG149" i="1"/>
  <c r="CG135" i="1"/>
  <c r="CG130" i="1"/>
  <c r="CG23" i="1"/>
  <c r="CG24" i="1"/>
  <c r="CG22" i="1"/>
  <c r="CG73" i="1"/>
  <c r="CG25" i="1"/>
  <c r="CG26" i="1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R163" i="1" l="1"/>
  <c r="R187" i="1"/>
  <c r="R160" i="1"/>
  <c r="R242" i="1"/>
  <c r="R148" i="1"/>
  <c r="R172" i="1"/>
  <c r="R196" i="1"/>
  <c r="BZ196" i="1" s="1"/>
  <c r="R252" i="1"/>
  <c r="R260" i="1"/>
  <c r="R218" i="1"/>
  <c r="R250" i="1"/>
  <c r="R198" i="1"/>
  <c r="R222" i="1"/>
  <c r="R230" i="1"/>
  <c r="R184" i="1"/>
  <c r="R240" i="1"/>
  <c r="R127" i="1"/>
  <c r="R151" i="1"/>
  <c r="BZ151" i="1" s="1"/>
  <c r="R175" i="1"/>
  <c r="R232" i="1"/>
  <c r="R147" i="1"/>
  <c r="R171" i="1"/>
  <c r="R195" i="1"/>
  <c r="BZ195" i="1" s="1"/>
  <c r="R259" i="1"/>
  <c r="R217" i="1"/>
  <c r="R249" i="1"/>
  <c r="R186" i="1"/>
  <c r="R229" i="1"/>
  <c r="R126" i="1"/>
  <c r="V126" i="1" s="1"/>
  <c r="Y126" i="1" s="1"/>
  <c r="CA126" i="1" s="1"/>
  <c r="R150" i="1"/>
  <c r="R174" i="1"/>
  <c r="R159" i="1"/>
  <c r="R183" i="1"/>
  <c r="BZ183" i="1" s="1"/>
  <c r="R239" i="1"/>
  <c r="R162" i="1"/>
  <c r="R212" i="1"/>
  <c r="R141" i="1"/>
  <c r="R204" i="1"/>
  <c r="R133" i="1"/>
  <c r="BZ133" i="1" s="1"/>
  <c r="R170" i="1"/>
  <c r="R228" i="1"/>
  <c r="R216" i="1"/>
  <c r="R248" i="1"/>
  <c r="R146" i="1"/>
  <c r="BZ146" i="1" s="1"/>
  <c r="R158" i="1"/>
  <c r="R182" i="1"/>
  <c r="BZ182" i="1" s="1"/>
  <c r="R238" i="1"/>
  <c r="R194" i="1"/>
  <c r="BZ194" i="1" s="1"/>
  <c r="R258" i="1"/>
  <c r="R211" i="1"/>
  <c r="R140" i="1"/>
  <c r="R203" i="1"/>
  <c r="R132" i="1"/>
  <c r="R227" i="1"/>
  <c r="R145" i="1"/>
  <c r="BZ145" i="1" s="1"/>
  <c r="R157" i="1"/>
  <c r="BZ157" i="1" s="1"/>
  <c r="R181" i="1"/>
  <c r="BZ181" i="1" s="1"/>
  <c r="R237" i="1"/>
  <c r="R169" i="1"/>
  <c r="R257" i="1"/>
  <c r="R215" i="1"/>
  <c r="R247" i="1"/>
  <c r="R193" i="1"/>
  <c r="BZ193" i="1" s="1"/>
  <c r="R205" i="1"/>
  <c r="R134" i="1"/>
  <c r="R139" i="1"/>
  <c r="R210" i="1"/>
  <c r="R131" i="1"/>
  <c r="BZ131" i="1" s="1"/>
  <c r="R202" i="1"/>
  <c r="R256" i="1"/>
  <c r="R156" i="1"/>
  <c r="BZ156" i="1" s="1"/>
  <c r="R180" i="1"/>
  <c r="BZ180" i="1" s="1"/>
  <c r="R236" i="1"/>
  <c r="R214" i="1"/>
  <c r="R246" i="1"/>
  <c r="R144" i="1"/>
  <c r="BZ144" i="1" s="1"/>
  <c r="R168" i="1"/>
  <c r="R192" i="1"/>
  <c r="BZ192" i="1" s="1"/>
  <c r="R226" i="1"/>
  <c r="R206" i="1"/>
  <c r="R135" i="1"/>
  <c r="BZ135" i="1" s="1"/>
  <c r="R138" i="1"/>
  <c r="R209" i="1"/>
  <c r="BZ209" i="1" s="1"/>
  <c r="R221" i="1"/>
  <c r="R201" i="1"/>
  <c r="R130" i="1"/>
  <c r="BZ130" i="1" s="1"/>
  <c r="R155" i="1"/>
  <c r="BZ155" i="1" s="1"/>
  <c r="R179" i="1"/>
  <c r="BZ179" i="1" s="1"/>
  <c r="R235" i="1"/>
  <c r="R245" i="1"/>
  <c r="R213" i="1"/>
  <c r="R143" i="1"/>
  <c r="R167" i="1"/>
  <c r="R191" i="1"/>
  <c r="BZ191" i="1" s="1"/>
  <c r="R255" i="1"/>
  <c r="R225" i="1"/>
  <c r="R137" i="1"/>
  <c r="R208" i="1"/>
  <c r="R224" i="1"/>
  <c r="R177" i="1"/>
  <c r="R220" i="1"/>
  <c r="R244" i="1"/>
  <c r="R165" i="1"/>
  <c r="R189" i="1"/>
  <c r="BZ189" i="1" s="1"/>
  <c r="R254" i="1"/>
  <c r="R129" i="1"/>
  <c r="R200" i="1"/>
  <c r="R153" i="1"/>
  <c r="BZ153" i="1" s="1"/>
  <c r="R234" i="1"/>
  <c r="R142" i="1"/>
  <c r="R166" i="1"/>
  <c r="R190" i="1"/>
  <c r="BZ190" i="1" s="1"/>
  <c r="R178" i="1"/>
  <c r="BZ178" i="1" s="1"/>
  <c r="R154" i="1"/>
  <c r="BZ154" i="1" s="1"/>
  <c r="R136" i="1"/>
  <c r="BZ136" i="1" s="1"/>
  <c r="R207" i="1"/>
  <c r="R219" i="1"/>
  <c r="R243" i="1"/>
  <c r="R251" i="1"/>
  <c r="R241" i="1"/>
  <c r="R164" i="1"/>
  <c r="R188" i="1"/>
  <c r="BZ188" i="1" s="1"/>
  <c r="R149" i="1"/>
  <c r="BZ149" i="1" s="1"/>
  <c r="R173" i="1"/>
  <c r="R253" i="1"/>
  <c r="R152" i="1"/>
  <c r="BZ152" i="1" s="1"/>
  <c r="R176" i="1"/>
  <c r="BZ176" i="1" s="1"/>
  <c r="R197" i="1"/>
  <c r="BZ197" i="1" s="1"/>
  <c r="R261" i="1"/>
  <c r="R128" i="1"/>
  <c r="R199" i="1"/>
  <c r="R223" i="1"/>
  <c r="R231" i="1"/>
  <c r="R161" i="1"/>
  <c r="R185" i="1"/>
  <c r="R233" i="1"/>
  <c r="BZ210" i="1"/>
  <c r="BZ24" i="1"/>
  <c r="BZ23" i="1"/>
  <c r="BZ33" i="1"/>
  <c r="BZ82" i="1"/>
  <c r="BZ81" i="1"/>
  <c r="BZ10" i="1"/>
  <c r="BZ22" i="1"/>
  <c r="BZ134" i="1"/>
  <c r="BZ79" i="1"/>
  <c r="BZ32" i="1"/>
  <c r="BZ80" i="1"/>
  <c r="BZ31" i="1"/>
  <c r="BZ132" i="1"/>
  <c r="BZ78" i="1"/>
  <c r="BZ29" i="1"/>
  <c r="BZ30" i="1"/>
  <c r="BZ28" i="1"/>
  <c r="BZ27" i="1"/>
  <c r="BZ148" i="1"/>
  <c r="BZ26" i="1"/>
  <c r="BZ73" i="1"/>
  <c r="BZ147" i="1"/>
  <c r="BZ25" i="1"/>
  <c r="BZ177" i="1"/>
  <c r="BZ125" i="1"/>
  <c r="BZ21" i="1"/>
  <c r="BZ45" i="1"/>
  <c r="BZ57" i="1"/>
  <c r="BZ94" i="1"/>
  <c r="BZ95" i="1"/>
  <c r="BZ115" i="1"/>
  <c r="BZ109" i="1"/>
  <c r="BZ14" i="1"/>
  <c r="BZ38" i="1"/>
  <c r="BZ50" i="1"/>
  <c r="BZ62" i="1"/>
  <c r="BZ119" i="1"/>
  <c r="BZ19" i="1"/>
  <c r="BZ43" i="1"/>
  <c r="BZ55" i="1"/>
  <c r="BZ67" i="1"/>
  <c r="BZ112" i="1"/>
  <c r="BZ124" i="1"/>
  <c r="BZ20" i="1"/>
  <c r="BZ44" i="1"/>
  <c r="BZ56" i="1"/>
  <c r="BZ68" i="1"/>
  <c r="BZ114" i="1"/>
  <c r="BZ122" i="1"/>
  <c r="BZ108" i="1"/>
  <c r="BZ85" i="1"/>
  <c r="BZ13" i="1"/>
  <c r="BZ37" i="1"/>
  <c r="BZ49" i="1"/>
  <c r="BZ61" i="1"/>
  <c r="BZ118" i="1"/>
  <c r="BZ34" i="1"/>
  <c r="BZ46" i="1"/>
  <c r="BZ58" i="1"/>
  <c r="BZ158" i="1"/>
  <c r="BZ175" i="1"/>
  <c r="BZ113" i="1"/>
  <c r="BZ121" i="1"/>
  <c r="BZ17" i="1"/>
  <c r="BZ41" i="1"/>
  <c r="BZ53" i="1"/>
  <c r="BZ65" i="1"/>
  <c r="BZ18" i="1"/>
  <c r="BZ42" i="1"/>
  <c r="BZ54" i="1"/>
  <c r="BZ66" i="1"/>
  <c r="BZ111" i="1"/>
  <c r="BZ123" i="1"/>
  <c r="BZ84" i="1"/>
  <c r="BZ12" i="1"/>
  <c r="BZ36" i="1"/>
  <c r="BZ48" i="1"/>
  <c r="BZ60" i="1"/>
  <c r="BZ117" i="1"/>
  <c r="BZ150" i="1"/>
  <c r="BZ15" i="1"/>
  <c r="BZ39" i="1"/>
  <c r="BZ51" i="1"/>
  <c r="BZ63" i="1"/>
  <c r="BZ120" i="1"/>
  <c r="BZ16" i="1"/>
  <c r="BZ40" i="1"/>
  <c r="BZ52" i="1"/>
  <c r="BZ64" i="1"/>
  <c r="BZ110" i="1"/>
  <c r="BZ11" i="1"/>
  <c r="BZ35" i="1"/>
  <c r="BZ47" i="1"/>
  <c r="BZ59" i="1"/>
  <c r="BZ116" i="1"/>
  <c r="BZ83" i="1"/>
  <c r="Q126" i="1" l="1"/>
  <c r="S126" i="1" s="1"/>
  <c r="V139" i="1"/>
  <c r="Y139" i="1" s="1"/>
  <c r="CA139" i="1" s="1"/>
  <c r="Q139" i="1"/>
  <c r="S139" i="1" s="1"/>
  <c r="V212" i="1"/>
  <c r="Y212" i="1" s="1"/>
  <c r="CA212" i="1" s="1"/>
  <c r="Q212" i="1"/>
  <c r="S212" i="1" s="1"/>
  <c r="Q201" i="1"/>
  <c r="S201" i="1" s="1"/>
  <c r="V201" i="1"/>
  <c r="Y201" i="1" s="1"/>
  <c r="CA201" i="1" s="1"/>
  <c r="V77" i="1"/>
  <c r="Y77" i="1" s="1"/>
  <c r="CA77" i="1" s="1"/>
  <c r="Q77" i="1"/>
  <c r="S77" i="1" s="1"/>
  <c r="Q80" i="1"/>
  <c r="S80" i="1" s="1"/>
  <c r="V80" i="1"/>
  <c r="Y80" i="1" s="1"/>
  <c r="CA80" i="1" s="1"/>
  <c r="V215" i="1"/>
  <c r="Y215" i="1" s="1"/>
  <c r="CA215" i="1" s="1"/>
  <c r="Q215" i="1"/>
  <c r="S215" i="1" s="1"/>
  <c r="V205" i="1"/>
  <c r="Y205" i="1" s="1"/>
  <c r="CA205" i="1" s="1"/>
  <c r="Q205" i="1"/>
  <c r="S205" i="1" s="1"/>
  <c r="V71" i="1"/>
  <c r="Y71" i="1" s="1"/>
  <c r="CA71" i="1" s="1"/>
  <c r="Q71" i="1"/>
  <c r="S71" i="1" s="1"/>
  <c r="Q219" i="1"/>
  <c r="S219" i="1" s="1"/>
  <c r="V219" i="1"/>
  <c r="Y219" i="1" s="1"/>
  <c r="CA219" i="1" s="1"/>
  <c r="V140" i="1"/>
  <c r="Y140" i="1" s="1"/>
  <c r="CA140" i="1" s="1"/>
  <c r="Q140" i="1"/>
  <c r="S140" i="1" s="1"/>
  <c r="V130" i="1"/>
  <c r="Y130" i="1" s="1"/>
  <c r="CA130" i="1" s="1"/>
  <c r="Q130" i="1"/>
  <c r="S130" i="1" s="1"/>
  <c r="Q78" i="1"/>
  <c r="S78" i="1" s="1"/>
  <c r="V78" i="1"/>
  <c r="Y78" i="1" s="1"/>
  <c r="CA78" i="1" s="1"/>
  <c r="Q32" i="1"/>
  <c r="S32" i="1" s="1"/>
  <c r="V32" i="1"/>
  <c r="Y32" i="1" s="1"/>
  <c r="CA32" i="1" s="1"/>
  <c r="V22" i="1"/>
  <c r="Y22" i="1" s="1"/>
  <c r="CA22" i="1" s="1"/>
  <c r="Q22" i="1"/>
  <c r="S22" i="1" s="1"/>
  <c r="V136" i="1"/>
  <c r="Y136" i="1" s="1"/>
  <c r="CA136" i="1" s="1"/>
  <c r="Q136" i="1"/>
  <c r="S136" i="1" s="1"/>
  <c r="Q127" i="1"/>
  <c r="S127" i="1" s="1"/>
  <c r="V127" i="1"/>
  <c r="Y127" i="1" s="1"/>
  <c r="CA127" i="1" s="1"/>
  <c r="V147" i="1"/>
  <c r="Y147" i="1" s="1"/>
  <c r="CA147" i="1" s="1"/>
  <c r="Q147" i="1"/>
  <c r="S147" i="1" s="1"/>
  <c r="Q148" i="1"/>
  <c r="S148" i="1" s="1"/>
  <c r="V148" i="1"/>
  <c r="Y148" i="1" s="1"/>
  <c r="CA148" i="1" s="1"/>
  <c r="Q141" i="1"/>
  <c r="S141" i="1" s="1"/>
  <c r="V141" i="1"/>
  <c r="Y141" i="1" s="1"/>
  <c r="CA141" i="1" s="1"/>
  <c r="Q132" i="1"/>
  <c r="S132" i="1" s="1"/>
  <c r="V132" i="1"/>
  <c r="Y132" i="1" s="1"/>
  <c r="CA132" i="1" s="1"/>
  <c r="Q79" i="1"/>
  <c r="S79" i="1" s="1"/>
  <c r="V79" i="1"/>
  <c r="Y79" i="1" s="1"/>
  <c r="CA79" i="1" s="1"/>
  <c r="Q216" i="1"/>
  <c r="S216" i="1" s="1"/>
  <c r="V216" i="1"/>
  <c r="Y216" i="1" s="1"/>
  <c r="CA216" i="1" s="1"/>
  <c r="Q137" i="1"/>
  <c r="S137" i="1" s="1"/>
  <c r="V137" i="1"/>
  <c r="Y137" i="1" s="1"/>
  <c r="CA137" i="1" s="1"/>
  <c r="V198" i="1"/>
  <c r="Y198" i="1" s="1"/>
  <c r="CA198" i="1" s="1"/>
  <c r="Q198" i="1"/>
  <c r="S198" i="1" s="1"/>
  <c r="V72" i="1"/>
  <c r="Y72" i="1" s="1"/>
  <c r="CA72" i="1" s="1"/>
  <c r="Q72" i="1"/>
  <c r="S72" i="1" s="1"/>
  <c r="V73" i="1"/>
  <c r="Y73" i="1" s="1"/>
  <c r="CA73" i="1" s="1"/>
  <c r="Q73" i="1"/>
  <c r="S73" i="1" s="1"/>
  <c r="V220" i="1"/>
  <c r="Y220" i="1" s="1"/>
  <c r="CA220" i="1" s="1"/>
  <c r="Q220" i="1"/>
  <c r="S220" i="1" s="1"/>
  <c r="Q213" i="1"/>
  <c r="S213" i="1" s="1"/>
  <c r="V213" i="1"/>
  <c r="Y213" i="1" s="1"/>
  <c r="CA213" i="1" s="1"/>
  <c r="Q131" i="1"/>
  <c r="S131" i="1" s="1"/>
  <c r="V131" i="1"/>
  <c r="Y131" i="1" s="1"/>
  <c r="CA131" i="1" s="1"/>
  <c r="V204" i="1"/>
  <c r="Y204" i="1" s="1"/>
  <c r="CA204" i="1" s="1"/>
  <c r="Q204" i="1"/>
  <c r="S204" i="1" s="1"/>
  <c r="V81" i="1"/>
  <c r="Y81" i="1" s="1"/>
  <c r="CA81" i="1" s="1"/>
  <c r="Q81" i="1"/>
  <c r="S81" i="1" s="1"/>
  <c r="V144" i="1"/>
  <c r="Y144" i="1" s="1"/>
  <c r="CA144" i="1" s="1"/>
  <c r="Q144" i="1"/>
  <c r="S144" i="1" s="1"/>
  <c r="V208" i="1"/>
  <c r="Y208" i="1" s="1"/>
  <c r="CA208" i="1" s="1"/>
  <c r="Q208" i="1"/>
  <c r="S208" i="1" s="1"/>
  <c r="V210" i="1"/>
  <c r="Y210" i="1" s="1"/>
  <c r="CA210" i="1" s="1"/>
  <c r="Q210" i="1"/>
  <c r="S210" i="1" s="1"/>
  <c r="V25" i="1"/>
  <c r="Y25" i="1" s="1"/>
  <c r="CA25" i="1" s="1"/>
  <c r="Q25" i="1"/>
  <c r="S25" i="1" s="1"/>
  <c r="Q26" i="1"/>
  <c r="S26" i="1" s="1"/>
  <c r="V26" i="1"/>
  <c r="Y26" i="1" s="1"/>
  <c r="CA26" i="1" s="1"/>
  <c r="Q76" i="1"/>
  <c r="S76" i="1" s="1"/>
  <c r="V76" i="1"/>
  <c r="Y76" i="1" s="1"/>
  <c r="CA76" i="1" s="1"/>
  <c r="V221" i="1"/>
  <c r="Y221" i="1" s="1"/>
  <c r="CA221" i="1" s="1"/>
  <c r="Q221" i="1"/>
  <c r="S221" i="1" s="1"/>
  <c r="Q202" i="1"/>
  <c r="S202" i="1" s="1"/>
  <c r="V202" i="1"/>
  <c r="Y202" i="1" s="1"/>
  <c r="CA202" i="1" s="1"/>
  <c r="Q203" i="1"/>
  <c r="S203" i="1" s="1"/>
  <c r="V203" i="1"/>
  <c r="Y203" i="1" s="1"/>
  <c r="CA203" i="1" s="1"/>
  <c r="V82" i="1"/>
  <c r="Y82" i="1" s="1"/>
  <c r="CA82" i="1" s="1"/>
  <c r="Q82" i="1"/>
  <c r="S82" i="1" s="1"/>
  <c r="V23" i="1"/>
  <c r="Y23" i="1" s="1"/>
  <c r="CA23" i="1" s="1"/>
  <c r="Q23" i="1"/>
  <c r="S23" i="1" s="1"/>
  <c r="V207" i="1"/>
  <c r="Y207" i="1" s="1"/>
  <c r="CA207" i="1" s="1"/>
  <c r="Q207" i="1"/>
  <c r="S207" i="1" s="1"/>
  <c r="V138" i="1"/>
  <c r="Y138" i="1" s="1"/>
  <c r="CA138" i="1" s="1"/>
  <c r="Q138" i="1"/>
  <c r="S138" i="1" s="1"/>
  <c r="V128" i="1"/>
  <c r="Y128" i="1" s="1"/>
  <c r="CA128" i="1" s="1"/>
  <c r="Q128" i="1"/>
  <c r="S128" i="1" s="1"/>
  <c r="V74" i="1"/>
  <c r="Y74" i="1" s="1"/>
  <c r="CA74" i="1" s="1"/>
  <c r="Q74" i="1"/>
  <c r="S74" i="1" s="1"/>
  <c r="Q27" i="1"/>
  <c r="S27" i="1" s="1"/>
  <c r="V27" i="1"/>
  <c r="Y27" i="1" s="1"/>
  <c r="CA27" i="1" s="1"/>
  <c r="V149" i="1"/>
  <c r="Y149" i="1" s="1"/>
  <c r="CA149" i="1" s="1"/>
  <c r="Q149" i="1"/>
  <c r="S149" i="1" s="1"/>
  <c r="V142" i="1"/>
  <c r="Y142" i="1" s="1"/>
  <c r="CA142" i="1" s="1"/>
  <c r="Q142" i="1"/>
  <c r="S142" i="1" s="1"/>
  <c r="Q133" i="1"/>
  <c r="S133" i="1" s="1"/>
  <c r="V133" i="1"/>
  <c r="Y133" i="1" s="1"/>
  <c r="CA133" i="1" s="1"/>
  <c r="Q33" i="1"/>
  <c r="S33" i="1" s="1"/>
  <c r="V33" i="1"/>
  <c r="Y33" i="1" s="1"/>
  <c r="CA33" i="1" s="1"/>
  <c r="Q70" i="1"/>
  <c r="S70" i="1" s="1"/>
  <c r="V70" i="1"/>
  <c r="Y70" i="1" s="1"/>
  <c r="CA70" i="1" s="1"/>
  <c r="V145" i="1"/>
  <c r="Y145" i="1" s="1"/>
  <c r="CA145" i="1" s="1"/>
  <c r="Q145" i="1"/>
  <c r="S145" i="1" s="1"/>
  <c r="V209" i="1"/>
  <c r="Y209" i="1" s="1"/>
  <c r="CA209" i="1" s="1"/>
  <c r="Q209" i="1"/>
  <c r="S209" i="1" s="1"/>
  <c r="V199" i="1"/>
  <c r="Y199" i="1" s="1"/>
  <c r="CA199" i="1" s="1"/>
  <c r="Q199" i="1"/>
  <c r="S199" i="1" s="1"/>
  <c r="Q200" i="1"/>
  <c r="S200" i="1" s="1"/>
  <c r="V200" i="1"/>
  <c r="Y200" i="1" s="1"/>
  <c r="CA200" i="1" s="1"/>
  <c r="Q75" i="1"/>
  <c r="S75" i="1" s="1"/>
  <c r="V75" i="1"/>
  <c r="Y75" i="1" s="1"/>
  <c r="CA75" i="1" s="1"/>
  <c r="Q30" i="1"/>
  <c r="S30" i="1" s="1"/>
  <c r="V30" i="1"/>
  <c r="Y30" i="1" s="1"/>
  <c r="CA30" i="1" s="1"/>
  <c r="Q214" i="1"/>
  <c r="S214" i="1" s="1"/>
  <c r="V214" i="1"/>
  <c r="Y214" i="1" s="1"/>
  <c r="CA214" i="1" s="1"/>
  <c r="V134" i="1"/>
  <c r="Y134" i="1" s="1"/>
  <c r="CA134" i="1" s="1"/>
  <c r="Q134" i="1"/>
  <c r="S134" i="1" s="1"/>
  <c r="V206" i="1"/>
  <c r="Y206" i="1" s="1"/>
  <c r="CA206" i="1" s="1"/>
  <c r="Q206" i="1"/>
  <c r="S206" i="1" s="1"/>
  <c r="V217" i="1"/>
  <c r="Y217" i="1" s="1"/>
  <c r="CA217" i="1" s="1"/>
  <c r="Q217" i="1"/>
  <c r="S217" i="1" s="1"/>
  <c r="Q218" i="1"/>
  <c r="S218" i="1" s="1"/>
  <c r="V218" i="1"/>
  <c r="Y218" i="1" s="1"/>
  <c r="CA218" i="1" s="1"/>
  <c r="Q211" i="1"/>
  <c r="S211" i="1" s="1"/>
  <c r="V211" i="1"/>
  <c r="Y211" i="1" s="1"/>
  <c r="CA211" i="1" s="1"/>
  <c r="Q129" i="1"/>
  <c r="S129" i="1" s="1"/>
  <c r="V129" i="1"/>
  <c r="Y129" i="1" s="1"/>
  <c r="CA129" i="1" s="1"/>
  <c r="Q28" i="1"/>
  <c r="S28" i="1" s="1"/>
  <c r="V28" i="1"/>
  <c r="Y28" i="1" s="1"/>
  <c r="CA28" i="1" s="1"/>
  <c r="Q29" i="1"/>
  <c r="S29" i="1" s="1"/>
  <c r="V29" i="1"/>
  <c r="Y29" i="1" s="1"/>
  <c r="CA29" i="1" s="1"/>
  <c r="Q31" i="1"/>
  <c r="S31" i="1" s="1"/>
  <c r="V31" i="1"/>
  <c r="Y31" i="1" s="1"/>
  <c r="CA31" i="1" s="1"/>
  <c r="V143" i="1"/>
  <c r="Y143" i="1" s="1"/>
  <c r="CA143" i="1" s="1"/>
  <c r="Q143" i="1"/>
  <c r="S143" i="1" s="1"/>
  <c r="V135" i="1"/>
  <c r="Y135" i="1" s="1"/>
  <c r="CA135" i="1" s="1"/>
  <c r="Q135" i="1"/>
  <c r="S135" i="1" s="1"/>
  <c r="Q24" i="1"/>
  <c r="S24" i="1" s="1"/>
  <c r="V24" i="1"/>
  <c r="Y24" i="1" s="1"/>
  <c r="CA24" i="1" s="1"/>
  <c r="V146" i="1"/>
  <c r="Y146" i="1" s="1"/>
  <c r="CA146" i="1" s="1"/>
  <c r="Q146" i="1"/>
  <c r="S146" i="1" s="1"/>
  <c r="V109" i="1"/>
  <c r="Y109" i="1" s="1"/>
  <c r="CA109" i="1" s="1"/>
  <c r="Q109" i="1"/>
  <c r="S109" i="1" s="1"/>
  <c r="V62" i="1"/>
  <c r="Y62" i="1" s="1"/>
  <c r="CA62" i="1" s="1"/>
  <c r="Q62" i="1"/>
  <c r="S62" i="1" s="1"/>
  <c r="V69" i="1"/>
  <c r="Y69" i="1" s="1"/>
  <c r="CA69" i="1" s="1"/>
  <c r="Q69" i="1"/>
  <c r="S69" i="1" s="1"/>
  <c r="V115" i="1"/>
  <c r="Y115" i="1" s="1"/>
  <c r="CA115" i="1" s="1"/>
  <c r="Q115" i="1"/>
  <c r="S115" i="1" s="1"/>
  <c r="V21" i="1"/>
  <c r="Y21" i="1" s="1"/>
  <c r="CA21" i="1" s="1"/>
  <c r="Q21" i="1"/>
  <c r="S21" i="1" s="1"/>
  <c r="Q157" i="1"/>
  <c r="S157" i="1" s="1"/>
  <c r="V157" i="1"/>
  <c r="Y157" i="1" s="1"/>
  <c r="CA157" i="1" s="1"/>
  <c r="V59" i="1"/>
  <c r="Y59" i="1" s="1"/>
  <c r="CA59" i="1" s="1"/>
  <c r="Q59" i="1"/>
  <c r="S59" i="1" s="1"/>
  <c r="V83" i="1"/>
  <c r="Y83" i="1" s="1"/>
  <c r="CA83" i="1" s="1"/>
  <c r="Q83" i="1"/>
  <c r="S83" i="1" s="1"/>
  <c r="V51" i="1"/>
  <c r="Y51" i="1" s="1"/>
  <c r="CA51" i="1" s="1"/>
  <c r="Q51" i="1"/>
  <c r="S51" i="1" s="1"/>
  <c r="V110" i="1"/>
  <c r="Y110" i="1" s="1"/>
  <c r="CA110" i="1" s="1"/>
  <c r="Q110" i="1"/>
  <c r="S110" i="1" s="1"/>
  <c r="Q39" i="1"/>
  <c r="S39" i="1" s="1"/>
  <c r="V39" i="1"/>
  <c r="Y39" i="1" s="1"/>
  <c r="CA39" i="1" s="1"/>
  <c r="V150" i="1"/>
  <c r="Y150" i="1" s="1"/>
  <c r="CA150" i="1" s="1"/>
  <c r="Q150" i="1"/>
  <c r="S150" i="1" s="1"/>
  <c r="Q161" i="1"/>
  <c r="S161" i="1" s="1"/>
  <c r="V161" i="1"/>
  <c r="Y161" i="1" s="1"/>
  <c r="CA161" i="1" s="1"/>
  <c r="Q36" i="1"/>
  <c r="S36" i="1" s="1"/>
  <c r="V36" i="1"/>
  <c r="Y36" i="1" s="1"/>
  <c r="CA36" i="1" s="1"/>
  <c r="Q48" i="1"/>
  <c r="S48" i="1" s="1"/>
  <c r="V48" i="1"/>
  <c r="Y48" i="1" s="1"/>
  <c r="CA48" i="1" s="1"/>
  <c r="V103" i="1"/>
  <c r="Y103" i="1" s="1"/>
  <c r="CA103" i="1" s="1"/>
  <c r="Q103" i="1"/>
  <c r="S103" i="1" s="1"/>
  <c r="Q66" i="1"/>
  <c r="S66" i="1" s="1"/>
  <c r="V66" i="1"/>
  <c r="Y66" i="1" s="1"/>
  <c r="CA66" i="1" s="1"/>
  <c r="V53" i="1"/>
  <c r="Y53" i="1" s="1"/>
  <c r="CA53" i="1" s="1"/>
  <c r="Q53" i="1"/>
  <c r="S53" i="1" s="1"/>
  <c r="Q121" i="1"/>
  <c r="S121" i="1" s="1"/>
  <c r="V121" i="1"/>
  <c r="Y121" i="1" s="1"/>
  <c r="CA121" i="1" s="1"/>
  <c r="V61" i="1"/>
  <c r="Y61" i="1" s="1"/>
  <c r="CA61" i="1" s="1"/>
  <c r="Q61" i="1"/>
  <c r="S61" i="1" s="1"/>
  <c r="V112" i="1"/>
  <c r="Y112" i="1" s="1"/>
  <c r="CA112" i="1" s="1"/>
  <c r="Q112" i="1"/>
  <c r="S112" i="1" s="1"/>
  <c r="Q67" i="1"/>
  <c r="S67" i="1" s="1"/>
  <c r="V67" i="1"/>
  <c r="Y67" i="1" s="1"/>
  <c r="CA67" i="1" s="1"/>
  <c r="V102" i="1"/>
  <c r="Y102" i="1" s="1"/>
  <c r="CA102" i="1" s="1"/>
  <c r="Q102" i="1"/>
  <c r="S102" i="1" s="1"/>
  <c r="Q114" i="1"/>
  <c r="S114" i="1" s="1"/>
  <c r="V114" i="1"/>
  <c r="Y114" i="1" s="1"/>
  <c r="CA114" i="1" s="1"/>
  <c r="Q152" i="1"/>
  <c r="S152" i="1" s="1"/>
  <c r="V152" i="1"/>
  <c r="Y152" i="1" s="1"/>
  <c r="CA152" i="1" s="1"/>
  <c r="V58" i="1"/>
  <c r="Y58" i="1" s="1"/>
  <c r="CA58" i="1" s="1"/>
  <c r="Q58" i="1"/>
  <c r="S58" i="1" s="1"/>
  <c r="V99" i="1"/>
  <c r="Y99" i="1" s="1"/>
  <c r="CA99" i="1" s="1"/>
  <c r="Q99" i="1"/>
  <c r="S99" i="1" s="1"/>
  <c r="Q38" i="1"/>
  <c r="S38" i="1" s="1"/>
  <c r="V38" i="1"/>
  <c r="Y38" i="1" s="1"/>
  <c r="CA38" i="1" s="1"/>
  <c r="V57" i="1"/>
  <c r="Y57" i="1" s="1"/>
  <c r="CA57" i="1" s="1"/>
  <c r="Q57" i="1"/>
  <c r="S57" i="1" s="1"/>
  <c r="V105" i="1"/>
  <c r="Y105" i="1" s="1"/>
  <c r="CA105" i="1" s="1"/>
  <c r="Q105" i="1"/>
  <c r="S105" i="1" s="1"/>
  <c r="V11" i="1"/>
  <c r="Q11" i="1"/>
  <c r="S11" i="1" s="1"/>
  <c r="Q35" i="1"/>
  <c r="S35" i="1" s="1"/>
  <c r="V35" i="1"/>
  <c r="Y35" i="1" s="1"/>
  <c r="CA35" i="1" s="1"/>
  <c r="V16" i="1"/>
  <c r="Y16" i="1" s="1"/>
  <c r="CA16" i="1" s="1"/>
  <c r="Q16" i="1"/>
  <c r="S16" i="1" s="1"/>
  <c r="V40" i="1"/>
  <c r="Y40" i="1" s="1"/>
  <c r="CA40" i="1" s="1"/>
  <c r="Q40" i="1"/>
  <c r="S40" i="1" s="1"/>
  <c r="V120" i="1"/>
  <c r="Y120" i="1" s="1"/>
  <c r="CA120" i="1" s="1"/>
  <c r="Q120" i="1"/>
  <c r="S120" i="1" s="1"/>
  <c r="V117" i="1"/>
  <c r="Y117" i="1" s="1"/>
  <c r="CA117" i="1" s="1"/>
  <c r="Q117" i="1"/>
  <c r="S117" i="1" s="1"/>
  <c r="V12" i="1"/>
  <c r="Q12" i="1"/>
  <c r="S12" i="1" s="1"/>
  <c r="V111" i="1"/>
  <c r="Y111" i="1" s="1"/>
  <c r="CA111" i="1" s="1"/>
  <c r="Q111" i="1"/>
  <c r="S111" i="1" s="1"/>
  <c r="V91" i="1"/>
  <c r="Y91" i="1" s="1"/>
  <c r="CA91" i="1" s="1"/>
  <c r="Q91" i="1"/>
  <c r="S91" i="1" s="1"/>
  <c r="V65" i="1"/>
  <c r="Y65" i="1" s="1"/>
  <c r="CA65" i="1" s="1"/>
  <c r="Q65" i="1"/>
  <c r="S65" i="1" s="1"/>
  <c r="V41" i="1"/>
  <c r="Y41" i="1" s="1"/>
  <c r="CA41" i="1" s="1"/>
  <c r="Q41" i="1"/>
  <c r="S41" i="1" s="1"/>
  <c r="Q113" i="1"/>
  <c r="S113" i="1" s="1"/>
  <c r="V113" i="1"/>
  <c r="Y113" i="1" s="1"/>
  <c r="CA113" i="1" s="1"/>
  <c r="Q151" i="1"/>
  <c r="S151" i="1" s="1"/>
  <c r="V151" i="1"/>
  <c r="Y151" i="1" s="1"/>
  <c r="CA151" i="1" s="1"/>
  <c r="Q158" i="1"/>
  <c r="S158" i="1" s="1"/>
  <c r="V158" i="1"/>
  <c r="Y158" i="1" s="1"/>
  <c r="CA158" i="1" s="1"/>
  <c r="Q118" i="1"/>
  <c r="S118" i="1" s="1"/>
  <c r="V118" i="1"/>
  <c r="Y118" i="1" s="1"/>
  <c r="CA118" i="1" s="1"/>
  <c r="Q49" i="1"/>
  <c r="S49" i="1" s="1"/>
  <c r="V49" i="1"/>
  <c r="Y49" i="1" s="1"/>
  <c r="CA49" i="1" s="1"/>
  <c r="V104" i="1"/>
  <c r="Y104" i="1" s="1"/>
  <c r="CA104" i="1" s="1"/>
  <c r="Q104" i="1"/>
  <c r="S104" i="1" s="1"/>
  <c r="V56" i="1"/>
  <c r="Y56" i="1" s="1"/>
  <c r="CA56" i="1" s="1"/>
  <c r="Q56" i="1"/>
  <c r="S56" i="1" s="1"/>
  <c r="V55" i="1"/>
  <c r="Y55" i="1" s="1"/>
  <c r="CA55" i="1" s="1"/>
  <c r="Q55" i="1"/>
  <c r="S55" i="1" s="1"/>
  <c r="V43" i="1"/>
  <c r="Q43" i="1"/>
  <c r="S43" i="1" s="1"/>
  <c r="V159" i="1"/>
  <c r="Y159" i="1" s="1"/>
  <c r="CA159" i="1" s="1"/>
  <c r="Q159" i="1"/>
  <c r="S159" i="1" s="1"/>
  <c r="V10" i="1"/>
  <c r="Q10" i="1"/>
  <c r="S10" i="1" s="1"/>
  <c r="Q119" i="1"/>
  <c r="S119" i="1" s="1"/>
  <c r="V119" i="1"/>
  <c r="Y119" i="1" s="1"/>
  <c r="CA119" i="1" s="1"/>
  <c r="Q50" i="1"/>
  <c r="S50" i="1" s="1"/>
  <c r="V50" i="1"/>
  <c r="Y50" i="1" s="1"/>
  <c r="CA50" i="1" s="1"/>
  <c r="Q95" i="1"/>
  <c r="S95" i="1" s="1"/>
  <c r="V95" i="1"/>
  <c r="Y95" i="1" s="1"/>
  <c r="CA95" i="1" s="1"/>
  <c r="V45" i="1"/>
  <c r="Y45" i="1" s="1"/>
  <c r="CA45" i="1" s="1"/>
  <c r="Q45" i="1"/>
  <c r="S45" i="1" s="1"/>
  <c r="V116" i="1"/>
  <c r="Y116" i="1" s="1"/>
  <c r="CA116" i="1" s="1"/>
  <c r="Q116" i="1"/>
  <c r="S116" i="1" s="1"/>
  <c r="V106" i="1"/>
  <c r="Y106" i="1" s="1"/>
  <c r="CA106" i="1" s="1"/>
  <c r="Q106" i="1"/>
  <c r="S106" i="1" s="1"/>
  <c r="V15" i="1"/>
  <c r="Y15" i="1" s="1"/>
  <c r="CA15" i="1" s="1"/>
  <c r="Q15" i="1"/>
  <c r="S15" i="1" s="1"/>
  <c r="Q64" i="1"/>
  <c r="S64" i="1" s="1"/>
  <c r="V64" i="1"/>
  <c r="Y64" i="1" s="1"/>
  <c r="CA64" i="1" s="1"/>
  <c r="V88" i="1"/>
  <c r="Y88" i="1" s="1"/>
  <c r="CA88" i="1" s="1"/>
  <c r="Q88" i="1"/>
  <c r="S88" i="1" s="1"/>
  <c r="V84" i="1"/>
  <c r="Y84" i="1" s="1"/>
  <c r="CA84" i="1" s="1"/>
  <c r="Q84" i="1"/>
  <c r="S84" i="1" s="1"/>
  <c r="V97" i="1"/>
  <c r="Y97" i="1" s="1"/>
  <c r="CA97" i="1" s="1"/>
  <c r="Q97" i="1"/>
  <c r="S97" i="1" s="1"/>
  <c r="Q42" i="1"/>
  <c r="S42" i="1" s="1"/>
  <c r="V42" i="1"/>
  <c r="Y42" i="1" s="1"/>
  <c r="CA42" i="1" s="1"/>
  <c r="V90" i="1"/>
  <c r="Y90" i="1" s="1"/>
  <c r="CA90" i="1" s="1"/>
  <c r="Q90" i="1"/>
  <c r="S90" i="1" s="1"/>
  <c r="V101" i="1"/>
  <c r="Y101" i="1" s="1"/>
  <c r="CA101" i="1" s="1"/>
  <c r="Q101" i="1"/>
  <c r="S101" i="1" s="1"/>
  <c r="Q155" i="1"/>
  <c r="S155" i="1" s="1"/>
  <c r="V155" i="1"/>
  <c r="Y155" i="1" s="1"/>
  <c r="CA155" i="1" s="1"/>
  <c r="V108" i="1"/>
  <c r="Y108" i="1" s="1"/>
  <c r="CA108" i="1" s="1"/>
  <c r="Q108" i="1"/>
  <c r="S108" i="1" s="1"/>
  <c r="Q37" i="1"/>
  <c r="S37" i="1" s="1"/>
  <c r="V37" i="1"/>
  <c r="Y37" i="1" s="1"/>
  <c r="CA37" i="1" s="1"/>
  <c r="Q93" i="1"/>
  <c r="S93" i="1" s="1"/>
  <c r="V93" i="1"/>
  <c r="Y93" i="1" s="1"/>
  <c r="CA93" i="1" s="1"/>
  <c r="V44" i="1"/>
  <c r="Y44" i="1" s="1"/>
  <c r="CA44" i="1" s="1"/>
  <c r="Q44" i="1"/>
  <c r="S44" i="1" s="1"/>
  <c r="Q124" i="1"/>
  <c r="S124" i="1" s="1"/>
  <c r="V124" i="1"/>
  <c r="Y124" i="1" s="1"/>
  <c r="CA124" i="1" s="1"/>
  <c r="V20" i="1"/>
  <c r="Y20" i="1" s="1"/>
  <c r="CA20" i="1" s="1"/>
  <c r="Q20" i="1"/>
  <c r="S20" i="1" s="1"/>
  <c r="V46" i="1"/>
  <c r="Y46" i="1" s="1"/>
  <c r="CA46" i="1" s="1"/>
  <c r="Q46" i="1"/>
  <c r="S46" i="1" s="1"/>
  <c r="Q86" i="1"/>
  <c r="S86" i="1" s="1"/>
  <c r="V86" i="1"/>
  <c r="Y86" i="1" s="1"/>
  <c r="CA86" i="1" s="1"/>
  <c r="V14" i="1"/>
  <c r="Y14" i="1" s="1"/>
  <c r="CA14" i="1" s="1"/>
  <c r="Q14" i="1"/>
  <c r="S14" i="1" s="1"/>
  <c r="V87" i="1"/>
  <c r="Y87" i="1" s="1"/>
  <c r="CA87" i="1" s="1"/>
  <c r="Q87" i="1"/>
  <c r="S87" i="1" s="1"/>
  <c r="V94" i="1"/>
  <c r="Y94" i="1" s="1"/>
  <c r="CA94" i="1" s="1"/>
  <c r="Q94" i="1"/>
  <c r="S94" i="1" s="1"/>
  <c r="Q125" i="1"/>
  <c r="S125" i="1" s="1"/>
  <c r="V125" i="1"/>
  <c r="Y125" i="1" s="1"/>
  <c r="CA125" i="1" s="1"/>
  <c r="V153" i="1"/>
  <c r="Y153" i="1" s="1"/>
  <c r="CA153" i="1" s="1"/>
  <c r="Q153" i="1"/>
  <c r="S153" i="1" s="1"/>
  <c r="V160" i="1"/>
  <c r="Y160" i="1" s="1"/>
  <c r="CA160" i="1" s="1"/>
  <c r="Q160" i="1"/>
  <c r="S160" i="1" s="1"/>
  <c r="V96" i="1"/>
  <c r="Y96" i="1" s="1"/>
  <c r="CA96" i="1" s="1"/>
  <c r="Q96" i="1"/>
  <c r="S96" i="1" s="1"/>
  <c r="Q47" i="1"/>
  <c r="S47" i="1" s="1"/>
  <c r="V47" i="1"/>
  <c r="V100" i="1"/>
  <c r="Y100" i="1" s="1"/>
  <c r="CA100" i="1" s="1"/>
  <c r="Q100" i="1"/>
  <c r="S100" i="1" s="1"/>
  <c r="Q89" i="1"/>
  <c r="S89" i="1" s="1"/>
  <c r="V89" i="1"/>
  <c r="Y89" i="1" s="1"/>
  <c r="CA89" i="1" s="1"/>
  <c r="Q63" i="1"/>
  <c r="S63" i="1" s="1"/>
  <c r="V63" i="1"/>
  <c r="Y63" i="1" s="1"/>
  <c r="CA63" i="1" s="1"/>
  <c r="V52" i="1"/>
  <c r="Y52" i="1" s="1"/>
  <c r="CA52" i="1" s="1"/>
  <c r="Q52" i="1"/>
  <c r="S52" i="1" s="1"/>
  <c r="V154" i="1"/>
  <c r="Y154" i="1" s="1"/>
  <c r="CA154" i="1" s="1"/>
  <c r="Q154" i="1"/>
  <c r="S154" i="1" s="1"/>
  <c r="V107" i="1"/>
  <c r="Y107" i="1" s="1"/>
  <c r="CA107" i="1" s="1"/>
  <c r="Q107" i="1"/>
  <c r="S107" i="1" s="1"/>
  <c r="V60" i="1"/>
  <c r="Y60" i="1" s="1"/>
  <c r="CA60" i="1" s="1"/>
  <c r="Q60" i="1"/>
  <c r="S60" i="1" s="1"/>
  <c r="V17" i="1"/>
  <c r="Y17" i="1" s="1"/>
  <c r="CA17" i="1" s="1"/>
  <c r="Q17" i="1"/>
  <c r="S17" i="1" s="1"/>
  <c r="V54" i="1"/>
  <c r="Y54" i="1" s="1"/>
  <c r="CA54" i="1" s="1"/>
  <c r="Q54" i="1"/>
  <c r="S54" i="1" s="1"/>
  <c r="Q123" i="1"/>
  <c r="S123" i="1" s="1"/>
  <c r="V123" i="1"/>
  <c r="Y123" i="1" s="1"/>
  <c r="CA123" i="1" s="1"/>
  <c r="V18" i="1"/>
  <c r="Y18" i="1" s="1"/>
  <c r="CA18" i="1" s="1"/>
  <c r="Q18" i="1"/>
  <c r="S18" i="1" s="1"/>
  <c r="Q85" i="1"/>
  <c r="S85" i="1" s="1"/>
  <c r="V85" i="1"/>
  <c r="Y85" i="1" s="1"/>
  <c r="CA85" i="1" s="1"/>
  <c r="V98" i="1"/>
  <c r="Y98" i="1" s="1"/>
  <c r="CA98" i="1" s="1"/>
  <c r="Q98" i="1"/>
  <c r="S98" i="1" s="1"/>
  <c r="V13" i="1"/>
  <c r="Y13" i="1" s="1"/>
  <c r="CA13" i="1" s="1"/>
  <c r="Q13" i="1"/>
  <c r="S13" i="1" s="1"/>
  <c r="V92" i="1"/>
  <c r="Y92" i="1" s="1"/>
  <c r="CA92" i="1" s="1"/>
  <c r="Q92" i="1"/>
  <c r="S92" i="1" s="1"/>
  <c r="Q68" i="1"/>
  <c r="S68" i="1" s="1"/>
  <c r="V68" i="1"/>
  <c r="Y68" i="1" s="1"/>
  <c r="CA68" i="1" s="1"/>
  <c r="Q122" i="1"/>
  <c r="S122" i="1" s="1"/>
  <c r="V122" i="1"/>
  <c r="Y122" i="1" s="1"/>
  <c r="CA122" i="1" s="1"/>
  <c r="V19" i="1"/>
  <c r="Y19" i="1" s="1"/>
  <c r="CA19" i="1" s="1"/>
  <c r="Q19" i="1"/>
  <c r="S19" i="1" s="1"/>
  <c r="Q156" i="1"/>
  <c r="S156" i="1" s="1"/>
  <c r="V156" i="1"/>
  <c r="Y156" i="1" s="1"/>
  <c r="CA156" i="1" s="1"/>
  <c r="V34" i="1"/>
  <c r="Y34" i="1" s="1"/>
  <c r="CA34" i="1" s="1"/>
  <c r="Q34" i="1"/>
  <c r="S34" i="1" s="1"/>
  <c r="Z80" i="1" l="1"/>
  <c r="AE80" i="1" s="1"/>
  <c r="Z130" i="1"/>
  <c r="CC130" i="1" s="1"/>
  <c r="Z78" i="1"/>
  <c r="AB78" i="1" s="1"/>
  <c r="Z147" i="1"/>
  <c r="AH147" i="1" s="1"/>
  <c r="Z136" i="1"/>
  <c r="AE136" i="1" s="1"/>
  <c r="Z210" i="1"/>
  <c r="AB210" i="1" s="1"/>
  <c r="Z32" i="1"/>
  <c r="CC32" i="1" s="1"/>
  <c r="Z24" i="1"/>
  <c r="Z135" i="1"/>
  <c r="Z31" i="1"/>
  <c r="Z28" i="1"/>
  <c r="Z134" i="1"/>
  <c r="Z30" i="1"/>
  <c r="Z209" i="1"/>
  <c r="Z133" i="1"/>
  <c r="Z149" i="1"/>
  <c r="Z23" i="1"/>
  <c r="Z26" i="1"/>
  <c r="Z144" i="1"/>
  <c r="Z73" i="1"/>
  <c r="Z132" i="1"/>
  <c r="Z148" i="1"/>
  <c r="Z22" i="1"/>
  <c r="Z146" i="1"/>
  <c r="Z29" i="1"/>
  <c r="Z145" i="1"/>
  <c r="Z33" i="1"/>
  <c r="Z27" i="1"/>
  <c r="Z82" i="1"/>
  <c r="Z25" i="1"/>
  <c r="Z81" i="1"/>
  <c r="Z131" i="1"/>
  <c r="Z79" i="1"/>
  <c r="Z109" i="1"/>
  <c r="CC109" i="1" s="1"/>
  <c r="Z111" i="1"/>
  <c r="CC111" i="1" s="1"/>
  <c r="Z44" i="1"/>
  <c r="CC44" i="1" s="1"/>
  <c r="Z84" i="1"/>
  <c r="CC84" i="1" s="1"/>
  <c r="Z65" i="1"/>
  <c r="CC65" i="1" s="1"/>
  <c r="Z55" i="1"/>
  <c r="CC55" i="1" s="1"/>
  <c r="Z60" i="1"/>
  <c r="CC60" i="1" s="1"/>
  <c r="Z20" i="1"/>
  <c r="CC20" i="1" s="1"/>
  <c r="Z108" i="1"/>
  <c r="CC108" i="1" s="1"/>
  <c r="Z15" i="1"/>
  <c r="CC15" i="1" s="1"/>
  <c r="Z56" i="1"/>
  <c r="CC56" i="1" s="1"/>
  <c r="Z41" i="1"/>
  <c r="CC41" i="1" s="1"/>
  <c r="Z53" i="1"/>
  <c r="CC53" i="1" s="1"/>
  <c r="Z123" i="1"/>
  <c r="CC123" i="1" s="1"/>
  <c r="Z121" i="1"/>
  <c r="CC121" i="1" s="1"/>
  <c r="Z66" i="1"/>
  <c r="CC66" i="1" s="1"/>
  <c r="Z46" i="1"/>
  <c r="CC46" i="1" s="1"/>
  <c r="Z14" i="1"/>
  <c r="CC14" i="1" s="1"/>
  <c r="Z155" i="1"/>
  <c r="AE155" i="1" s="1"/>
  <c r="Z52" i="1"/>
  <c r="AB52" i="1" s="1"/>
  <c r="Z95" i="1"/>
  <c r="CC95" i="1" s="1"/>
  <c r="Z116" i="1"/>
  <c r="CC116" i="1" s="1"/>
  <c r="Z45" i="1"/>
  <c r="CC45" i="1" s="1"/>
  <c r="Z114" i="1"/>
  <c r="CC114" i="1" s="1"/>
  <c r="Z61" i="1"/>
  <c r="AE61" i="1" s="1"/>
  <c r="Z150" i="1"/>
  <c r="CC150" i="1" s="1"/>
  <c r="Z21" i="1"/>
  <c r="CC21" i="1" s="1"/>
  <c r="Z118" i="1"/>
  <c r="CC118" i="1" s="1"/>
  <c r="Z156" i="1"/>
  <c r="CC156" i="1" s="1"/>
  <c r="Z38" i="1"/>
  <c r="AH38" i="1" s="1"/>
  <c r="BB38" i="1" s="1"/>
  <c r="BA38" i="1" s="1"/>
  <c r="Z48" i="1"/>
  <c r="CC48" i="1" s="1"/>
  <c r="Z36" i="1"/>
  <c r="AE36" i="1" s="1"/>
  <c r="Z39" i="1"/>
  <c r="CC39" i="1" s="1"/>
  <c r="Z47" i="1"/>
  <c r="CC47" i="1" s="1"/>
  <c r="Y47" i="1"/>
  <c r="CA47" i="1" s="1"/>
  <c r="Z43" i="1"/>
  <c r="CC43" i="1" s="1"/>
  <c r="Y43" i="1"/>
  <c r="CA43" i="1" s="1"/>
  <c r="Z49" i="1"/>
  <c r="CC49" i="1" s="1"/>
  <c r="Z12" i="1"/>
  <c r="CC12" i="1" s="1"/>
  <c r="Y12" i="1"/>
  <c r="CA12" i="1" s="1"/>
  <c r="Z57" i="1"/>
  <c r="CC57" i="1" s="1"/>
  <c r="Z58" i="1"/>
  <c r="CC58" i="1" s="1"/>
  <c r="Z112" i="1"/>
  <c r="CC112" i="1" s="1"/>
  <c r="Z110" i="1"/>
  <c r="CC110" i="1" s="1"/>
  <c r="Z83" i="1"/>
  <c r="CC83" i="1" s="1"/>
  <c r="Z59" i="1"/>
  <c r="CC59" i="1" s="1"/>
  <c r="Z62" i="1"/>
  <c r="CC62" i="1" s="1"/>
  <c r="Z19" i="1"/>
  <c r="CC19" i="1" s="1"/>
  <c r="Z122" i="1"/>
  <c r="CC122" i="1" s="1"/>
  <c r="Z68" i="1"/>
  <c r="CC68" i="1" s="1"/>
  <c r="Z13" i="1"/>
  <c r="CC13" i="1" s="1"/>
  <c r="Z85" i="1"/>
  <c r="CC85" i="1" s="1"/>
  <c r="Z54" i="1"/>
  <c r="CC54" i="1" s="1"/>
  <c r="Z17" i="1"/>
  <c r="CC17" i="1" s="1"/>
  <c r="Z63" i="1"/>
  <c r="CC63" i="1" s="1"/>
  <c r="Z153" i="1"/>
  <c r="CC153" i="1" s="1"/>
  <c r="Z50" i="1"/>
  <c r="CC50" i="1" s="1"/>
  <c r="Z119" i="1"/>
  <c r="CC119" i="1" s="1"/>
  <c r="Z117" i="1"/>
  <c r="CC117" i="1" s="1"/>
  <c r="Z120" i="1"/>
  <c r="CC120" i="1" s="1"/>
  <c r="Z16" i="1"/>
  <c r="CC16" i="1" s="1"/>
  <c r="Z35" i="1"/>
  <c r="CC35" i="1" s="1"/>
  <c r="Z152" i="1"/>
  <c r="CC152" i="1" s="1"/>
  <c r="Z67" i="1"/>
  <c r="CC67" i="1" s="1"/>
  <c r="Z51" i="1"/>
  <c r="CC51" i="1" s="1"/>
  <c r="Z157" i="1"/>
  <c r="CC157" i="1" s="1"/>
  <c r="Z115" i="1"/>
  <c r="CC115" i="1" s="1"/>
  <c r="Z34" i="1"/>
  <c r="CC34" i="1" s="1"/>
  <c r="Z18" i="1"/>
  <c r="CC18" i="1" s="1"/>
  <c r="Z154" i="1"/>
  <c r="CC154" i="1" s="1"/>
  <c r="Z125" i="1"/>
  <c r="CC125" i="1" s="1"/>
  <c r="Z94" i="1"/>
  <c r="CC94" i="1" s="1"/>
  <c r="Z124" i="1"/>
  <c r="CC124" i="1" s="1"/>
  <c r="Z37" i="1"/>
  <c r="CC37" i="1" s="1"/>
  <c r="Z42" i="1"/>
  <c r="CC42" i="1" s="1"/>
  <c r="Z64" i="1"/>
  <c r="CC64" i="1" s="1"/>
  <c r="Z10" i="1"/>
  <c r="CC10" i="1" s="1"/>
  <c r="Y10" i="1"/>
  <c r="CA10" i="1" s="1"/>
  <c r="Z158" i="1"/>
  <c r="CC158" i="1" s="1"/>
  <c r="Z151" i="1"/>
  <c r="CC151" i="1" s="1"/>
  <c r="Z113" i="1"/>
  <c r="CC113" i="1" s="1"/>
  <c r="Z40" i="1"/>
  <c r="CC40" i="1" s="1"/>
  <c r="Z11" i="1"/>
  <c r="CC11" i="1" s="1"/>
  <c r="Y11" i="1"/>
  <c r="CA11" i="1" s="1"/>
  <c r="G254" i="1"/>
  <c r="G253" i="1"/>
  <c r="G252" i="1"/>
  <c r="G261" i="1"/>
  <c r="G260" i="1"/>
  <c r="G259" i="1"/>
  <c r="G258" i="1"/>
  <c r="G257" i="1"/>
  <c r="G256" i="1"/>
  <c r="G255" i="1"/>
  <c r="G244" i="1"/>
  <c r="BZ187" i="1" s="1"/>
  <c r="G243" i="1"/>
  <c r="G242" i="1"/>
  <c r="G251" i="1"/>
  <c r="G250" i="1"/>
  <c r="G249" i="1"/>
  <c r="G248" i="1"/>
  <c r="G247" i="1"/>
  <c r="Q243" i="1"/>
  <c r="S243" i="1" s="1"/>
  <c r="G246" i="1"/>
  <c r="G245" i="1"/>
  <c r="Z211" i="1" s="1"/>
  <c r="Q241" i="1"/>
  <c r="S241" i="1" s="1"/>
  <c r="G234" i="1"/>
  <c r="Z143" i="1" s="1"/>
  <c r="V240" i="1"/>
  <c r="Y240" i="1" s="1"/>
  <c r="G233" i="1"/>
  <c r="Z142" i="1" s="1"/>
  <c r="G232" i="1"/>
  <c r="Z141" i="1" s="1"/>
  <c r="G241" i="1"/>
  <c r="Z221" i="1" s="1"/>
  <c r="G240" i="1"/>
  <c r="Z220" i="1" s="1"/>
  <c r="AB220" i="1" s="1"/>
  <c r="G239" i="1"/>
  <c r="G238" i="1"/>
  <c r="G237" i="1"/>
  <c r="G236" i="1"/>
  <c r="G235" i="1"/>
  <c r="G224" i="1"/>
  <c r="BZ224" i="1" s="1"/>
  <c r="G223" i="1"/>
  <c r="BZ223" i="1" s="1"/>
  <c r="G222" i="1"/>
  <c r="G231" i="1"/>
  <c r="G230" i="1"/>
  <c r="G229" i="1"/>
  <c r="Q225" i="1"/>
  <c r="S225" i="1" s="1"/>
  <c r="G228" i="1"/>
  <c r="Z198" i="1" s="1"/>
  <c r="Q190" i="1"/>
  <c r="S190" i="1" s="1"/>
  <c r="Q188" i="1"/>
  <c r="S188" i="1" s="1"/>
  <c r="Q186" i="1"/>
  <c r="S186" i="1" s="1"/>
  <c r="Q180" i="1"/>
  <c r="S180" i="1" s="1"/>
  <c r="Q178" i="1"/>
  <c r="S178" i="1" s="1"/>
  <c r="Q176" i="1"/>
  <c r="S176" i="1" s="1"/>
  <c r="Q174" i="1"/>
  <c r="S174" i="1" s="1"/>
  <c r="G165" i="1"/>
  <c r="G164" i="1"/>
  <c r="Z76" i="1" s="1"/>
  <c r="G163" i="1"/>
  <c r="G162" i="1"/>
  <c r="G173" i="1"/>
  <c r="BZ174" i="1" s="1"/>
  <c r="Q169" i="1"/>
  <c r="S169" i="1" s="1"/>
  <c r="G172" i="1"/>
  <c r="G171" i="1"/>
  <c r="Q166" i="1"/>
  <c r="S166" i="1" s="1"/>
  <c r="G170" i="1"/>
  <c r="Z90" i="1" s="1"/>
  <c r="G169" i="1"/>
  <c r="Z89" i="1" s="1"/>
  <c r="Q164" i="1"/>
  <c r="S164" i="1" s="1"/>
  <c r="G168" i="1"/>
  <c r="G167" i="1"/>
  <c r="Z87" i="1" s="1"/>
  <c r="Q162" i="1"/>
  <c r="S162" i="1" s="1"/>
  <c r="G166" i="1"/>
  <c r="Z159" i="1" s="1"/>
  <c r="AB65" i="1" l="1"/>
  <c r="Z139" i="1"/>
  <c r="BZ234" i="1"/>
  <c r="BZ232" i="1"/>
  <c r="BZ253" i="1"/>
  <c r="AB80" i="1"/>
  <c r="BZ184" i="1"/>
  <c r="BZ222" i="1"/>
  <c r="BZ233" i="1"/>
  <c r="Z127" i="1"/>
  <c r="AC199" i="1"/>
  <c r="AA199" i="1"/>
  <c r="CB199" i="1" s="1"/>
  <c r="CG199" i="1" s="1"/>
  <c r="BZ199" i="1"/>
  <c r="Z216" i="1"/>
  <c r="AB216" i="1" s="1"/>
  <c r="Z199" i="1"/>
  <c r="AB199" i="1" s="1"/>
  <c r="Z215" i="1"/>
  <c r="AB215" i="1" s="1"/>
  <c r="Z207" i="1"/>
  <c r="AB207" i="1" s="1"/>
  <c r="AA92" i="1"/>
  <c r="CB92" i="1" s="1"/>
  <c r="AC92" i="1"/>
  <c r="BZ92" i="1"/>
  <c r="Z160" i="1"/>
  <c r="AB160" i="1" s="1"/>
  <c r="AA87" i="1"/>
  <c r="CB87" i="1" s="1"/>
  <c r="AC87" i="1"/>
  <c r="AH87" i="1" s="1"/>
  <c r="BB87" i="1" s="1"/>
  <c r="BA87" i="1" s="1"/>
  <c r="BZ87" i="1"/>
  <c r="AC200" i="1"/>
  <c r="AA200" i="1"/>
  <c r="CB200" i="1" s="1"/>
  <c r="CG200" i="1" s="1"/>
  <c r="BZ200" i="1"/>
  <c r="BZ235" i="1"/>
  <c r="AC218" i="1"/>
  <c r="AA218" i="1"/>
  <c r="CB218" i="1" s="1"/>
  <c r="CG218" i="1" s="1"/>
  <c r="BZ218" i="1"/>
  <c r="Z217" i="1"/>
  <c r="Z218" i="1"/>
  <c r="AB218" i="1" s="1"/>
  <c r="AA91" i="1"/>
  <c r="CB91" i="1" s="1"/>
  <c r="AC91" i="1"/>
  <c r="BZ91" i="1"/>
  <c r="Z208" i="1"/>
  <c r="AC93" i="1"/>
  <c r="AA93" i="1"/>
  <c r="CB93" i="1" s="1"/>
  <c r="BZ93" i="1"/>
  <c r="BZ236" i="1"/>
  <c r="AC219" i="1"/>
  <c r="AA219" i="1"/>
  <c r="CB219" i="1" s="1"/>
  <c r="CG219" i="1" s="1"/>
  <c r="BZ219" i="1"/>
  <c r="BZ185" i="1"/>
  <c r="BZ257" i="1"/>
  <c r="AA88" i="1"/>
  <c r="CB88" i="1" s="1"/>
  <c r="AC88" i="1"/>
  <c r="BZ88" i="1"/>
  <c r="AC74" i="1"/>
  <c r="AA74" i="1"/>
  <c r="CB74" i="1" s="1"/>
  <c r="CG74" i="1" s="1"/>
  <c r="BZ74" i="1"/>
  <c r="BZ237" i="1"/>
  <c r="AC220" i="1"/>
  <c r="AH220" i="1" s="1"/>
  <c r="AI220" i="1" s="1"/>
  <c r="AA220" i="1"/>
  <c r="CB220" i="1" s="1"/>
  <c r="CG220" i="1" s="1"/>
  <c r="BZ220" i="1"/>
  <c r="BZ186" i="1"/>
  <c r="BZ258" i="1"/>
  <c r="Z93" i="1"/>
  <c r="Z92" i="1"/>
  <c r="AB92" i="1" s="1"/>
  <c r="Z91" i="1"/>
  <c r="AB91" i="1" s="1"/>
  <c r="AA86" i="1"/>
  <c r="CB86" i="1" s="1"/>
  <c r="AC86" i="1"/>
  <c r="BZ86" i="1"/>
  <c r="Z204" i="1"/>
  <c r="AB204" i="1" s="1"/>
  <c r="AA89" i="1"/>
  <c r="CB89" i="1" s="1"/>
  <c r="AC89" i="1"/>
  <c r="AH89" i="1" s="1"/>
  <c r="BZ89" i="1"/>
  <c r="AC75" i="1"/>
  <c r="AA75" i="1"/>
  <c r="CB75" i="1" s="1"/>
  <c r="BZ75" i="1"/>
  <c r="BZ238" i="1"/>
  <c r="AA221" i="1"/>
  <c r="CB221" i="1" s="1"/>
  <c r="CG221" i="1" s="1"/>
  <c r="AC221" i="1"/>
  <c r="AE221" i="1" s="1"/>
  <c r="BZ221" i="1"/>
  <c r="Z200" i="1"/>
  <c r="AB200" i="1" s="1"/>
  <c r="Z219" i="1"/>
  <c r="AA90" i="1"/>
  <c r="CB90" i="1" s="1"/>
  <c r="AC90" i="1"/>
  <c r="AH90" i="1" s="1"/>
  <c r="BZ90" i="1"/>
  <c r="Z86" i="1"/>
  <c r="AB86" i="1" s="1"/>
  <c r="Z75" i="1"/>
  <c r="AB75" i="1" s="1"/>
  <c r="AA76" i="1"/>
  <c r="CB76" i="1" s="1"/>
  <c r="AC76" i="1"/>
  <c r="AE76" i="1" s="1"/>
  <c r="BZ76" i="1"/>
  <c r="Z140" i="1"/>
  <c r="AB140" i="1" s="1"/>
  <c r="AC77" i="1"/>
  <c r="AA77" i="1"/>
  <c r="CB77" i="1" s="1"/>
  <c r="BZ77" i="1"/>
  <c r="AA198" i="1"/>
  <c r="CB198" i="1" s="1"/>
  <c r="CG198" i="1" s="1"/>
  <c r="AC198" i="1"/>
  <c r="AH198" i="1" s="1"/>
  <c r="BZ198" i="1"/>
  <c r="Z88" i="1"/>
  <c r="Z74" i="1"/>
  <c r="AB74" i="1" s="1"/>
  <c r="Z77" i="1"/>
  <c r="AB77" i="1" s="1"/>
  <c r="AA161" i="1"/>
  <c r="CB161" i="1" s="1"/>
  <c r="AC161" i="1"/>
  <c r="BZ161" i="1"/>
  <c r="Z69" i="1"/>
  <c r="AB69" i="1" s="1"/>
  <c r="AC137" i="1"/>
  <c r="AA137" i="1"/>
  <c r="CB137" i="1" s="1"/>
  <c r="CG137" i="1" s="1"/>
  <c r="BZ137" i="1"/>
  <c r="BZ243" i="1"/>
  <c r="AC212" i="1"/>
  <c r="AA212" i="1"/>
  <c r="CB212" i="1" s="1"/>
  <c r="CG212" i="1" s="1"/>
  <c r="BZ212" i="1"/>
  <c r="Z137" i="1"/>
  <c r="AB137" i="1" s="1"/>
  <c r="Z212" i="1"/>
  <c r="AB212" i="1" s="1"/>
  <c r="Z70" i="1"/>
  <c r="AB70" i="1" s="1"/>
  <c r="AA138" i="1"/>
  <c r="CB138" i="1" s="1"/>
  <c r="CG138" i="1" s="1"/>
  <c r="AC138" i="1"/>
  <c r="BZ138" i="1"/>
  <c r="Z71" i="1"/>
  <c r="AB71" i="1" s="1"/>
  <c r="AA139" i="1"/>
  <c r="CB139" i="1" s="1"/>
  <c r="CG139" i="1" s="1"/>
  <c r="AC139" i="1"/>
  <c r="BZ139" i="1"/>
  <c r="Z99" i="1"/>
  <c r="AA141" i="1"/>
  <c r="CB141" i="1" s="1"/>
  <c r="CG141" i="1" s="1"/>
  <c r="AC141" i="1"/>
  <c r="AH141" i="1" s="1"/>
  <c r="AI141" i="1" s="1"/>
  <c r="BZ141" i="1"/>
  <c r="AA213" i="1"/>
  <c r="CB213" i="1" s="1"/>
  <c r="CG213" i="1" s="1"/>
  <c r="AC213" i="1"/>
  <c r="BZ213" i="1"/>
  <c r="AA140" i="1"/>
  <c r="CB140" i="1" s="1"/>
  <c r="CG140" i="1" s="1"/>
  <c r="AC140" i="1"/>
  <c r="BZ140" i="1"/>
  <c r="BZ225" i="1"/>
  <c r="AA126" i="1"/>
  <c r="CB126" i="1" s="1"/>
  <c r="CG126" i="1" s="1"/>
  <c r="AC126" i="1"/>
  <c r="BZ126" i="1"/>
  <c r="Z126" i="1"/>
  <c r="AA142" i="1"/>
  <c r="CB142" i="1" s="1"/>
  <c r="CG142" i="1" s="1"/>
  <c r="AC142" i="1"/>
  <c r="AE142" i="1" s="1"/>
  <c r="BZ142" i="1"/>
  <c r="AA214" i="1"/>
  <c r="CB214" i="1" s="1"/>
  <c r="CG214" i="1" s="1"/>
  <c r="AC214" i="1"/>
  <c r="BZ214" i="1"/>
  <c r="Z214" i="1"/>
  <c r="Z138" i="1"/>
  <c r="AB138" i="1" s="1"/>
  <c r="AC211" i="1"/>
  <c r="AH211" i="1" s="1"/>
  <c r="AA211" i="1"/>
  <c r="CB211" i="1" s="1"/>
  <c r="CG211" i="1" s="1"/>
  <c r="BZ211" i="1"/>
  <c r="AC215" i="1"/>
  <c r="AA215" i="1"/>
  <c r="CB215" i="1" s="1"/>
  <c r="CG215" i="1" s="1"/>
  <c r="BZ215" i="1"/>
  <c r="Z161" i="1"/>
  <c r="BZ229" i="1"/>
  <c r="AC129" i="1"/>
  <c r="AA129" i="1"/>
  <c r="CB129" i="1" s="1"/>
  <c r="CG129" i="1" s="1"/>
  <c r="BZ129" i="1"/>
  <c r="Z201" i="1"/>
  <c r="AB201" i="1" s="1"/>
  <c r="AA159" i="1"/>
  <c r="CB159" i="1" s="1"/>
  <c r="AC159" i="1"/>
  <c r="BZ159" i="1"/>
  <c r="BZ226" i="1"/>
  <c r="AC127" i="1"/>
  <c r="AA127" i="1"/>
  <c r="CB127" i="1" s="1"/>
  <c r="CG127" i="1" s="1"/>
  <c r="BZ127" i="1"/>
  <c r="AC143" i="1"/>
  <c r="AH143" i="1" s="1"/>
  <c r="AA143" i="1"/>
  <c r="CB143" i="1" s="1"/>
  <c r="CG143" i="1" s="1"/>
  <c r="BZ143" i="1"/>
  <c r="AA216" i="1"/>
  <c r="CB216" i="1" s="1"/>
  <c r="CG216" i="1" s="1"/>
  <c r="AC216" i="1"/>
  <c r="BZ216" i="1"/>
  <c r="Z129" i="1"/>
  <c r="AC160" i="1"/>
  <c r="AA160" i="1"/>
  <c r="CB160" i="1" s="1"/>
  <c r="BZ160" i="1"/>
  <c r="BZ227" i="1"/>
  <c r="AC128" i="1"/>
  <c r="AA128" i="1"/>
  <c r="CB128" i="1" s="1"/>
  <c r="CG128" i="1" s="1"/>
  <c r="BZ128" i="1"/>
  <c r="AA217" i="1"/>
  <c r="CB217" i="1" s="1"/>
  <c r="CG217" i="1" s="1"/>
  <c r="AC217" i="1"/>
  <c r="BZ217" i="1"/>
  <c r="BZ256" i="1"/>
  <c r="Z128" i="1"/>
  <c r="AB128" i="1" s="1"/>
  <c r="Z213" i="1"/>
  <c r="AE213" i="1" s="1"/>
  <c r="BZ164" i="1"/>
  <c r="AA203" i="1"/>
  <c r="CB203" i="1" s="1"/>
  <c r="AC203" i="1"/>
  <c r="BZ203" i="1"/>
  <c r="BZ242" i="1"/>
  <c r="BZ249" i="1"/>
  <c r="AA102" i="1"/>
  <c r="CB102" i="1" s="1"/>
  <c r="AC102" i="1"/>
  <c r="BZ102" i="1"/>
  <c r="Z102" i="1"/>
  <c r="BZ228" i="1"/>
  <c r="AC96" i="1"/>
  <c r="AA96" i="1"/>
  <c r="CB96" i="1" s="1"/>
  <c r="BZ96" i="1"/>
  <c r="BZ250" i="1"/>
  <c r="AC103" i="1"/>
  <c r="AA103" i="1"/>
  <c r="CB103" i="1" s="1"/>
  <c r="BZ103" i="1"/>
  <c r="BZ165" i="1"/>
  <c r="AA204" i="1"/>
  <c r="CB204" i="1" s="1"/>
  <c r="CG204" i="1" s="1"/>
  <c r="AC204" i="1"/>
  <c r="BZ204" i="1"/>
  <c r="BZ230" i="1"/>
  <c r="AA97" i="1"/>
  <c r="CB97" i="1" s="1"/>
  <c r="AC97" i="1"/>
  <c r="BZ97" i="1"/>
  <c r="BZ251" i="1"/>
  <c r="AA104" i="1"/>
  <c r="CB104" i="1" s="1"/>
  <c r="AC104" i="1"/>
  <c r="BZ104" i="1"/>
  <c r="BZ259" i="1"/>
  <c r="AC105" i="1"/>
  <c r="AA105" i="1"/>
  <c r="CB105" i="1" s="1"/>
  <c r="BZ105" i="1"/>
  <c r="BZ170" i="1"/>
  <c r="AC70" i="1"/>
  <c r="AA70" i="1"/>
  <c r="CB70" i="1" s="1"/>
  <c r="CG70" i="1" s="1"/>
  <c r="BZ70" i="1"/>
  <c r="BZ166" i="1"/>
  <c r="AA205" i="1"/>
  <c r="CB205" i="1" s="1"/>
  <c r="CG205" i="1" s="1"/>
  <c r="AC205" i="1"/>
  <c r="BZ205" i="1"/>
  <c r="BZ172" i="1"/>
  <c r="AC71" i="1"/>
  <c r="AA71" i="1"/>
  <c r="CB71" i="1" s="1"/>
  <c r="CG71" i="1" s="1"/>
  <c r="BZ71" i="1"/>
  <c r="BZ231" i="1"/>
  <c r="AA98" i="1"/>
  <c r="CB98" i="1" s="1"/>
  <c r="AC98" i="1"/>
  <c r="BZ98" i="1"/>
  <c r="BZ239" i="1"/>
  <c r="AA99" i="1"/>
  <c r="CB99" i="1" s="1"/>
  <c r="AC99" i="1"/>
  <c r="BZ99" i="1"/>
  <c r="BZ244" i="1"/>
  <c r="BZ252" i="1"/>
  <c r="BZ260" i="1"/>
  <c r="AA106" i="1"/>
  <c r="CB106" i="1" s="1"/>
  <c r="AC106" i="1"/>
  <c r="BZ106" i="1"/>
  <c r="Z106" i="1"/>
  <c r="AB106" i="1" s="1"/>
  <c r="BZ163" i="1"/>
  <c r="AA202" i="1"/>
  <c r="CB202" i="1" s="1"/>
  <c r="CG202" i="1" s="1"/>
  <c r="AC202" i="1"/>
  <c r="BZ202" i="1"/>
  <c r="BZ168" i="1"/>
  <c r="AA69" i="1"/>
  <c r="CB69" i="1" s="1"/>
  <c r="AC69" i="1"/>
  <c r="BZ69" i="1"/>
  <c r="BZ173" i="1"/>
  <c r="AC72" i="1"/>
  <c r="AA72" i="1"/>
  <c r="CB72" i="1" s="1"/>
  <c r="CG72" i="1" s="1"/>
  <c r="BZ72" i="1"/>
  <c r="BZ240" i="1"/>
  <c r="AC100" i="1"/>
  <c r="AA100" i="1"/>
  <c r="CB100" i="1" s="1"/>
  <c r="BZ100" i="1"/>
  <c r="BZ245" i="1"/>
  <c r="BZ261" i="1"/>
  <c r="AA107" i="1"/>
  <c r="CB107" i="1" s="1"/>
  <c r="AC107" i="1"/>
  <c r="BZ107" i="1"/>
  <c r="Z105" i="1"/>
  <c r="AB105" i="1" s="1"/>
  <c r="Z98" i="1"/>
  <c r="AB98" i="1" s="1"/>
  <c r="BZ246" i="1"/>
  <c r="BZ254" i="1"/>
  <c r="Z100" i="1"/>
  <c r="AB100" i="1" s="1"/>
  <c r="Z96" i="1"/>
  <c r="AB96" i="1" s="1"/>
  <c r="Z104" i="1"/>
  <c r="Z202" i="1"/>
  <c r="AB202" i="1" s="1"/>
  <c r="Z203" i="1"/>
  <c r="AE203" i="1" s="1"/>
  <c r="BZ171" i="1"/>
  <c r="AC208" i="1"/>
  <c r="AA208" i="1"/>
  <c r="CB208" i="1" s="1"/>
  <c r="CG208" i="1" s="1"/>
  <c r="BZ208" i="1"/>
  <c r="BZ162" i="1"/>
  <c r="AC201" i="1"/>
  <c r="AA201" i="1"/>
  <c r="CB201" i="1" s="1"/>
  <c r="BZ201" i="1"/>
  <c r="BZ167" i="1"/>
  <c r="AC206" i="1"/>
  <c r="AA206" i="1"/>
  <c r="CB206" i="1" s="1"/>
  <c r="CG206" i="1" s="1"/>
  <c r="BZ206" i="1"/>
  <c r="BZ169" i="1"/>
  <c r="AC207" i="1"/>
  <c r="AA207" i="1"/>
  <c r="CB207" i="1" s="1"/>
  <c r="CG207" i="1" s="1"/>
  <c r="BZ207" i="1"/>
  <c r="BZ241" i="1"/>
  <c r="AA101" i="1"/>
  <c r="CB101" i="1" s="1"/>
  <c r="AC101" i="1"/>
  <c r="BZ101" i="1"/>
  <c r="BZ247" i="1"/>
  <c r="BZ255" i="1"/>
  <c r="Z97" i="1"/>
  <c r="AB97" i="1" s="1"/>
  <c r="Z103" i="1"/>
  <c r="Z101" i="1"/>
  <c r="AB101" i="1" s="1"/>
  <c r="Z206" i="1"/>
  <c r="AB206" i="1" s="1"/>
  <c r="Z205" i="1"/>
  <c r="AB205" i="1" s="1"/>
  <c r="Z72" i="1"/>
  <c r="AB72" i="1" s="1"/>
  <c r="BZ248" i="1"/>
  <c r="Z107" i="1"/>
  <c r="AE107" i="1" s="1"/>
  <c r="AH80" i="1"/>
  <c r="AI80" i="1" s="1"/>
  <c r="CC80" i="1"/>
  <c r="AH84" i="1"/>
  <c r="BB84" i="1" s="1"/>
  <c r="BA84" i="1" s="1"/>
  <c r="AE130" i="1"/>
  <c r="AB139" i="1"/>
  <c r="AB84" i="1"/>
  <c r="AH130" i="1"/>
  <c r="AI130" i="1" s="1"/>
  <c r="AB130" i="1"/>
  <c r="AH78" i="1"/>
  <c r="AI78" i="1" s="1"/>
  <c r="AE44" i="1"/>
  <c r="AE15" i="1"/>
  <c r="AB56" i="1"/>
  <c r="CC210" i="1"/>
  <c r="AB136" i="1"/>
  <c r="AH32" i="1"/>
  <c r="AI32" i="1" s="1"/>
  <c r="AE210" i="1"/>
  <c r="AB147" i="1"/>
  <c r="AH210" i="1"/>
  <c r="AI210" i="1" s="1"/>
  <c r="AH136" i="1"/>
  <c r="AI136" i="1" s="1"/>
  <c r="AB32" i="1"/>
  <c r="AE32" i="1"/>
  <c r="AH55" i="1"/>
  <c r="AI55" i="1" s="1"/>
  <c r="CC78" i="1"/>
  <c r="CC147" i="1"/>
  <c r="AE78" i="1"/>
  <c r="CC136" i="1"/>
  <c r="AE147" i="1"/>
  <c r="AH20" i="1"/>
  <c r="BB20" i="1" s="1"/>
  <c r="BA20" i="1" s="1"/>
  <c r="AH41" i="1"/>
  <c r="AI41" i="1" s="1"/>
  <c r="AB141" i="1"/>
  <c r="AH108" i="1"/>
  <c r="BB108" i="1" s="1"/>
  <c r="BA108" i="1" s="1"/>
  <c r="BB75" i="1"/>
  <c r="AE81" i="1"/>
  <c r="AB81" i="1"/>
  <c r="CC81" i="1"/>
  <c r="AH81" i="1"/>
  <c r="AH145" i="1"/>
  <c r="AB145" i="1"/>
  <c r="AE145" i="1"/>
  <c r="CC145" i="1"/>
  <c r="AH148" i="1"/>
  <c r="CC148" i="1"/>
  <c r="AB148" i="1"/>
  <c r="AE148" i="1"/>
  <c r="AB26" i="1"/>
  <c r="CC26" i="1"/>
  <c r="AH26" i="1"/>
  <c r="AE26" i="1"/>
  <c r="CC79" i="1"/>
  <c r="AE79" i="1"/>
  <c r="AH79" i="1"/>
  <c r="AB79" i="1"/>
  <c r="AB25" i="1"/>
  <c r="AE25" i="1"/>
  <c r="AH25" i="1"/>
  <c r="CC25" i="1"/>
  <c r="AB132" i="1"/>
  <c r="AE132" i="1"/>
  <c r="AH132" i="1"/>
  <c r="CC132" i="1"/>
  <c r="AB221" i="1"/>
  <c r="AH221" i="1"/>
  <c r="AE30" i="1"/>
  <c r="AH30" i="1"/>
  <c r="AB30" i="1"/>
  <c r="CC30" i="1"/>
  <c r="AB76" i="1"/>
  <c r="AH134" i="1"/>
  <c r="AB134" i="1"/>
  <c r="AE134" i="1"/>
  <c r="CC134" i="1"/>
  <c r="BB80" i="1"/>
  <c r="BB201" i="1"/>
  <c r="AI147" i="1"/>
  <c r="AB198" i="1"/>
  <c r="AE23" i="1"/>
  <c r="AH23" i="1"/>
  <c r="AB23" i="1"/>
  <c r="CC23" i="1"/>
  <c r="AB211" i="1"/>
  <c r="AH82" i="1"/>
  <c r="CC82" i="1"/>
  <c r="AE82" i="1"/>
  <c r="AB82" i="1"/>
  <c r="AE73" i="1"/>
  <c r="AB73" i="1"/>
  <c r="AH73" i="1"/>
  <c r="CC73" i="1"/>
  <c r="AB149" i="1"/>
  <c r="AE149" i="1"/>
  <c r="CC149" i="1"/>
  <c r="AH149" i="1"/>
  <c r="AB28" i="1"/>
  <c r="AH28" i="1"/>
  <c r="AE28" i="1"/>
  <c r="CC28" i="1"/>
  <c r="AB27" i="1"/>
  <c r="CC27" i="1"/>
  <c r="AE27" i="1"/>
  <c r="AH27" i="1"/>
  <c r="AB29" i="1"/>
  <c r="CC29" i="1"/>
  <c r="AE29" i="1"/>
  <c r="AH29" i="1"/>
  <c r="CC133" i="1"/>
  <c r="AB133" i="1"/>
  <c r="AH133" i="1"/>
  <c r="AE133" i="1"/>
  <c r="CC31" i="1"/>
  <c r="AE31" i="1"/>
  <c r="AH31" i="1"/>
  <c r="AB31" i="1"/>
  <c r="AB142" i="1"/>
  <c r="AB143" i="1"/>
  <c r="AH22" i="1"/>
  <c r="AB22" i="1"/>
  <c r="CC22" i="1"/>
  <c r="AE22" i="1"/>
  <c r="BB77" i="1"/>
  <c r="BB78" i="1"/>
  <c r="AB135" i="1"/>
  <c r="AH135" i="1"/>
  <c r="AE135" i="1"/>
  <c r="CC135" i="1"/>
  <c r="AB131" i="1"/>
  <c r="CC131" i="1"/>
  <c r="AH131" i="1"/>
  <c r="AE131" i="1"/>
  <c r="AH33" i="1"/>
  <c r="AE33" i="1"/>
  <c r="CC33" i="1"/>
  <c r="AB33" i="1"/>
  <c r="AB146" i="1"/>
  <c r="AE146" i="1"/>
  <c r="AH146" i="1"/>
  <c r="CC146" i="1"/>
  <c r="AB127" i="1"/>
  <c r="AB144" i="1"/>
  <c r="AH144" i="1"/>
  <c r="CC144" i="1"/>
  <c r="AE144" i="1"/>
  <c r="AH209" i="1"/>
  <c r="AE209" i="1"/>
  <c r="AB209" i="1"/>
  <c r="CC209" i="1"/>
  <c r="CC24" i="1"/>
  <c r="AH24" i="1"/>
  <c r="AB24" i="1"/>
  <c r="AE24" i="1"/>
  <c r="AE55" i="1"/>
  <c r="AH111" i="1"/>
  <c r="AI111" i="1" s="1"/>
  <c r="AE84" i="1"/>
  <c r="AB108" i="1"/>
  <c r="AE65" i="1"/>
  <c r="AB55" i="1"/>
  <c r="AE108" i="1"/>
  <c r="AH65" i="1"/>
  <c r="AI65" i="1" s="1"/>
  <c r="AE45" i="1"/>
  <c r="AB44" i="1"/>
  <c r="AE111" i="1"/>
  <c r="AH44" i="1"/>
  <c r="AI44" i="1" s="1"/>
  <c r="AE20" i="1"/>
  <c r="AB111" i="1"/>
  <c r="AH109" i="1"/>
  <c r="BB109" i="1" s="1"/>
  <c r="BA109" i="1" s="1"/>
  <c r="A166" i="1"/>
  <c r="A169" i="1"/>
  <c r="A162" i="1"/>
  <c r="A178" i="1"/>
  <c r="A181" i="1"/>
  <c r="A175" i="1"/>
  <c r="A190" i="1"/>
  <c r="A193" i="1"/>
  <c r="A197" i="1"/>
  <c r="A223" i="1"/>
  <c r="A236" i="1"/>
  <c r="A238" i="1"/>
  <c r="A240" i="1"/>
  <c r="A232" i="1"/>
  <c r="A248" i="1"/>
  <c r="A250" i="1"/>
  <c r="A242" i="1"/>
  <c r="A168" i="1"/>
  <c r="A171" i="1"/>
  <c r="A163" i="1"/>
  <c r="A180" i="1"/>
  <c r="A183" i="1"/>
  <c r="A185" i="1"/>
  <c r="A192" i="1"/>
  <c r="A195" i="1"/>
  <c r="A196" i="1"/>
  <c r="A188" i="1"/>
  <c r="A229" i="1"/>
  <c r="A231" i="1"/>
  <c r="A224" i="1"/>
  <c r="A233" i="1"/>
  <c r="A245" i="1"/>
  <c r="A243" i="1"/>
  <c r="A256" i="1"/>
  <c r="A258" i="1"/>
  <c r="A260" i="1"/>
  <c r="A252" i="1"/>
  <c r="A170" i="1"/>
  <c r="A173" i="1"/>
  <c r="A164" i="1"/>
  <c r="A182" i="1"/>
  <c r="A184" i="1"/>
  <c r="A176" i="1"/>
  <c r="A194" i="1"/>
  <c r="A189" i="1"/>
  <c r="A228" i="1"/>
  <c r="A235" i="1"/>
  <c r="A237" i="1"/>
  <c r="A239" i="1"/>
  <c r="A241" i="1"/>
  <c r="A247" i="1"/>
  <c r="A249" i="1"/>
  <c r="A251" i="1"/>
  <c r="A244" i="1"/>
  <c r="A253" i="1"/>
  <c r="A167" i="1"/>
  <c r="A172" i="1"/>
  <c r="A165" i="1"/>
  <c r="A179" i="1"/>
  <c r="A174" i="1"/>
  <c r="A177" i="1"/>
  <c r="A191" i="1"/>
  <c r="A186" i="1"/>
  <c r="A187" i="1"/>
  <c r="A230" i="1"/>
  <c r="A222" i="1"/>
  <c r="A234" i="1"/>
  <c r="A246" i="1"/>
  <c r="A255" i="1"/>
  <c r="A257" i="1"/>
  <c r="A259" i="1"/>
  <c r="A261" i="1"/>
  <c r="A254" i="1"/>
  <c r="AB21" i="1"/>
  <c r="AB46" i="1"/>
  <c r="AH56" i="1"/>
  <c r="AI56" i="1" s="1"/>
  <c r="AH116" i="1"/>
  <c r="BB116" i="1" s="1"/>
  <c r="BA116" i="1" s="1"/>
  <c r="AB20" i="1"/>
  <c r="AB14" i="1"/>
  <c r="AB15" i="1"/>
  <c r="AE109" i="1"/>
  <c r="AE116" i="1"/>
  <c r="AH46" i="1"/>
  <c r="BB46" i="1" s="1"/>
  <c r="BA46" i="1" s="1"/>
  <c r="AH15" i="1"/>
  <c r="AB116" i="1"/>
  <c r="AE46" i="1"/>
  <c r="AE14" i="1"/>
  <c r="AE56" i="1"/>
  <c r="AB109" i="1"/>
  <c r="AB121" i="1"/>
  <c r="AH14" i="1"/>
  <c r="BB14" i="1" s="1"/>
  <c r="BA14" i="1" s="1"/>
  <c r="AH21" i="1"/>
  <c r="BB21" i="1" s="1"/>
  <c r="BA21" i="1" s="1"/>
  <c r="AB41" i="1"/>
  <c r="AB45" i="1"/>
  <c r="AH156" i="1"/>
  <c r="AI156" i="1" s="1"/>
  <c r="AB66" i="1"/>
  <c r="AE41" i="1"/>
  <c r="AB60" i="1"/>
  <c r="AH61" i="1"/>
  <c r="BB61" i="1" s="1"/>
  <c r="BA61" i="1" s="1"/>
  <c r="AE21" i="1"/>
  <c r="AH66" i="1"/>
  <c r="AI66" i="1" s="1"/>
  <c r="AE159" i="1"/>
  <c r="AH45" i="1"/>
  <c r="AI45" i="1" s="1"/>
  <c r="AB36" i="1"/>
  <c r="AB156" i="1"/>
  <c r="AE60" i="1"/>
  <c r="AE66" i="1"/>
  <c r="AE156" i="1"/>
  <c r="AH60" i="1"/>
  <c r="BB60" i="1" s="1"/>
  <c r="BA60" i="1" s="1"/>
  <c r="AH150" i="1"/>
  <c r="BB150" i="1" s="1"/>
  <c r="BA150" i="1" s="1"/>
  <c r="AB150" i="1"/>
  <c r="AH118" i="1"/>
  <c r="BB118" i="1" s="1"/>
  <c r="BA118" i="1" s="1"/>
  <c r="AB95" i="1"/>
  <c r="AE150" i="1"/>
  <c r="AE118" i="1"/>
  <c r="AH95" i="1"/>
  <c r="AI95" i="1" s="1"/>
  <c r="AB39" i="1"/>
  <c r="AB118" i="1"/>
  <c r="AE95" i="1"/>
  <c r="AB123" i="1"/>
  <c r="AH53" i="1"/>
  <c r="AI53" i="1" s="1"/>
  <c r="AE53" i="1"/>
  <c r="AB53" i="1"/>
  <c r="AH52" i="1"/>
  <c r="AI52" i="1" s="1"/>
  <c r="AB114" i="1"/>
  <c r="AE123" i="1"/>
  <c r="AE48" i="1"/>
  <c r="AH121" i="1"/>
  <c r="AI121" i="1" s="1"/>
  <c r="AH123" i="1"/>
  <c r="AI123" i="1" s="1"/>
  <c r="AH39" i="1"/>
  <c r="AI39" i="1" s="1"/>
  <c r="AB48" i="1"/>
  <c r="AE114" i="1"/>
  <c r="AB159" i="1"/>
  <c r="AB87" i="1"/>
  <c r="AE121" i="1"/>
  <c r="AH159" i="1"/>
  <c r="AI159" i="1" s="1"/>
  <c r="AB155" i="1"/>
  <c r="CC155" i="1"/>
  <c r="AH36" i="1"/>
  <c r="CC36" i="1"/>
  <c r="AB38" i="1"/>
  <c r="CC38" i="1"/>
  <c r="AB61" i="1"/>
  <c r="CC61" i="1"/>
  <c r="AE52" i="1"/>
  <c r="CC52" i="1"/>
  <c r="AE38" i="1"/>
  <c r="AE39" i="1"/>
  <c r="AH48" i="1"/>
  <c r="AH114" i="1"/>
  <c r="AI114" i="1" s="1"/>
  <c r="AH155" i="1"/>
  <c r="AI155" i="1" s="1"/>
  <c r="AE40" i="1"/>
  <c r="AB40" i="1"/>
  <c r="AH40" i="1"/>
  <c r="AB64" i="1"/>
  <c r="AH64" i="1"/>
  <c r="AE64" i="1"/>
  <c r="AB90" i="1"/>
  <c r="AH125" i="1"/>
  <c r="AB125" i="1"/>
  <c r="AE125" i="1"/>
  <c r="AB154" i="1"/>
  <c r="AE154" i="1"/>
  <c r="AH154" i="1"/>
  <c r="BB154" i="1" s="1"/>
  <c r="BA154" i="1" s="1"/>
  <c r="AH152" i="1"/>
  <c r="BB152" i="1" s="1"/>
  <c r="BA152" i="1" s="1"/>
  <c r="AB152" i="1"/>
  <c r="AE152" i="1"/>
  <c r="AB16" i="1"/>
  <c r="AH16" i="1"/>
  <c r="BB16" i="1" s="1"/>
  <c r="BA16" i="1" s="1"/>
  <c r="AE16" i="1"/>
  <c r="AB89" i="1"/>
  <c r="AB68" i="1"/>
  <c r="AE68" i="1"/>
  <c r="AH68" i="1"/>
  <c r="AE57" i="1"/>
  <c r="AB57" i="1"/>
  <c r="AH57" i="1"/>
  <c r="AE12" i="1"/>
  <c r="AH12" i="1"/>
  <c r="BB12" i="1" s="1"/>
  <c r="BA12" i="1" s="1"/>
  <c r="AB12" i="1"/>
  <c r="AH113" i="1"/>
  <c r="AE113" i="1"/>
  <c r="AB113" i="1"/>
  <c r="AE124" i="1"/>
  <c r="AB124" i="1"/>
  <c r="AH124" i="1"/>
  <c r="AE34" i="1"/>
  <c r="AB34" i="1"/>
  <c r="AH34" i="1"/>
  <c r="BB34" i="1" s="1"/>
  <c r="BA34" i="1" s="1"/>
  <c r="AH157" i="1"/>
  <c r="AE157" i="1"/>
  <c r="AB157" i="1"/>
  <c r="AE63" i="1"/>
  <c r="AH63" i="1"/>
  <c r="AB63" i="1"/>
  <c r="AB54" i="1"/>
  <c r="AH54" i="1"/>
  <c r="AE54" i="1"/>
  <c r="AE122" i="1"/>
  <c r="AB122" i="1"/>
  <c r="AH122" i="1"/>
  <c r="AH59" i="1"/>
  <c r="BB59" i="1" s="1"/>
  <c r="BA59" i="1" s="1"/>
  <c r="AB59" i="1"/>
  <c r="AE59" i="1"/>
  <c r="AB49" i="1"/>
  <c r="AE49" i="1"/>
  <c r="AH49" i="1"/>
  <c r="BB49" i="1" s="1"/>
  <c r="BA49" i="1" s="1"/>
  <c r="AH47" i="1"/>
  <c r="BB47" i="1" s="1"/>
  <c r="BA47" i="1" s="1"/>
  <c r="AB47" i="1"/>
  <c r="AE47" i="1"/>
  <c r="AH151" i="1"/>
  <c r="BB151" i="1" s="1"/>
  <c r="BA151" i="1" s="1"/>
  <c r="AB151" i="1"/>
  <c r="AE151" i="1"/>
  <c r="AB42" i="1"/>
  <c r="AH42" i="1"/>
  <c r="AE42" i="1"/>
  <c r="AB37" i="1"/>
  <c r="AH37" i="1"/>
  <c r="BB37" i="1" s="1"/>
  <c r="BA37" i="1" s="1"/>
  <c r="AE37" i="1"/>
  <c r="AE18" i="1"/>
  <c r="AB18" i="1"/>
  <c r="AH18" i="1"/>
  <c r="BB18" i="1" s="1"/>
  <c r="BA18" i="1" s="1"/>
  <c r="AH120" i="1"/>
  <c r="AE120" i="1"/>
  <c r="AB120" i="1"/>
  <c r="AE119" i="1"/>
  <c r="AB119" i="1"/>
  <c r="AH119" i="1"/>
  <c r="BB119" i="1" s="1"/>
  <c r="BA119" i="1" s="1"/>
  <c r="AB85" i="1"/>
  <c r="AH85" i="1"/>
  <c r="BB85" i="1" s="1"/>
  <c r="BA85" i="1" s="1"/>
  <c r="AE85" i="1"/>
  <c r="AE19" i="1"/>
  <c r="AH19" i="1"/>
  <c r="BB19" i="1" s="1"/>
  <c r="BA19" i="1" s="1"/>
  <c r="AB19" i="1"/>
  <c r="AE83" i="1"/>
  <c r="AB83" i="1"/>
  <c r="AH83" i="1"/>
  <c r="BB83" i="1" s="1"/>
  <c r="BA83" i="1" s="1"/>
  <c r="AH112" i="1"/>
  <c r="AE112" i="1"/>
  <c r="AB112" i="1"/>
  <c r="AB58" i="1"/>
  <c r="AE58" i="1"/>
  <c r="AH58" i="1"/>
  <c r="BB58" i="1" s="1"/>
  <c r="BA58" i="1" s="1"/>
  <c r="AI38" i="1"/>
  <c r="AE11" i="1"/>
  <c r="AH11" i="1"/>
  <c r="BB11" i="1" s="1"/>
  <c r="BA11" i="1" s="1"/>
  <c r="AB11" i="1"/>
  <c r="AE158" i="1"/>
  <c r="AB158" i="1"/>
  <c r="AH158" i="1"/>
  <c r="AE10" i="1"/>
  <c r="AH10" i="1"/>
  <c r="AB10" i="1"/>
  <c r="AH94" i="1"/>
  <c r="AB94" i="1"/>
  <c r="AE94" i="1"/>
  <c r="AE115" i="1"/>
  <c r="AB115" i="1"/>
  <c r="AH115" i="1"/>
  <c r="AB51" i="1"/>
  <c r="AH51" i="1"/>
  <c r="AE51" i="1"/>
  <c r="AH67" i="1"/>
  <c r="AE67" i="1"/>
  <c r="AB67" i="1"/>
  <c r="AB35" i="1"/>
  <c r="AE35" i="1"/>
  <c r="AH35" i="1"/>
  <c r="BB35" i="1" s="1"/>
  <c r="BA35" i="1" s="1"/>
  <c r="AB117" i="1"/>
  <c r="AE117" i="1"/>
  <c r="AH117" i="1"/>
  <c r="BB117" i="1" s="1"/>
  <c r="BA117" i="1" s="1"/>
  <c r="AB50" i="1"/>
  <c r="AE50" i="1"/>
  <c r="AH50" i="1"/>
  <c r="BB50" i="1" s="1"/>
  <c r="BA50" i="1" s="1"/>
  <c r="AE153" i="1"/>
  <c r="AH153" i="1"/>
  <c r="BB153" i="1" s="1"/>
  <c r="BA153" i="1" s="1"/>
  <c r="AB153" i="1"/>
  <c r="AH17" i="1"/>
  <c r="BB17" i="1" s="1"/>
  <c r="BA17" i="1" s="1"/>
  <c r="AB17" i="1"/>
  <c r="AE17" i="1"/>
  <c r="AB13" i="1"/>
  <c r="AH13" i="1"/>
  <c r="BB13" i="1" s="1"/>
  <c r="BA13" i="1" s="1"/>
  <c r="AE13" i="1"/>
  <c r="AB62" i="1"/>
  <c r="AH62" i="1"/>
  <c r="BB62" i="1" s="1"/>
  <c r="BA62" i="1" s="1"/>
  <c r="AE62" i="1"/>
  <c r="AE110" i="1"/>
  <c r="AH110" i="1"/>
  <c r="AB110" i="1"/>
  <c r="AE43" i="1"/>
  <c r="AB43" i="1"/>
  <c r="AH43" i="1"/>
  <c r="Z240" i="1"/>
  <c r="AB240" i="1" s="1"/>
  <c r="AA162" i="1"/>
  <c r="CB162" i="1" s="1"/>
  <c r="AA165" i="1"/>
  <c r="CB165" i="1" s="1"/>
  <c r="AA166" i="1"/>
  <c r="CB166" i="1" s="1"/>
  <c r="AA171" i="1"/>
  <c r="CB171" i="1" s="1"/>
  <c r="AA168" i="1"/>
  <c r="CB168" i="1" s="1"/>
  <c r="AA172" i="1"/>
  <c r="CB172" i="1" s="1"/>
  <c r="AA174" i="1"/>
  <c r="CB174" i="1" s="1"/>
  <c r="AA177" i="1"/>
  <c r="CB177" i="1" s="1"/>
  <c r="AA178" i="1"/>
  <c r="CB178" i="1" s="1"/>
  <c r="AA181" i="1"/>
  <c r="CB181" i="1" s="1"/>
  <c r="AA182" i="1"/>
  <c r="CB182" i="1" s="1"/>
  <c r="AA184" i="1"/>
  <c r="CB184" i="1" s="1"/>
  <c r="AA186" i="1"/>
  <c r="CB186" i="1" s="1"/>
  <c r="AA189" i="1"/>
  <c r="CB189" i="1" s="1"/>
  <c r="AA190" i="1"/>
  <c r="CB190" i="1" s="1"/>
  <c r="AA195" i="1"/>
  <c r="CB195" i="1" s="1"/>
  <c r="AA197" i="1"/>
  <c r="CB197" i="1" s="1"/>
  <c r="AA222" i="1"/>
  <c r="CB222" i="1" s="1"/>
  <c r="AA224" i="1"/>
  <c r="CB224" i="1" s="1"/>
  <c r="AA227" i="1"/>
  <c r="CB227" i="1" s="1"/>
  <c r="AA228" i="1"/>
  <c r="CB228" i="1" s="1"/>
  <c r="AA230" i="1"/>
  <c r="CB230" i="1" s="1"/>
  <c r="AA231" i="1"/>
  <c r="CB231" i="1" s="1"/>
  <c r="AA232" i="1"/>
  <c r="CB232" i="1" s="1"/>
  <c r="AA234" i="1"/>
  <c r="CB234" i="1" s="1"/>
  <c r="AA236" i="1"/>
  <c r="CB236" i="1" s="1"/>
  <c r="AA238" i="1"/>
  <c r="CB238" i="1" s="1"/>
  <c r="AA241" i="1"/>
  <c r="CB241" i="1" s="1"/>
  <c r="AA243" i="1"/>
  <c r="CB243" i="1" s="1"/>
  <c r="AA244" i="1"/>
  <c r="CB244" i="1" s="1"/>
  <c r="AA246" i="1"/>
  <c r="CB246" i="1" s="1"/>
  <c r="AA248" i="1"/>
  <c r="CB248" i="1" s="1"/>
  <c r="AA253" i="1"/>
  <c r="CB253" i="1" s="1"/>
  <c r="AA255" i="1"/>
  <c r="CB255" i="1" s="1"/>
  <c r="AA257" i="1"/>
  <c r="CB257" i="1" s="1"/>
  <c r="AA259" i="1"/>
  <c r="CB259" i="1" s="1"/>
  <c r="AA260" i="1"/>
  <c r="CB260" i="1" s="1"/>
  <c r="AA261" i="1"/>
  <c r="CB261" i="1" s="1"/>
  <c r="AA163" i="1"/>
  <c r="CB163" i="1" s="1"/>
  <c r="AA164" i="1"/>
  <c r="CB164" i="1" s="1"/>
  <c r="AA167" i="1"/>
  <c r="CB167" i="1" s="1"/>
  <c r="AA169" i="1"/>
  <c r="CB169" i="1" s="1"/>
  <c r="AA170" i="1"/>
  <c r="CB170" i="1" s="1"/>
  <c r="AA173" i="1"/>
  <c r="CB173" i="1" s="1"/>
  <c r="AA175" i="1"/>
  <c r="CB175" i="1" s="1"/>
  <c r="AA176" i="1"/>
  <c r="CB176" i="1" s="1"/>
  <c r="AA179" i="1"/>
  <c r="CB179" i="1" s="1"/>
  <c r="AA180" i="1"/>
  <c r="CB180" i="1" s="1"/>
  <c r="AA183" i="1"/>
  <c r="CB183" i="1" s="1"/>
  <c r="AA185" i="1"/>
  <c r="CB185" i="1" s="1"/>
  <c r="AA187" i="1"/>
  <c r="CB187" i="1" s="1"/>
  <c r="AA188" i="1"/>
  <c r="CB188" i="1" s="1"/>
  <c r="AA191" i="1"/>
  <c r="CB191" i="1" s="1"/>
  <c r="AA192" i="1"/>
  <c r="CB192" i="1" s="1"/>
  <c r="AA193" i="1"/>
  <c r="CB193" i="1" s="1"/>
  <c r="AA194" i="1"/>
  <c r="CB194" i="1" s="1"/>
  <c r="AA196" i="1"/>
  <c r="CB196" i="1" s="1"/>
  <c r="AA223" i="1"/>
  <c r="CB223" i="1" s="1"/>
  <c r="AA225" i="1"/>
  <c r="CB225" i="1" s="1"/>
  <c r="AA226" i="1"/>
  <c r="CB226" i="1" s="1"/>
  <c r="AA229" i="1"/>
  <c r="CB229" i="1" s="1"/>
  <c r="AA233" i="1"/>
  <c r="CB233" i="1" s="1"/>
  <c r="AA235" i="1"/>
  <c r="CB235" i="1" s="1"/>
  <c r="AA237" i="1"/>
  <c r="CB237" i="1" s="1"/>
  <c r="AA239" i="1"/>
  <c r="CB239" i="1" s="1"/>
  <c r="AA240" i="1"/>
  <c r="CB240" i="1" s="1"/>
  <c r="AA242" i="1"/>
  <c r="CB242" i="1" s="1"/>
  <c r="AA245" i="1"/>
  <c r="CB245" i="1" s="1"/>
  <c r="AA247" i="1"/>
  <c r="CB247" i="1" s="1"/>
  <c r="AA249" i="1"/>
  <c r="CB249" i="1" s="1"/>
  <c r="AA250" i="1"/>
  <c r="CB250" i="1" s="1"/>
  <c r="AA251" i="1"/>
  <c r="CB251" i="1" s="1"/>
  <c r="AA252" i="1"/>
  <c r="CB252" i="1" s="1"/>
  <c r="AA254" i="1"/>
  <c r="CB254" i="1" s="1"/>
  <c r="AA256" i="1"/>
  <c r="CB256" i="1" s="1"/>
  <c r="AA258" i="1"/>
  <c r="CB258" i="1" s="1"/>
  <c r="AC163" i="1"/>
  <c r="AC165" i="1"/>
  <c r="AC167" i="1"/>
  <c r="AC171" i="1"/>
  <c r="AC175" i="1"/>
  <c r="AC177" i="1"/>
  <c r="AC179" i="1"/>
  <c r="AC181" i="1"/>
  <c r="AC187" i="1"/>
  <c r="AC189" i="1"/>
  <c r="AC191" i="1"/>
  <c r="AC193" i="1"/>
  <c r="AC222" i="1"/>
  <c r="AC224" i="1"/>
  <c r="AC226" i="1"/>
  <c r="AC230" i="1"/>
  <c r="AC233" i="1"/>
  <c r="AC235" i="1"/>
  <c r="AC237" i="1"/>
  <c r="AC239" i="1"/>
  <c r="AC240" i="1"/>
  <c r="AC241" i="1"/>
  <c r="AC242" i="1"/>
  <c r="AC244" i="1"/>
  <c r="AC246" i="1"/>
  <c r="AC248" i="1"/>
  <c r="AC253" i="1"/>
  <c r="AC255" i="1"/>
  <c r="AC257" i="1"/>
  <c r="AC259" i="1"/>
  <c r="AC260" i="1"/>
  <c r="AC261" i="1"/>
  <c r="AC162" i="1"/>
  <c r="AC164" i="1"/>
  <c r="AC166" i="1"/>
  <c r="AC169" i="1"/>
  <c r="AC168" i="1"/>
  <c r="AC170" i="1"/>
  <c r="AC172" i="1"/>
  <c r="AC173" i="1"/>
  <c r="AC174" i="1"/>
  <c r="AC176" i="1"/>
  <c r="AC178" i="1"/>
  <c r="AC180" i="1"/>
  <c r="AC182" i="1"/>
  <c r="AC183" i="1"/>
  <c r="AC184" i="1"/>
  <c r="AC185" i="1"/>
  <c r="AC186" i="1"/>
  <c r="AC188" i="1"/>
  <c r="AC190" i="1"/>
  <c r="AC192" i="1"/>
  <c r="AC194" i="1"/>
  <c r="AC195" i="1"/>
  <c r="AC196" i="1"/>
  <c r="AC197" i="1"/>
  <c r="AC223" i="1"/>
  <c r="AC225" i="1"/>
  <c r="AC227" i="1"/>
  <c r="AC229" i="1"/>
  <c r="AC228" i="1"/>
  <c r="AC231" i="1"/>
  <c r="AC232" i="1"/>
  <c r="AC234" i="1"/>
  <c r="AC236" i="1"/>
  <c r="AC238" i="1"/>
  <c r="AC243" i="1"/>
  <c r="AC245" i="1"/>
  <c r="AC247" i="1"/>
  <c r="AC249" i="1"/>
  <c r="AC250" i="1"/>
  <c r="AC251" i="1"/>
  <c r="AC252" i="1"/>
  <c r="AC254" i="1"/>
  <c r="AC256" i="1"/>
  <c r="AC258" i="1"/>
  <c r="Q167" i="1"/>
  <c r="S167" i="1" s="1"/>
  <c r="Q177" i="1"/>
  <c r="S177" i="1" s="1"/>
  <c r="Q163" i="1"/>
  <c r="S163" i="1" s="1"/>
  <c r="Q173" i="1"/>
  <c r="S173" i="1" s="1"/>
  <c r="Q182" i="1"/>
  <c r="S182" i="1" s="1"/>
  <c r="Q187" i="1"/>
  <c r="S187" i="1" s="1"/>
  <c r="Q196" i="1"/>
  <c r="S196" i="1" s="1"/>
  <c r="Q175" i="1"/>
  <c r="S175" i="1" s="1"/>
  <c r="V180" i="1"/>
  <c r="Z180" i="1" s="1"/>
  <c r="Q183" i="1"/>
  <c r="S183" i="1" s="1"/>
  <c r="V186" i="1"/>
  <c r="Z186" i="1" s="1"/>
  <c r="Q189" i="1"/>
  <c r="S189" i="1" s="1"/>
  <c r="Q194" i="1"/>
  <c r="S194" i="1" s="1"/>
  <c r="Q165" i="1"/>
  <c r="S165" i="1" s="1"/>
  <c r="Q171" i="1"/>
  <c r="S171" i="1" s="1"/>
  <c r="Q170" i="1"/>
  <c r="S170" i="1" s="1"/>
  <c r="Q227" i="1"/>
  <c r="S227" i="1" s="1"/>
  <c r="V227" i="1"/>
  <c r="Z227" i="1" s="1"/>
  <c r="Q168" i="1"/>
  <c r="S168" i="1" s="1"/>
  <c r="Q172" i="1"/>
  <c r="S172" i="1" s="1"/>
  <c r="V178" i="1"/>
  <c r="Z178" i="1" s="1"/>
  <c r="Q179" i="1"/>
  <c r="S179" i="1" s="1"/>
  <c r="Q181" i="1"/>
  <c r="S181" i="1" s="1"/>
  <c r="Q184" i="1"/>
  <c r="S184" i="1" s="1"/>
  <c r="Q185" i="1"/>
  <c r="S185" i="1" s="1"/>
  <c r="V188" i="1"/>
  <c r="Z188" i="1" s="1"/>
  <c r="V190" i="1"/>
  <c r="Z190" i="1" s="1"/>
  <c r="Q191" i="1"/>
  <c r="S191" i="1" s="1"/>
  <c r="Q193" i="1"/>
  <c r="S193" i="1" s="1"/>
  <c r="Q195" i="1"/>
  <c r="S195" i="1" s="1"/>
  <c r="Q197" i="1"/>
  <c r="S197" i="1" s="1"/>
  <c r="Q223" i="1"/>
  <c r="S223" i="1" s="1"/>
  <c r="Q224" i="1"/>
  <c r="S224" i="1" s="1"/>
  <c r="V225" i="1"/>
  <c r="Z225" i="1" s="1"/>
  <c r="Q226" i="1"/>
  <c r="S226" i="1" s="1"/>
  <c r="Q229" i="1"/>
  <c r="S229" i="1" s="1"/>
  <c r="Q228" i="1"/>
  <c r="S228" i="1" s="1"/>
  <c r="Q230" i="1"/>
  <c r="S230" i="1" s="1"/>
  <c r="Q231" i="1"/>
  <c r="S231" i="1" s="1"/>
  <c r="Q233" i="1"/>
  <c r="S233" i="1" s="1"/>
  <c r="Q235" i="1"/>
  <c r="S235" i="1" s="1"/>
  <c r="Q237" i="1"/>
  <c r="S237" i="1" s="1"/>
  <c r="Q242" i="1"/>
  <c r="S242" i="1" s="1"/>
  <c r="Q244" i="1"/>
  <c r="S244" i="1" s="1"/>
  <c r="Q246" i="1"/>
  <c r="S246" i="1" s="1"/>
  <c r="Q248" i="1"/>
  <c r="S248" i="1" s="1"/>
  <c r="Q249" i="1"/>
  <c r="S249" i="1" s="1"/>
  <c r="Q250" i="1"/>
  <c r="S250" i="1" s="1"/>
  <c r="Q251" i="1"/>
  <c r="S251" i="1" s="1"/>
  <c r="Q253" i="1"/>
  <c r="S253" i="1" s="1"/>
  <c r="Q255" i="1"/>
  <c r="S255" i="1" s="1"/>
  <c r="Q257" i="1"/>
  <c r="S257" i="1" s="1"/>
  <c r="V162" i="1"/>
  <c r="Y162" i="1" s="1"/>
  <c r="V164" i="1"/>
  <c r="Y164" i="1" s="1"/>
  <c r="V166" i="1"/>
  <c r="Y166" i="1" s="1"/>
  <c r="V169" i="1"/>
  <c r="Y169" i="1" s="1"/>
  <c r="V174" i="1"/>
  <c r="Y174" i="1" s="1"/>
  <c r="V176" i="1"/>
  <c r="Y176" i="1" s="1"/>
  <c r="V163" i="1"/>
  <c r="Y163" i="1" s="1"/>
  <c r="V165" i="1"/>
  <c r="Y165" i="1" s="1"/>
  <c r="V167" i="1"/>
  <c r="Y167" i="1" s="1"/>
  <c r="V171" i="1"/>
  <c r="Y171" i="1" s="1"/>
  <c r="V168" i="1"/>
  <c r="Y168" i="1" s="1"/>
  <c r="V170" i="1"/>
  <c r="Y170" i="1" s="1"/>
  <c r="V172" i="1"/>
  <c r="Y172" i="1" s="1"/>
  <c r="V173" i="1"/>
  <c r="Y173" i="1" s="1"/>
  <c r="V175" i="1"/>
  <c r="Y175" i="1" s="1"/>
  <c r="V177" i="1"/>
  <c r="Y177" i="1" s="1"/>
  <c r="V179" i="1"/>
  <c r="Y179" i="1" s="1"/>
  <c r="V181" i="1"/>
  <c r="Y181" i="1" s="1"/>
  <c r="V182" i="1"/>
  <c r="Y182" i="1" s="1"/>
  <c r="V183" i="1"/>
  <c r="Y183" i="1" s="1"/>
  <c r="V184" i="1"/>
  <c r="Y184" i="1" s="1"/>
  <c r="V185" i="1"/>
  <c r="Y185" i="1" s="1"/>
  <c r="V187" i="1"/>
  <c r="Y187" i="1" s="1"/>
  <c r="V189" i="1"/>
  <c r="Y189" i="1" s="1"/>
  <c r="V191" i="1"/>
  <c r="Y191" i="1" s="1"/>
  <c r="Q192" i="1"/>
  <c r="S192" i="1" s="1"/>
  <c r="V193" i="1"/>
  <c r="Y193" i="1" s="1"/>
  <c r="V194" i="1"/>
  <c r="Y194" i="1" s="1"/>
  <c r="V195" i="1"/>
  <c r="Y195" i="1" s="1"/>
  <c r="V196" i="1"/>
  <c r="Y196" i="1" s="1"/>
  <c r="V197" i="1"/>
  <c r="Y197" i="1" s="1"/>
  <c r="Q222" i="1"/>
  <c r="S222" i="1" s="1"/>
  <c r="V223" i="1"/>
  <c r="Y223" i="1" s="1"/>
  <c r="CA240" i="1"/>
  <c r="V192" i="1"/>
  <c r="Y192" i="1" s="1"/>
  <c r="V222" i="1"/>
  <c r="Y222" i="1" s="1"/>
  <c r="V224" i="1"/>
  <c r="Y224" i="1" s="1"/>
  <c r="V226" i="1"/>
  <c r="Y226" i="1" s="1"/>
  <c r="V229" i="1"/>
  <c r="Y229" i="1" s="1"/>
  <c r="V228" i="1"/>
  <c r="Y228" i="1" s="1"/>
  <c r="V230" i="1"/>
  <c r="Y230" i="1" s="1"/>
  <c r="V231" i="1"/>
  <c r="Y231" i="1" s="1"/>
  <c r="Q232" i="1"/>
  <c r="S232" i="1" s="1"/>
  <c r="V233" i="1"/>
  <c r="Y233" i="1" s="1"/>
  <c r="Q234" i="1"/>
  <c r="S234" i="1" s="1"/>
  <c r="V235" i="1"/>
  <c r="Y235" i="1" s="1"/>
  <c r="Q236" i="1"/>
  <c r="S236" i="1" s="1"/>
  <c r="V237" i="1"/>
  <c r="Y237" i="1" s="1"/>
  <c r="Q238" i="1"/>
  <c r="S238" i="1" s="1"/>
  <c r="Q239" i="1"/>
  <c r="S239" i="1" s="1"/>
  <c r="Q240" i="1"/>
  <c r="S240" i="1" s="1"/>
  <c r="V241" i="1"/>
  <c r="Y241" i="1" s="1"/>
  <c r="V232" i="1"/>
  <c r="Y232" i="1" s="1"/>
  <c r="V234" i="1"/>
  <c r="Y234" i="1" s="1"/>
  <c r="V236" i="1"/>
  <c r="Y236" i="1" s="1"/>
  <c r="V238" i="1"/>
  <c r="Y238" i="1" s="1"/>
  <c r="V239" i="1"/>
  <c r="Y239" i="1" s="1"/>
  <c r="V243" i="1"/>
  <c r="Y243" i="1" s="1"/>
  <c r="V245" i="1"/>
  <c r="Y245" i="1" s="1"/>
  <c r="V242" i="1"/>
  <c r="Y242" i="1" s="1"/>
  <c r="V244" i="1"/>
  <c r="Y244" i="1" s="1"/>
  <c r="Q245" i="1"/>
  <c r="S245" i="1" s="1"/>
  <c r="V246" i="1"/>
  <c r="Y246" i="1" s="1"/>
  <c r="Q247" i="1"/>
  <c r="S247" i="1" s="1"/>
  <c r="V248" i="1"/>
  <c r="Y248" i="1" s="1"/>
  <c r="V249" i="1"/>
  <c r="Y249" i="1" s="1"/>
  <c r="V250" i="1"/>
  <c r="Y250" i="1" s="1"/>
  <c r="V251" i="1"/>
  <c r="Y251" i="1" s="1"/>
  <c r="Q252" i="1"/>
  <c r="S252" i="1" s="1"/>
  <c r="V253" i="1"/>
  <c r="Y253" i="1" s="1"/>
  <c r="Q254" i="1"/>
  <c r="S254" i="1" s="1"/>
  <c r="V255" i="1"/>
  <c r="Y255" i="1" s="1"/>
  <c r="Q256" i="1"/>
  <c r="S256" i="1" s="1"/>
  <c r="V247" i="1"/>
  <c r="Y247" i="1" s="1"/>
  <c r="V252" i="1"/>
  <c r="Y252" i="1" s="1"/>
  <c r="V254" i="1"/>
  <c r="Y254" i="1" s="1"/>
  <c r="V256" i="1"/>
  <c r="Y256" i="1" s="1"/>
  <c r="V257" i="1"/>
  <c r="Y257" i="1" s="1"/>
  <c r="Q258" i="1"/>
  <c r="S258" i="1" s="1"/>
  <c r="Q259" i="1"/>
  <c r="S259" i="1" s="1"/>
  <c r="Q260" i="1"/>
  <c r="S260" i="1" s="1"/>
  <c r="Q261" i="1"/>
  <c r="S261" i="1" s="1"/>
  <c r="V258" i="1"/>
  <c r="Y258" i="1" s="1"/>
  <c r="V259" i="1"/>
  <c r="Y259" i="1" s="1"/>
  <c r="V260" i="1"/>
  <c r="Y260" i="1" s="1"/>
  <c r="V261" i="1"/>
  <c r="Y261" i="1" s="1"/>
  <c r="AH161" i="1" l="1"/>
  <c r="AH217" i="1"/>
  <c r="AH213" i="1"/>
  <c r="AI213" i="1" s="1"/>
  <c r="AE87" i="1"/>
  <c r="AE90" i="1"/>
  <c r="AE128" i="1"/>
  <c r="AE204" i="1"/>
  <c r="AH86" i="1"/>
  <c r="BB86" i="1" s="1"/>
  <c r="BA86" i="1" s="1"/>
  <c r="AH71" i="1"/>
  <c r="AI71" i="1" s="1"/>
  <c r="AH207" i="1"/>
  <c r="AI207" i="1" s="1"/>
  <c r="AE86" i="1"/>
  <c r="AE143" i="1"/>
  <c r="AE217" i="1"/>
  <c r="AE141" i="1"/>
  <c r="AB217" i="1"/>
  <c r="AH215" i="1"/>
  <c r="AI215" i="1" s="1"/>
  <c r="AE215" i="1"/>
  <c r="AE220" i="1"/>
  <c r="AE139" i="1"/>
  <c r="AH206" i="1"/>
  <c r="AE140" i="1"/>
  <c r="AE74" i="1"/>
  <c r="AH103" i="1"/>
  <c r="AI103" i="1" s="1"/>
  <c r="AE198" i="1"/>
  <c r="AH219" i="1"/>
  <c r="AI219" i="1" s="1"/>
  <c r="AL219" i="1" s="1"/>
  <c r="AH128" i="1"/>
  <c r="AI128" i="1" s="1"/>
  <c r="AE88" i="1"/>
  <c r="AE71" i="1"/>
  <c r="AH204" i="1"/>
  <c r="AI204" i="1" s="1"/>
  <c r="AE201" i="1"/>
  <c r="AE93" i="1"/>
  <c r="AH129" i="1"/>
  <c r="AI129" i="1" s="1"/>
  <c r="AH99" i="1"/>
  <c r="BB99" i="1" s="1"/>
  <c r="BA99" i="1" s="1"/>
  <c r="AH208" i="1"/>
  <c r="AI208" i="1" s="1"/>
  <c r="AM208" i="1" s="1"/>
  <c r="AH104" i="1"/>
  <c r="AI104" i="1" s="1"/>
  <c r="AM104" i="1" s="1"/>
  <c r="AE214" i="1"/>
  <c r="AE96" i="1"/>
  <c r="AH100" i="1"/>
  <c r="AI100" i="1" s="1"/>
  <c r="AE106" i="1"/>
  <c r="AE218" i="1"/>
  <c r="AH96" i="1"/>
  <c r="BB96" i="1" s="1"/>
  <c r="BA96" i="1" s="1"/>
  <c r="AE127" i="1"/>
  <c r="AB161" i="1"/>
  <c r="AB213" i="1"/>
  <c r="AE161" i="1"/>
  <c r="AI84" i="1"/>
  <c r="AM84" i="1" s="1"/>
  <c r="AH74" i="1"/>
  <c r="AI74" i="1" s="1"/>
  <c r="AH199" i="1"/>
  <c r="AI199" i="1" s="1"/>
  <c r="AE206" i="1"/>
  <c r="AH127" i="1"/>
  <c r="AI127" i="1" s="1"/>
  <c r="AE211" i="1"/>
  <c r="AE98" i="1"/>
  <c r="AH93" i="1"/>
  <c r="AI93" i="1" s="1"/>
  <c r="AH76" i="1"/>
  <c r="AI76" i="1" s="1"/>
  <c r="AE91" i="1"/>
  <c r="AB93" i="1"/>
  <c r="AH77" i="1"/>
  <c r="AI77" i="1" s="1"/>
  <c r="AJ77" i="1" s="1"/>
  <c r="AH102" i="1"/>
  <c r="AI102" i="1" s="1"/>
  <c r="AE89" i="1"/>
  <c r="AE101" i="1"/>
  <c r="AE199" i="1"/>
  <c r="AE100" i="1"/>
  <c r="AH142" i="1"/>
  <c r="AI142" i="1" s="1"/>
  <c r="AH218" i="1"/>
  <c r="AI218" i="1" s="1"/>
  <c r="AH214" i="1"/>
  <c r="AI214" i="1" s="1"/>
  <c r="AE75" i="1"/>
  <c r="AH106" i="1"/>
  <c r="BB106" i="1" s="1"/>
  <c r="BA106" i="1" s="1"/>
  <c r="AH140" i="1"/>
  <c r="AI140" i="1" s="1"/>
  <c r="AB214" i="1"/>
  <c r="AH75" i="1"/>
  <c r="AI75" i="1" s="1"/>
  <c r="AK75" i="1" s="1"/>
  <c r="AE102" i="1"/>
  <c r="AH92" i="1"/>
  <c r="AI92" i="1" s="1"/>
  <c r="AL92" i="1" s="1"/>
  <c r="AE69" i="1"/>
  <c r="AH69" i="1"/>
  <c r="AI69" i="1" s="1"/>
  <c r="AB107" i="1"/>
  <c r="AE160" i="1"/>
  <c r="AH70" i="1"/>
  <c r="AI70" i="1" s="1"/>
  <c r="AH203" i="1"/>
  <c r="AI203" i="1" s="1"/>
  <c r="AE103" i="1"/>
  <c r="AB208" i="1"/>
  <c r="AB103" i="1"/>
  <c r="AB219" i="1"/>
  <c r="AE200" i="1"/>
  <c r="AB88" i="1"/>
  <c r="AE129" i="1"/>
  <c r="AH200" i="1"/>
  <c r="AI200" i="1" s="1"/>
  <c r="AH88" i="1"/>
  <c r="AI88" i="1" s="1"/>
  <c r="AJ88" i="1" s="1"/>
  <c r="AB203" i="1"/>
  <c r="AB99" i="1"/>
  <c r="AE99" i="1"/>
  <c r="AE105" i="1"/>
  <c r="AB129" i="1"/>
  <c r="AE202" i="1"/>
  <c r="AH101" i="1"/>
  <c r="AI101" i="1" s="1"/>
  <c r="AJ101" i="1" s="1"/>
  <c r="AH91" i="1"/>
  <c r="AI91" i="1" s="1"/>
  <c r="AL91" i="1" s="1"/>
  <c r="AH160" i="1"/>
  <c r="AI160" i="1" s="1"/>
  <c r="AH105" i="1"/>
  <c r="AI105" i="1" s="1"/>
  <c r="AB102" i="1"/>
  <c r="AE92" i="1"/>
  <c r="AE70" i="1"/>
  <c r="AH202" i="1"/>
  <c r="AI202" i="1" s="1"/>
  <c r="AE219" i="1"/>
  <c r="AD220" i="1"/>
  <c r="AG220" i="1"/>
  <c r="AF220" i="1"/>
  <c r="AF93" i="1"/>
  <c r="AD93" i="1"/>
  <c r="AG93" i="1"/>
  <c r="AG75" i="1"/>
  <c r="AF75" i="1"/>
  <c r="AD75" i="1"/>
  <c r="AG218" i="1"/>
  <c r="AF218" i="1"/>
  <c r="AD218" i="1"/>
  <c r="AG76" i="1"/>
  <c r="AD76" i="1"/>
  <c r="AF76" i="1"/>
  <c r="AH98" i="1"/>
  <c r="BB98" i="1" s="1"/>
  <c r="BA98" i="1" s="1"/>
  <c r="AH97" i="1"/>
  <c r="BB97" i="1" s="1"/>
  <c r="BA97" i="1" s="1"/>
  <c r="AG198" i="1"/>
  <c r="AF198" i="1"/>
  <c r="AD198" i="1"/>
  <c r="AF89" i="1"/>
  <c r="AG89" i="1"/>
  <c r="AD89" i="1"/>
  <c r="AF91" i="1"/>
  <c r="AD91" i="1"/>
  <c r="AG91" i="1"/>
  <c r="AF92" i="1"/>
  <c r="AG92" i="1"/>
  <c r="AD92" i="1"/>
  <c r="AD199" i="1"/>
  <c r="AG199" i="1"/>
  <c r="AF199" i="1"/>
  <c r="AG221" i="1"/>
  <c r="AD221" i="1"/>
  <c r="AF221" i="1"/>
  <c r="AF74" i="1"/>
  <c r="AD74" i="1"/>
  <c r="AG74" i="1"/>
  <c r="AG219" i="1"/>
  <c r="AD219" i="1"/>
  <c r="AF219" i="1"/>
  <c r="AD200" i="1"/>
  <c r="AG200" i="1"/>
  <c r="AF200" i="1"/>
  <c r="AF88" i="1"/>
  <c r="AG88" i="1"/>
  <c r="AD88" i="1"/>
  <c r="AE77" i="1"/>
  <c r="AG77" i="1"/>
  <c r="AF77" i="1"/>
  <c r="AD77" i="1"/>
  <c r="AF90" i="1"/>
  <c r="AD90" i="1"/>
  <c r="AG90" i="1"/>
  <c r="AF86" i="1"/>
  <c r="AD86" i="1"/>
  <c r="AG86" i="1"/>
  <c r="AF87" i="1"/>
  <c r="AD87" i="1"/>
  <c r="AG87" i="1"/>
  <c r="AG216" i="1"/>
  <c r="AF216" i="1"/>
  <c r="AD216" i="1"/>
  <c r="AH126" i="1"/>
  <c r="AI126" i="1" s="1"/>
  <c r="AE126" i="1"/>
  <c r="AB126" i="1"/>
  <c r="AF137" i="1"/>
  <c r="AG137" i="1"/>
  <c r="AD137" i="1"/>
  <c r="AE138" i="1"/>
  <c r="AH72" i="1"/>
  <c r="AI72" i="1" s="1"/>
  <c r="AK72" i="1" s="1"/>
  <c r="AG128" i="1"/>
  <c r="AF128" i="1"/>
  <c r="AD128" i="1"/>
  <c r="AF139" i="1"/>
  <c r="AD139" i="1"/>
  <c r="AG139" i="1"/>
  <c r="AH138" i="1"/>
  <c r="AI138" i="1" s="1"/>
  <c r="AF159" i="1"/>
  <c r="AG159" i="1"/>
  <c r="AD159" i="1"/>
  <c r="AD126" i="1"/>
  <c r="AF126" i="1"/>
  <c r="AG126" i="1"/>
  <c r="AD213" i="1"/>
  <c r="AF213" i="1"/>
  <c r="AG213" i="1"/>
  <c r="AH139" i="1"/>
  <c r="AI139" i="1" s="1"/>
  <c r="AJ139" i="1" s="1"/>
  <c r="AH107" i="1"/>
  <c r="BB107" i="1" s="1"/>
  <c r="BA107" i="1" s="1"/>
  <c r="AE205" i="1"/>
  <c r="AF214" i="1"/>
  <c r="AG214" i="1"/>
  <c r="AD214" i="1"/>
  <c r="AE97" i="1"/>
  <c r="AE104" i="1"/>
  <c r="AH216" i="1"/>
  <c r="AI216" i="1" s="1"/>
  <c r="AH137" i="1"/>
  <c r="AI137" i="1" s="1"/>
  <c r="AH212" i="1"/>
  <c r="AI212" i="1" s="1"/>
  <c r="AM212" i="1" s="1"/>
  <c r="AF143" i="1"/>
  <c r="AD143" i="1"/>
  <c r="AG143" i="1"/>
  <c r="AD215" i="1"/>
  <c r="AG215" i="1"/>
  <c r="AF215" i="1"/>
  <c r="AF212" i="1"/>
  <c r="AG212" i="1"/>
  <c r="AD212" i="1"/>
  <c r="AF161" i="1"/>
  <c r="AG161" i="1"/>
  <c r="AD161" i="1"/>
  <c r="AH201" i="1"/>
  <c r="AI201" i="1" s="1"/>
  <c r="AM201" i="1" s="1"/>
  <c r="AG217" i="1"/>
  <c r="AD217" i="1"/>
  <c r="AF217" i="1"/>
  <c r="AF160" i="1"/>
  <c r="AD160" i="1"/>
  <c r="AG160" i="1"/>
  <c r="AG141" i="1"/>
  <c r="AD141" i="1"/>
  <c r="AF141" i="1"/>
  <c r="AF138" i="1"/>
  <c r="AD138" i="1"/>
  <c r="AG138" i="1"/>
  <c r="AB104" i="1"/>
  <c r="AE207" i="1"/>
  <c r="AE137" i="1"/>
  <c r="AD142" i="1"/>
  <c r="AG142" i="1"/>
  <c r="AF142" i="1"/>
  <c r="AD140" i="1"/>
  <c r="AF140" i="1"/>
  <c r="AG140" i="1"/>
  <c r="AE216" i="1"/>
  <c r="AE212" i="1"/>
  <c r="AF127" i="1"/>
  <c r="AG127" i="1"/>
  <c r="AD127" i="1"/>
  <c r="AG129" i="1"/>
  <c r="AD129" i="1"/>
  <c r="AF129" i="1"/>
  <c r="AD211" i="1"/>
  <c r="AG211" i="1"/>
  <c r="AF211" i="1"/>
  <c r="AE72" i="1"/>
  <c r="AF206" i="1"/>
  <c r="AD206" i="1"/>
  <c r="AG206" i="1"/>
  <c r="AF208" i="1"/>
  <c r="AG208" i="1"/>
  <c r="AD208" i="1"/>
  <c r="AD99" i="1"/>
  <c r="AF99" i="1"/>
  <c r="AG99" i="1"/>
  <c r="AF104" i="1"/>
  <c r="AD104" i="1"/>
  <c r="AG104" i="1"/>
  <c r="AD204" i="1"/>
  <c r="AG204" i="1"/>
  <c r="AF204" i="1"/>
  <c r="AF69" i="1"/>
  <c r="AG69" i="1"/>
  <c r="AD69" i="1"/>
  <c r="AG71" i="1"/>
  <c r="AF71" i="1"/>
  <c r="AD71" i="1"/>
  <c r="AG70" i="1"/>
  <c r="AD70" i="1"/>
  <c r="AF70" i="1"/>
  <c r="AD96" i="1"/>
  <c r="AG96" i="1"/>
  <c r="AF96" i="1"/>
  <c r="AF100" i="1"/>
  <c r="AG100" i="1"/>
  <c r="AD100" i="1"/>
  <c r="AF106" i="1"/>
  <c r="AG106" i="1"/>
  <c r="AD106" i="1"/>
  <c r="AD203" i="1"/>
  <c r="AF203" i="1"/>
  <c r="AG203" i="1"/>
  <c r="AG207" i="1"/>
  <c r="AD207" i="1"/>
  <c r="AF207" i="1"/>
  <c r="AD201" i="1"/>
  <c r="AF201" i="1"/>
  <c r="AG201" i="1"/>
  <c r="AF107" i="1"/>
  <c r="AG107" i="1"/>
  <c r="AD107" i="1"/>
  <c r="AD98" i="1"/>
  <c r="AF98" i="1"/>
  <c r="AG98" i="1"/>
  <c r="AF205" i="1"/>
  <c r="AD205" i="1"/>
  <c r="AG205" i="1"/>
  <c r="AD97" i="1"/>
  <c r="AG97" i="1"/>
  <c r="AF97" i="1"/>
  <c r="AH205" i="1"/>
  <c r="AI205" i="1" s="1"/>
  <c r="AL205" i="1" s="1"/>
  <c r="AD202" i="1"/>
  <c r="AG202" i="1"/>
  <c r="AF202" i="1"/>
  <c r="AF105" i="1"/>
  <c r="AG105" i="1"/>
  <c r="AD105" i="1"/>
  <c r="AG103" i="1"/>
  <c r="AF103" i="1"/>
  <c r="AD103" i="1"/>
  <c r="AF102" i="1"/>
  <c r="AG102" i="1"/>
  <c r="AD102" i="1"/>
  <c r="AG72" i="1"/>
  <c r="AD72" i="1"/>
  <c r="AF72" i="1"/>
  <c r="AF101" i="1"/>
  <c r="AD101" i="1"/>
  <c r="AG101" i="1"/>
  <c r="AE208" i="1"/>
  <c r="AI108" i="1"/>
  <c r="AK108" i="1" s="1"/>
  <c r="AI20" i="1"/>
  <c r="AL20" i="1" s="1"/>
  <c r="AI60" i="1"/>
  <c r="AL60" i="1" s="1"/>
  <c r="AI150" i="1"/>
  <c r="AM150" i="1" s="1"/>
  <c r="AI24" i="1"/>
  <c r="AI144" i="1"/>
  <c r="AJ130" i="1"/>
  <c r="AL130" i="1"/>
  <c r="AM130" i="1"/>
  <c r="AK130" i="1"/>
  <c r="AK78" i="1"/>
  <c r="AM78" i="1"/>
  <c r="AJ78" i="1"/>
  <c r="AL78" i="1"/>
  <c r="AK220" i="1"/>
  <c r="AM220" i="1"/>
  <c r="AL220" i="1"/>
  <c r="AJ220" i="1"/>
  <c r="AI28" i="1"/>
  <c r="BB145" i="1"/>
  <c r="AI145" i="1"/>
  <c r="BA78" i="1"/>
  <c r="CG78" i="1"/>
  <c r="AI22" i="1"/>
  <c r="AI27" i="1"/>
  <c r="BB82" i="1"/>
  <c r="AI82" i="1"/>
  <c r="AI206" i="1"/>
  <c r="AK210" i="1"/>
  <c r="AM210" i="1"/>
  <c r="AL210" i="1"/>
  <c r="AJ210" i="1"/>
  <c r="BB79" i="1"/>
  <c r="AI79" i="1"/>
  <c r="BB81" i="1"/>
  <c r="AI81" i="1"/>
  <c r="AI31" i="1"/>
  <c r="AI149" i="1"/>
  <c r="BA201" i="1"/>
  <c r="CG201" i="1"/>
  <c r="AI132" i="1"/>
  <c r="AI143" i="1"/>
  <c r="AI30" i="1"/>
  <c r="AK32" i="1"/>
  <c r="AM32" i="1"/>
  <c r="AL32" i="1"/>
  <c r="AJ32" i="1"/>
  <c r="AI135" i="1"/>
  <c r="AI198" i="1"/>
  <c r="AI148" i="1"/>
  <c r="AI134" i="1"/>
  <c r="AI21" i="1"/>
  <c r="AJ21" i="1" s="1"/>
  <c r="AI209" i="1"/>
  <c r="AI33" i="1"/>
  <c r="BA77" i="1"/>
  <c r="CG77" i="1"/>
  <c r="AI29" i="1"/>
  <c r="AL136" i="1"/>
  <c r="AK136" i="1"/>
  <c r="AM136" i="1"/>
  <c r="AJ136" i="1"/>
  <c r="AJ80" i="1"/>
  <c r="AL80" i="1"/>
  <c r="AM80" i="1"/>
  <c r="AK80" i="1"/>
  <c r="BB203" i="1"/>
  <c r="AI25" i="1"/>
  <c r="AI133" i="1"/>
  <c r="AI217" i="1"/>
  <c r="AM147" i="1"/>
  <c r="AL147" i="1"/>
  <c r="AK147" i="1"/>
  <c r="AJ147" i="1"/>
  <c r="BA80" i="1"/>
  <c r="CG80" i="1"/>
  <c r="BB76" i="1"/>
  <c r="AI221" i="1"/>
  <c r="AI26" i="1"/>
  <c r="BA75" i="1"/>
  <c r="CG75" i="1"/>
  <c r="AI146" i="1"/>
  <c r="BB131" i="1"/>
  <c r="AI131" i="1"/>
  <c r="AK141" i="1"/>
  <c r="AM141" i="1"/>
  <c r="AL141" i="1"/>
  <c r="AJ141" i="1"/>
  <c r="AI73" i="1"/>
  <c r="AI211" i="1"/>
  <c r="AI61" i="1"/>
  <c r="AL61" i="1" s="1"/>
  <c r="AI109" i="1"/>
  <c r="AK109" i="1" s="1"/>
  <c r="AI118" i="1"/>
  <c r="AM118" i="1" s="1"/>
  <c r="AI87" i="1"/>
  <c r="AJ87" i="1" s="1"/>
  <c r="AI46" i="1"/>
  <c r="AM46" i="1" s="1"/>
  <c r="AI116" i="1"/>
  <c r="AM116" i="1" s="1"/>
  <c r="AI14" i="1"/>
  <c r="AK14" i="1" s="1"/>
  <c r="AI15" i="1"/>
  <c r="AM15" i="1" s="1"/>
  <c r="BB15" i="1"/>
  <c r="BA15" i="1" s="1"/>
  <c r="AI48" i="1"/>
  <c r="AL48" i="1" s="1"/>
  <c r="BB48" i="1"/>
  <c r="BA48" i="1" s="1"/>
  <c r="BB10" i="1"/>
  <c r="BA10" i="1" s="1"/>
  <c r="AI10" i="1"/>
  <c r="AI36" i="1"/>
  <c r="AM36" i="1" s="1"/>
  <c r="BB36" i="1"/>
  <c r="BA36" i="1" s="1"/>
  <c r="AI43" i="1"/>
  <c r="AL121" i="1"/>
  <c r="AM121" i="1"/>
  <c r="AK121" i="1"/>
  <c r="AJ121" i="1"/>
  <c r="AJ53" i="1"/>
  <c r="AM53" i="1"/>
  <c r="AK53" i="1"/>
  <c r="AL53" i="1"/>
  <c r="AI13" i="1"/>
  <c r="AI17" i="1"/>
  <c r="AI153" i="1"/>
  <c r="AI51" i="1"/>
  <c r="AM41" i="1"/>
  <c r="AJ41" i="1"/>
  <c r="AK41" i="1"/>
  <c r="AL41" i="1"/>
  <c r="AI94" i="1"/>
  <c r="AI19" i="1"/>
  <c r="AI85" i="1"/>
  <c r="AI42" i="1"/>
  <c r="AI54" i="1"/>
  <c r="AI124" i="1"/>
  <c r="AK123" i="1"/>
  <c r="AM123" i="1"/>
  <c r="AL123" i="1"/>
  <c r="AJ123" i="1"/>
  <c r="AI89" i="1"/>
  <c r="AI16" i="1"/>
  <c r="AI90" i="1"/>
  <c r="AI67" i="1"/>
  <c r="AI158" i="1"/>
  <c r="AM38" i="1"/>
  <c r="AK38" i="1"/>
  <c r="AJ38" i="1"/>
  <c r="AL38" i="1"/>
  <c r="AI112" i="1"/>
  <c r="AM66" i="1"/>
  <c r="AJ66" i="1"/>
  <c r="AK66" i="1"/>
  <c r="AL66" i="1"/>
  <c r="AI119" i="1"/>
  <c r="AI63" i="1"/>
  <c r="AK156" i="1"/>
  <c r="AL156" i="1"/>
  <c r="AM156" i="1"/>
  <c r="AJ156" i="1"/>
  <c r="AI12" i="1"/>
  <c r="AI152" i="1"/>
  <c r="AI154" i="1"/>
  <c r="AI64" i="1"/>
  <c r="AI40" i="1"/>
  <c r="AI50" i="1"/>
  <c r="AI117" i="1"/>
  <c r="AI35" i="1"/>
  <c r="AI115" i="1"/>
  <c r="AJ159" i="1"/>
  <c r="AL159" i="1"/>
  <c r="AM159" i="1"/>
  <c r="AK159" i="1"/>
  <c r="AI83" i="1"/>
  <c r="AI120" i="1"/>
  <c r="AK111" i="1"/>
  <c r="AM111" i="1"/>
  <c r="AL111" i="1"/>
  <c r="AJ111" i="1"/>
  <c r="AI151" i="1"/>
  <c r="AI47" i="1"/>
  <c r="AM39" i="1"/>
  <c r="AJ39" i="1"/>
  <c r="AK39" i="1"/>
  <c r="AL39" i="1"/>
  <c r="AI59" i="1"/>
  <c r="AI161" i="1"/>
  <c r="AI157" i="1"/>
  <c r="AI34" i="1"/>
  <c r="AI113" i="1"/>
  <c r="AL114" i="1"/>
  <c r="AM114" i="1"/>
  <c r="AK114" i="1"/>
  <c r="AJ114" i="1"/>
  <c r="AI68" i="1"/>
  <c r="AI110" i="1"/>
  <c r="AI62" i="1"/>
  <c r="AK45" i="1"/>
  <c r="AL45" i="1"/>
  <c r="AM45" i="1"/>
  <c r="AJ45" i="1"/>
  <c r="AJ155" i="1"/>
  <c r="AM155" i="1"/>
  <c r="AL155" i="1"/>
  <c r="AK155" i="1"/>
  <c r="AI58" i="1"/>
  <c r="AK52" i="1"/>
  <c r="AM52" i="1"/>
  <c r="AL52" i="1"/>
  <c r="AJ52" i="1"/>
  <c r="AI18" i="1"/>
  <c r="AI37" i="1"/>
  <c r="AI49" i="1"/>
  <c r="AI122" i="1"/>
  <c r="AL95" i="1"/>
  <c r="AM95" i="1"/>
  <c r="AK95" i="1"/>
  <c r="AJ95" i="1"/>
  <c r="AJ55" i="1"/>
  <c r="AM55" i="1"/>
  <c r="AK55" i="1"/>
  <c r="AL55" i="1"/>
  <c r="AM56" i="1"/>
  <c r="AK56" i="1"/>
  <c r="AL56" i="1"/>
  <c r="AJ56" i="1"/>
  <c r="AL65" i="1"/>
  <c r="AK65" i="1"/>
  <c r="AJ65" i="1"/>
  <c r="AM65" i="1"/>
  <c r="AM44" i="1"/>
  <c r="AK44" i="1"/>
  <c r="AL44" i="1"/>
  <c r="AJ44" i="1"/>
  <c r="AI57" i="1"/>
  <c r="AI125" i="1"/>
  <c r="Z258" i="1"/>
  <c r="AB258" i="1" s="1"/>
  <c r="Z254" i="1"/>
  <c r="Z251" i="1"/>
  <c r="AB251" i="1" s="1"/>
  <c r="Z249" i="1"/>
  <c r="AB249" i="1" s="1"/>
  <c r="Z245" i="1"/>
  <c r="AB245" i="1" s="1"/>
  <c r="Z239" i="1"/>
  <c r="Z235" i="1"/>
  <c r="AB235" i="1" s="1"/>
  <c r="Z229" i="1"/>
  <c r="AB229" i="1" s="1"/>
  <c r="Z196" i="1"/>
  <c r="AB196" i="1" s="1"/>
  <c r="Z193" i="1"/>
  <c r="AB193" i="1" s="1"/>
  <c r="Z191" i="1"/>
  <c r="AB191" i="1" s="1"/>
  <c r="Z187" i="1"/>
  <c r="AB187" i="1" s="1"/>
  <c r="Z183" i="1"/>
  <c r="AB183" i="1" s="1"/>
  <c r="Z179" i="1"/>
  <c r="AB179" i="1" s="1"/>
  <c r="Z175" i="1"/>
  <c r="AB175" i="1" s="1"/>
  <c r="Z170" i="1"/>
  <c r="AB170" i="1" s="1"/>
  <c r="Z167" i="1"/>
  <c r="AB167" i="1" s="1"/>
  <c r="Z163" i="1"/>
  <c r="AB163" i="1" s="1"/>
  <c r="Z260" i="1"/>
  <c r="AB260" i="1" s="1"/>
  <c r="Z257" i="1"/>
  <c r="AB257" i="1" s="1"/>
  <c r="Z253" i="1"/>
  <c r="AB253" i="1" s="1"/>
  <c r="Z246" i="1"/>
  <c r="AB246" i="1" s="1"/>
  <c r="Z243" i="1"/>
  <c r="AB243" i="1" s="1"/>
  <c r="Z238" i="1"/>
  <c r="AB238" i="1" s="1"/>
  <c r="Z234" i="1"/>
  <c r="AB234" i="1" s="1"/>
  <c r="Z231" i="1"/>
  <c r="AB231" i="1" s="1"/>
  <c r="Z228" i="1"/>
  <c r="AB228" i="1" s="1"/>
  <c r="Z224" i="1"/>
  <c r="AB224" i="1" s="1"/>
  <c r="Z197" i="1"/>
  <c r="AB197" i="1" s="1"/>
  <c r="Z182" i="1"/>
  <c r="AB182" i="1" s="1"/>
  <c r="Z174" i="1"/>
  <c r="Z168" i="1"/>
  <c r="AB168" i="1" s="1"/>
  <c r="Z166" i="1"/>
  <c r="AB166" i="1" s="1"/>
  <c r="Z162" i="1"/>
  <c r="AB162" i="1" s="1"/>
  <c r="Z256" i="1"/>
  <c r="AB256" i="1" s="1"/>
  <c r="Z252" i="1"/>
  <c r="AB252" i="1" s="1"/>
  <c r="Z250" i="1"/>
  <c r="AB250" i="1" s="1"/>
  <c r="Z247" i="1"/>
  <c r="Z242" i="1"/>
  <c r="AB242" i="1" s="1"/>
  <c r="Z237" i="1"/>
  <c r="AB237" i="1" s="1"/>
  <c r="Z233" i="1"/>
  <c r="AB233" i="1" s="1"/>
  <c r="Z226" i="1"/>
  <c r="Z223" i="1"/>
  <c r="Z194" i="1"/>
  <c r="AB194" i="1" s="1"/>
  <c r="Z192" i="1"/>
  <c r="AB192" i="1" s="1"/>
  <c r="Z185" i="1"/>
  <c r="AB185" i="1" s="1"/>
  <c r="Z176" i="1"/>
  <c r="AB176" i="1" s="1"/>
  <c r="Z173" i="1"/>
  <c r="AB173" i="1" s="1"/>
  <c r="Z169" i="1"/>
  <c r="AB169" i="1" s="1"/>
  <c r="Z164" i="1"/>
  <c r="AB164" i="1" s="1"/>
  <c r="Z261" i="1"/>
  <c r="AB261" i="1" s="1"/>
  <c r="Z259" i="1"/>
  <c r="AB259" i="1" s="1"/>
  <c r="Z255" i="1"/>
  <c r="AB255" i="1" s="1"/>
  <c r="Z248" i="1"/>
  <c r="Z244" i="1"/>
  <c r="AB244" i="1" s="1"/>
  <c r="Z241" i="1"/>
  <c r="AB241" i="1" s="1"/>
  <c r="Z236" i="1"/>
  <c r="AB236" i="1" s="1"/>
  <c r="Z232" i="1"/>
  <c r="Z230" i="1"/>
  <c r="AB230" i="1" s="1"/>
  <c r="Z222" i="1"/>
  <c r="AB222" i="1" s="1"/>
  <c r="Z195" i="1"/>
  <c r="AB195" i="1" s="1"/>
  <c r="Z189" i="1"/>
  <c r="AB189" i="1" s="1"/>
  <c r="Z184" i="1"/>
  <c r="AB184" i="1" s="1"/>
  <c r="Z181" i="1"/>
  <c r="AB181" i="1" s="1"/>
  <c r="Z177" i="1"/>
  <c r="AB177" i="1" s="1"/>
  <c r="Z172" i="1"/>
  <c r="AB172" i="1" s="1"/>
  <c r="Z171" i="1"/>
  <c r="AB171" i="1" s="1"/>
  <c r="Z165" i="1"/>
  <c r="AB165" i="1" s="1"/>
  <c r="AD261" i="1"/>
  <c r="AG261" i="1"/>
  <c r="AF261" i="1"/>
  <c r="AG260" i="1"/>
  <c r="AD260" i="1"/>
  <c r="AF260" i="1"/>
  <c r="AD259" i="1"/>
  <c r="AG259" i="1"/>
  <c r="AF259" i="1"/>
  <c r="AD257" i="1"/>
  <c r="AG257" i="1"/>
  <c r="AF257" i="1"/>
  <c r="AD255" i="1"/>
  <c r="AG255" i="1"/>
  <c r="AF255" i="1"/>
  <c r="AD253" i="1"/>
  <c r="AG253" i="1"/>
  <c r="AF253" i="1"/>
  <c r="AF248" i="1"/>
  <c r="AD248" i="1"/>
  <c r="AG248" i="1"/>
  <c r="AF246" i="1"/>
  <c r="AD246" i="1"/>
  <c r="AG246" i="1"/>
  <c r="AF244" i="1"/>
  <c r="AD244" i="1"/>
  <c r="AG244" i="1"/>
  <c r="AF242" i="1"/>
  <c r="AD242" i="1"/>
  <c r="AG242" i="1"/>
  <c r="AD241" i="1"/>
  <c r="AG241" i="1"/>
  <c r="AF241" i="1"/>
  <c r="AG240" i="1"/>
  <c r="AD240" i="1"/>
  <c r="AF240" i="1"/>
  <c r="AD239" i="1"/>
  <c r="AG239" i="1"/>
  <c r="AF239" i="1"/>
  <c r="AD237" i="1"/>
  <c r="AG237" i="1"/>
  <c r="AF237" i="1"/>
  <c r="AD235" i="1"/>
  <c r="AG235" i="1"/>
  <c r="AF235" i="1"/>
  <c r="AD233" i="1"/>
  <c r="AG233" i="1"/>
  <c r="AF233" i="1"/>
  <c r="AF230" i="1"/>
  <c r="AD230" i="1"/>
  <c r="AG230" i="1"/>
  <c r="AF226" i="1"/>
  <c r="AD226" i="1"/>
  <c r="AG226" i="1"/>
  <c r="AF224" i="1"/>
  <c r="AD224" i="1"/>
  <c r="AG224" i="1"/>
  <c r="AF222" i="1"/>
  <c r="AD222" i="1"/>
  <c r="AG222" i="1"/>
  <c r="AD193" i="1"/>
  <c r="AG193" i="1"/>
  <c r="AF193" i="1"/>
  <c r="AD191" i="1"/>
  <c r="AG191" i="1"/>
  <c r="AF191" i="1"/>
  <c r="AD189" i="1"/>
  <c r="AG189" i="1"/>
  <c r="AF189" i="1"/>
  <c r="AD187" i="1"/>
  <c r="AG187" i="1"/>
  <c r="AF187" i="1"/>
  <c r="AD181" i="1"/>
  <c r="AG181" i="1"/>
  <c r="AF181" i="1"/>
  <c r="AD179" i="1"/>
  <c r="AG179" i="1"/>
  <c r="AF179" i="1"/>
  <c r="AD177" i="1"/>
  <c r="AG177" i="1"/>
  <c r="AF177" i="1"/>
  <c r="AD175" i="1"/>
  <c r="AG175" i="1"/>
  <c r="AF175" i="1"/>
  <c r="AD171" i="1"/>
  <c r="AG171" i="1"/>
  <c r="AF171" i="1"/>
  <c r="AD167" i="1"/>
  <c r="AG167" i="1"/>
  <c r="AF167" i="1"/>
  <c r="AD165" i="1"/>
  <c r="AG165" i="1"/>
  <c r="AF165" i="1"/>
  <c r="AD163" i="1"/>
  <c r="AG163" i="1"/>
  <c r="AF163" i="1"/>
  <c r="AG258" i="1"/>
  <c r="AD258" i="1"/>
  <c r="AF258" i="1"/>
  <c r="AG256" i="1"/>
  <c r="AD256" i="1"/>
  <c r="AF256" i="1"/>
  <c r="AG254" i="1"/>
  <c r="AD254" i="1"/>
  <c r="AF254" i="1"/>
  <c r="AG252" i="1"/>
  <c r="AD252" i="1"/>
  <c r="AF252" i="1"/>
  <c r="AG251" i="1"/>
  <c r="AD251" i="1"/>
  <c r="AF251" i="1"/>
  <c r="AF250" i="1"/>
  <c r="AD250" i="1"/>
  <c r="AG250" i="1"/>
  <c r="AG249" i="1"/>
  <c r="AD249" i="1"/>
  <c r="AF249" i="1"/>
  <c r="AG247" i="1"/>
  <c r="AD247" i="1"/>
  <c r="AF247" i="1"/>
  <c r="AG245" i="1"/>
  <c r="AD245" i="1"/>
  <c r="AF245" i="1"/>
  <c r="AG243" i="1"/>
  <c r="AD243" i="1"/>
  <c r="AF243" i="1"/>
  <c r="AG238" i="1"/>
  <c r="AD238" i="1"/>
  <c r="AF238" i="1"/>
  <c r="AG236" i="1"/>
  <c r="AD236" i="1"/>
  <c r="AF236" i="1"/>
  <c r="AG234" i="1"/>
  <c r="AD234" i="1"/>
  <c r="AF234" i="1"/>
  <c r="AG232" i="1"/>
  <c r="AD232" i="1"/>
  <c r="AF232" i="1"/>
  <c r="AG231" i="1"/>
  <c r="AD231" i="1"/>
  <c r="AF231" i="1"/>
  <c r="AG228" i="1"/>
  <c r="AD228" i="1"/>
  <c r="AF228" i="1"/>
  <c r="AF229" i="1"/>
  <c r="AD229" i="1"/>
  <c r="AG229" i="1"/>
  <c r="AG227" i="1"/>
  <c r="AD227" i="1"/>
  <c r="AF227" i="1"/>
  <c r="AG225" i="1"/>
  <c r="AD225" i="1"/>
  <c r="AF225" i="1"/>
  <c r="AG223" i="1"/>
  <c r="AD223" i="1"/>
  <c r="AF223" i="1"/>
  <c r="AD197" i="1"/>
  <c r="AG197" i="1"/>
  <c r="AF197" i="1"/>
  <c r="AD196" i="1"/>
  <c r="AG196" i="1"/>
  <c r="AF196" i="1"/>
  <c r="AD195" i="1"/>
  <c r="AG195" i="1"/>
  <c r="AF195" i="1"/>
  <c r="AD194" i="1"/>
  <c r="AG194" i="1"/>
  <c r="AF194" i="1"/>
  <c r="AD192" i="1"/>
  <c r="AG192" i="1"/>
  <c r="AF192" i="1"/>
  <c r="AD190" i="1"/>
  <c r="AG190" i="1"/>
  <c r="AF190" i="1"/>
  <c r="AD188" i="1"/>
  <c r="AG188" i="1"/>
  <c r="AF188" i="1"/>
  <c r="AD186" i="1"/>
  <c r="AG186" i="1"/>
  <c r="AF186" i="1"/>
  <c r="AD185" i="1"/>
  <c r="AG185" i="1"/>
  <c r="AF185" i="1"/>
  <c r="AF184" i="1"/>
  <c r="AD184" i="1"/>
  <c r="AG184" i="1"/>
  <c r="AD183" i="1"/>
  <c r="AG183" i="1"/>
  <c r="AF183" i="1"/>
  <c r="AF182" i="1"/>
  <c r="AD182" i="1"/>
  <c r="AG182" i="1"/>
  <c r="AF180" i="1"/>
  <c r="AD180" i="1"/>
  <c r="AG180" i="1"/>
  <c r="AF178" i="1"/>
  <c r="AD178" i="1"/>
  <c r="AG178" i="1"/>
  <c r="AF176" i="1"/>
  <c r="AD176" i="1"/>
  <c r="AG176" i="1"/>
  <c r="AF174" i="1"/>
  <c r="AD174" i="1"/>
  <c r="AG174" i="1"/>
  <c r="AD173" i="1"/>
  <c r="AG173" i="1"/>
  <c r="AF173" i="1"/>
  <c r="AD172" i="1"/>
  <c r="AG172" i="1"/>
  <c r="AF172" i="1"/>
  <c r="AD170" i="1"/>
  <c r="AG170" i="1"/>
  <c r="AF170" i="1"/>
  <c r="AD168" i="1"/>
  <c r="AG168" i="1"/>
  <c r="AF168" i="1"/>
  <c r="AD169" i="1"/>
  <c r="AG169" i="1"/>
  <c r="AF169" i="1"/>
  <c r="AD166" i="1"/>
  <c r="AG166" i="1"/>
  <c r="AF166" i="1"/>
  <c r="AD164" i="1"/>
  <c r="AG164" i="1"/>
  <c r="AF164" i="1"/>
  <c r="AD162" i="1"/>
  <c r="AG162" i="1"/>
  <c r="AF162" i="1"/>
  <c r="AE240" i="1"/>
  <c r="AH240" i="1"/>
  <c r="Y180" i="1"/>
  <c r="CA180" i="1" s="1"/>
  <c r="Y225" i="1"/>
  <c r="CA225" i="1" s="1"/>
  <c r="Y190" i="1"/>
  <c r="CA190" i="1" s="1"/>
  <c r="Y188" i="1"/>
  <c r="CA188" i="1" s="1"/>
  <c r="Y178" i="1"/>
  <c r="CA178" i="1" s="1"/>
  <c r="Y227" i="1"/>
  <c r="CA227" i="1" s="1"/>
  <c r="Y186" i="1"/>
  <c r="CA186" i="1" s="1"/>
  <c r="AB180" i="1"/>
  <c r="AB178" i="1"/>
  <c r="AB188" i="1"/>
  <c r="AB186" i="1"/>
  <c r="CA260" i="1"/>
  <c r="CA258" i="1"/>
  <c r="CA256" i="1"/>
  <c r="CA252" i="1"/>
  <c r="CA255" i="1"/>
  <c r="CA251" i="1"/>
  <c r="CA250" i="1"/>
  <c r="CA249" i="1"/>
  <c r="CA248" i="1"/>
  <c r="CA246" i="1"/>
  <c r="CA244" i="1"/>
  <c r="CA243" i="1"/>
  <c r="CA238" i="1"/>
  <c r="CA234" i="1"/>
  <c r="CA235" i="1"/>
  <c r="CA231" i="1"/>
  <c r="CA230" i="1"/>
  <c r="CA229" i="1"/>
  <c r="CA224" i="1"/>
  <c r="CA192" i="1"/>
  <c r="CA197" i="1"/>
  <c r="CA195" i="1"/>
  <c r="CA193" i="1"/>
  <c r="CA184" i="1"/>
  <c r="CA182" i="1"/>
  <c r="CA177" i="1"/>
  <c r="CA175" i="1"/>
  <c r="CA173" i="1"/>
  <c r="CA170" i="1"/>
  <c r="CA171" i="1"/>
  <c r="CA167" i="1"/>
  <c r="CA165" i="1"/>
  <c r="CA163" i="1"/>
  <c r="CA176" i="1"/>
  <c r="CA174" i="1"/>
  <c r="CA169" i="1"/>
  <c r="CA166" i="1"/>
  <c r="CA164" i="1"/>
  <c r="CA162" i="1"/>
  <c r="CA261" i="1"/>
  <c r="CA259" i="1"/>
  <c r="CA257" i="1"/>
  <c r="CA254" i="1"/>
  <c r="CA247" i="1"/>
  <c r="CA253" i="1"/>
  <c r="CA242" i="1"/>
  <c r="CA245" i="1"/>
  <c r="CA239" i="1"/>
  <c r="CA236" i="1"/>
  <c r="CA232" i="1"/>
  <c r="CA241" i="1"/>
  <c r="CA237" i="1"/>
  <c r="CA233" i="1"/>
  <c r="CA228" i="1"/>
  <c r="CA226" i="1"/>
  <c r="CA222" i="1"/>
  <c r="CA223" i="1"/>
  <c r="CA196" i="1"/>
  <c r="CA194" i="1"/>
  <c r="CA191" i="1"/>
  <c r="CA189" i="1"/>
  <c r="CA187" i="1"/>
  <c r="CA185" i="1"/>
  <c r="CA183" i="1"/>
  <c r="CA181" i="1"/>
  <c r="CA179" i="1"/>
  <c r="CA172" i="1"/>
  <c r="CA168" i="1"/>
  <c r="AJ84" i="1" l="1"/>
  <c r="AI86" i="1"/>
  <c r="AJ92" i="1"/>
  <c r="AJ219" i="1"/>
  <c r="AL84" i="1"/>
  <c r="AK84" i="1"/>
  <c r="AM219" i="1"/>
  <c r="AK219" i="1"/>
  <c r="AJ208" i="1"/>
  <c r="CD208" i="1" s="1"/>
  <c r="AK208" i="1"/>
  <c r="AL208" i="1"/>
  <c r="AK104" i="1"/>
  <c r="AJ104" i="1"/>
  <c r="CD104" i="1" s="1"/>
  <c r="AI99" i="1"/>
  <c r="AK99" i="1" s="1"/>
  <c r="AI96" i="1"/>
  <c r="AL96" i="1" s="1"/>
  <c r="AL104" i="1"/>
  <c r="AK201" i="1"/>
  <c r="AI106" i="1"/>
  <c r="AK106" i="1" s="1"/>
  <c r="AM75" i="1"/>
  <c r="AK88" i="1"/>
  <c r="AJ91" i="1"/>
  <c r="AI107" i="1"/>
  <c r="AK107" i="1" s="1"/>
  <c r="AK91" i="1"/>
  <c r="AI97" i="1"/>
  <c r="AM97" i="1" s="1"/>
  <c r="AM91" i="1"/>
  <c r="AL88" i="1"/>
  <c r="AM88" i="1"/>
  <c r="AN88" i="1" s="1"/>
  <c r="AM92" i="1"/>
  <c r="AL77" i="1"/>
  <c r="AK77" i="1"/>
  <c r="AK92" i="1"/>
  <c r="AM77" i="1"/>
  <c r="CD77" i="1" s="1"/>
  <c r="AL108" i="1"/>
  <c r="AL75" i="1"/>
  <c r="AJ75" i="1"/>
  <c r="AJ205" i="1"/>
  <c r="AM205" i="1"/>
  <c r="AJ201" i="1"/>
  <c r="AN201" i="1" s="1"/>
  <c r="AU201" i="1" s="1"/>
  <c r="AV201" i="1" s="1"/>
  <c r="AK205" i="1"/>
  <c r="CC137" i="1"/>
  <c r="CC216" i="1"/>
  <c r="AL201" i="1"/>
  <c r="AM72" i="1"/>
  <c r="CC88" i="1"/>
  <c r="CC89" i="1"/>
  <c r="CC93" i="1"/>
  <c r="CC104" i="1"/>
  <c r="AL139" i="1"/>
  <c r="CC69" i="1"/>
  <c r="CC99" i="1"/>
  <c r="AK101" i="1"/>
  <c r="AI98" i="1"/>
  <c r="AM98" i="1" s="1"/>
  <c r="AM101" i="1"/>
  <c r="AN101" i="1" s="1"/>
  <c r="AU101" i="1" s="1"/>
  <c r="CC161" i="1"/>
  <c r="CC87" i="1"/>
  <c r="AJ212" i="1"/>
  <c r="CD212" i="1" s="1"/>
  <c r="CC207" i="1"/>
  <c r="CC100" i="1"/>
  <c r="CC208" i="1"/>
  <c r="CC212" i="1"/>
  <c r="AK212" i="1"/>
  <c r="AJ60" i="1"/>
  <c r="AL212" i="1"/>
  <c r="CC101" i="1"/>
  <c r="CC96" i="1"/>
  <c r="CC90" i="1"/>
  <c r="AK20" i="1"/>
  <c r="AL101" i="1"/>
  <c r="AK139" i="1"/>
  <c r="CC105" i="1"/>
  <c r="CC107" i="1"/>
  <c r="CC86" i="1"/>
  <c r="AJ108" i="1"/>
  <c r="AL72" i="1"/>
  <c r="AM139" i="1"/>
  <c r="AN139" i="1" s="1"/>
  <c r="AU139" i="1" s="1"/>
  <c r="AM108" i="1"/>
  <c r="AJ72" i="1"/>
  <c r="CC92" i="1"/>
  <c r="CC76" i="1"/>
  <c r="CC198" i="1"/>
  <c r="CC218" i="1"/>
  <c r="CC221" i="1"/>
  <c r="CC102" i="1"/>
  <c r="CC129" i="1"/>
  <c r="CC214" i="1"/>
  <c r="CC200" i="1"/>
  <c r="CC77" i="1"/>
  <c r="CC91" i="1"/>
  <c r="CC219" i="1"/>
  <c r="CC75" i="1"/>
  <c r="CC220" i="1"/>
  <c r="CC211" i="1"/>
  <c r="CC160" i="1"/>
  <c r="CC215" i="1"/>
  <c r="CC213" i="1"/>
  <c r="CC203" i="1"/>
  <c r="CC206" i="1"/>
  <c r="CC138" i="1"/>
  <c r="CC106" i="1"/>
  <c r="CC127" i="1"/>
  <c r="CC199" i="1"/>
  <c r="CC103" i="1"/>
  <c r="CC126" i="1"/>
  <c r="CC74" i="1"/>
  <c r="CC141" i="1"/>
  <c r="CC205" i="1"/>
  <c r="CC202" i="1"/>
  <c r="AJ126" i="1"/>
  <c r="AL126" i="1"/>
  <c r="AK126" i="1"/>
  <c r="AM126" i="1"/>
  <c r="CC140" i="1"/>
  <c r="CC143" i="1"/>
  <c r="CC139" i="1"/>
  <c r="CC98" i="1"/>
  <c r="CC70" i="1"/>
  <c r="CC217" i="1"/>
  <c r="CC97" i="1"/>
  <c r="CC204" i="1"/>
  <c r="CC142" i="1"/>
  <c r="CC159" i="1"/>
  <c r="CC128" i="1"/>
  <c r="CC72" i="1"/>
  <c r="CC201" i="1"/>
  <c r="CC71" i="1"/>
  <c r="AJ20" i="1"/>
  <c r="AN210" i="1"/>
  <c r="AU210" i="1" s="1"/>
  <c r="AX210" i="1" s="1"/>
  <c r="AM20" i="1"/>
  <c r="AK150" i="1"/>
  <c r="AJ150" i="1"/>
  <c r="AN150" i="1" s="1"/>
  <c r="AU150" i="1" s="1"/>
  <c r="AL150" i="1"/>
  <c r="AN78" i="1"/>
  <c r="AO78" i="1" s="1"/>
  <c r="AS78" i="1" s="1"/>
  <c r="AL36" i="1"/>
  <c r="AM48" i="1"/>
  <c r="CD130" i="1"/>
  <c r="AK60" i="1"/>
  <c r="AM60" i="1"/>
  <c r="AK61" i="1"/>
  <c r="AJ48" i="1"/>
  <c r="AM61" i="1"/>
  <c r="AN32" i="1"/>
  <c r="AU32" i="1" s="1"/>
  <c r="AW32" i="1" s="1"/>
  <c r="AK48" i="1"/>
  <c r="AJ61" i="1"/>
  <c r="AJ109" i="1"/>
  <c r="AL14" i="1"/>
  <c r="AJ14" i="1"/>
  <c r="AL46" i="1"/>
  <c r="AK46" i="1"/>
  <c r="AK87" i="1"/>
  <c r="AJ46" i="1"/>
  <c r="AN46" i="1" s="1"/>
  <c r="AU46" i="1" s="1"/>
  <c r="AL109" i="1"/>
  <c r="AJ15" i="1"/>
  <c r="CD15" i="1" s="1"/>
  <c r="AL21" i="1"/>
  <c r="AM109" i="1"/>
  <c r="AN130" i="1"/>
  <c r="AO130" i="1" s="1"/>
  <c r="AQ130" i="1" s="1"/>
  <c r="AM21" i="1"/>
  <c r="AN21" i="1" s="1"/>
  <c r="AU21" i="1" s="1"/>
  <c r="AJ36" i="1"/>
  <c r="CD36" i="1" s="1"/>
  <c r="AK21" i="1"/>
  <c r="CD78" i="1"/>
  <c r="CD147" i="1"/>
  <c r="AM14" i="1"/>
  <c r="AI11" i="1" s="1"/>
  <c r="AM11" i="1" s="1"/>
  <c r="AK36" i="1"/>
  <c r="AN136" i="1"/>
  <c r="AU136" i="1" s="1"/>
  <c r="AL87" i="1"/>
  <c r="AM87" i="1"/>
  <c r="CD87" i="1" s="1"/>
  <c r="CD80" i="1"/>
  <c r="CD210" i="1"/>
  <c r="AN220" i="1"/>
  <c r="AU220" i="1" s="1"/>
  <c r="AW220" i="1" s="1"/>
  <c r="CD136" i="1"/>
  <c r="AN141" i="1"/>
  <c r="AO141" i="1" s="1"/>
  <c r="AP141" i="1" s="1"/>
  <c r="AM218" i="1"/>
  <c r="AK218" i="1"/>
  <c r="AL218" i="1"/>
  <c r="AJ218" i="1"/>
  <c r="AK140" i="1"/>
  <c r="AM140" i="1"/>
  <c r="AL140" i="1"/>
  <c r="AJ140" i="1"/>
  <c r="BA79" i="1"/>
  <c r="CG79" i="1"/>
  <c r="AJ118" i="1"/>
  <c r="CD118" i="1" s="1"/>
  <c r="AK15" i="1"/>
  <c r="CD220" i="1"/>
  <c r="AM131" i="1"/>
  <c r="AL131" i="1"/>
  <c r="AK131" i="1"/>
  <c r="AJ131" i="1"/>
  <c r="AJ25" i="1"/>
  <c r="AL25" i="1"/>
  <c r="AK25" i="1"/>
  <c r="AM25" i="1"/>
  <c r="AK209" i="1"/>
  <c r="AM209" i="1"/>
  <c r="AL209" i="1"/>
  <c r="AJ209" i="1"/>
  <c r="AM74" i="1"/>
  <c r="AK74" i="1"/>
  <c r="AL74" i="1"/>
  <c r="AJ74" i="1"/>
  <c r="AL135" i="1"/>
  <c r="AM135" i="1"/>
  <c r="AK135" i="1"/>
  <c r="AJ135" i="1"/>
  <c r="AN80" i="1"/>
  <c r="AL127" i="1"/>
  <c r="AJ127" i="1"/>
  <c r="AM127" i="1"/>
  <c r="AK127" i="1"/>
  <c r="AJ70" i="1"/>
  <c r="AM70" i="1"/>
  <c r="AL70" i="1"/>
  <c r="AK70" i="1"/>
  <c r="CD32" i="1"/>
  <c r="BA203" i="1"/>
  <c r="CG203" i="1"/>
  <c r="AK198" i="1"/>
  <c r="AJ198" i="1"/>
  <c r="AM198" i="1"/>
  <c r="AL198" i="1"/>
  <c r="AK30" i="1"/>
  <c r="AM30" i="1"/>
  <c r="AL30" i="1"/>
  <c r="AJ30" i="1"/>
  <c r="AM206" i="1"/>
  <c r="AL206" i="1"/>
  <c r="AK206" i="1"/>
  <c r="AJ206" i="1"/>
  <c r="AK118" i="1"/>
  <c r="AL15" i="1"/>
  <c r="BA131" i="1"/>
  <c r="CG131" i="1"/>
  <c r="AL133" i="1"/>
  <c r="AM133" i="1"/>
  <c r="AK133" i="1"/>
  <c r="AJ133" i="1"/>
  <c r="AK202" i="1"/>
  <c r="AM202" i="1"/>
  <c r="AL202" i="1"/>
  <c r="AJ202" i="1"/>
  <c r="AL148" i="1"/>
  <c r="AK148" i="1"/>
  <c r="AM148" i="1"/>
  <c r="AJ148" i="1"/>
  <c r="AM137" i="1"/>
  <c r="AK137" i="1"/>
  <c r="AL137" i="1"/>
  <c r="AJ137" i="1"/>
  <c r="AL31" i="1"/>
  <c r="AM31" i="1"/>
  <c r="AK31" i="1"/>
  <c r="AJ31" i="1"/>
  <c r="AK27" i="1"/>
  <c r="AM27" i="1"/>
  <c r="AL27" i="1"/>
  <c r="AJ27" i="1"/>
  <c r="AL145" i="1"/>
  <c r="AM145" i="1"/>
  <c r="AK145" i="1"/>
  <c r="AJ145" i="1"/>
  <c r="AL144" i="1"/>
  <c r="AK144" i="1"/>
  <c r="AM144" i="1"/>
  <c r="AJ144" i="1"/>
  <c r="AL118" i="1"/>
  <c r="AM211" i="1"/>
  <c r="AL211" i="1"/>
  <c r="AK211" i="1"/>
  <c r="AJ211" i="1"/>
  <c r="AL73" i="1"/>
  <c r="AM73" i="1"/>
  <c r="AK73" i="1"/>
  <c r="AJ73" i="1"/>
  <c r="AM76" i="1"/>
  <c r="AK76" i="1"/>
  <c r="AJ76" i="1"/>
  <c r="AL76" i="1"/>
  <c r="AM129" i="1"/>
  <c r="AK129" i="1"/>
  <c r="AL129" i="1"/>
  <c r="AJ129" i="1"/>
  <c r="AK29" i="1"/>
  <c r="AL29" i="1"/>
  <c r="AM29" i="1"/>
  <c r="AJ29" i="1"/>
  <c r="AK204" i="1"/>
  <c r="AM204" i="1"/>
  <c r="AL204" i="1"/>
  <c r="AJ204" i="1"/>
  <c r="AM143" i="1"/>
  <c r="AL143" i="1"/>
  <c r="AK143" i="1"/>
  <c r="AJ143" i="1"/>
  <c r="AK81" i="1"/>
  <c r="AM81" i="1"/>
  <c r="AL81" i="1"/>
  <c r="AJ81" i="1"/>
  <c r="AM199" i="1"/>
  <c r="AL199" i="1"/>
  <c r="AK199" i="1"/>
  <c r="AJ199" i="1"/>
  <c r="AL82" i="1"/>
  <c r="AK82" i="1"/>
  <c r="AJ82" i="1"/>
  <c r="AM82" i="1"/>
  <c r="BA145" i="1"/>
  <c r="CG145" i="1"/>
  <c r="AL28" i="1"/>
  <c r="AK28" i="1"/>
  <c r="AM28" i="1"/>
  <c r="AJ28" i="1"/>
  <c r="AN147" i="1"/>
  <c r="AK142" i="1"/>
  <c r="AM142" i="1"/>
  <c r="AL142" i="1"/>
  <c r="AJ142" i="1"/>
  <c r="AL26" i="1"/>
  <c r="AK26" i="1"/>
  <c r="AM26" i="1"/>
  <c r="AI23" i="1" s="1"/>
  <c r="AJ26" i="1"/>
  <c r="BA76" i="1"/>
  <c r="CG76" i="1"/>
  <c r="AL214" i="1"/>
  <c r="AK214" i="1"/>
  <c r="AM214" i="1"/>
  <c r="AJ214" i="1"/>
  <c r="AL138" i="1"/>
  <c r="AK138" i="1"/>
  <c r="AM138" i="1"/>
  <c r="AJ138" i="1"/>
  <c r="BA81" i="1"/>
  <c r="CG81" i="1"/>
  <c r="BA82" i="1"/>
  <c r="CG82" i="1"/>
  <c r="AL146" i="1"/>
  <c r="AK146" i="1"/>
  <c r="AM146" i="1"/>
  <c r="AJ146" i="1"/>
  <c r="AM215" i="1"/>
  <c r="AK215" i="1"/>
  <c r="AL215" i="1"/>
  <c r="AJ215" i="1"/>
  <c r="AK200" i="1"/>
  <c r="AJ200" i="1"/>
  <c r="AM200" i="1"/>
  <c r="AL200" i="1"/>
  <c r="AJ22" i="1"/>
  <c r="AM22" i="1"/>
  <c r="AK22" i="1"/>
  <c r="AL22" i="1"/>
  <c r="AL24" i="1"/>
  <c r="AJ24" i="1"/>
  <c r="AK24" i="1"/>
  <c r="AM24" i="1"/>
  <c r="AL216" i="1"/>
  <c r="AM216" i="1"/>
  <c r="AK216" i="1"/>
  <c r="AJ216" i="1"/>
  <c r="AL207" i="1"/>
  <c r="AM207" i="1"/>
  <c r="AK207" i="1"/>
  <c r="AJ207" i="1"/>
  <c r="AM33" i="1"/>
  <c r="AL33" i="1"/>
  <c r="AK33" i="1"/>
  <c r="AJ33" i="1"/>
  <c r="AJ128" i="1"/>
  <c r="AL128" i="1"/>
  <c r="AM128" i="1"/>
  <c r="AK128" i="1"/>
  <c r="CD141" i="1"/>
  <c r="AM221" i="1"/>
  <c r="AL221" i="1"/>
  <c r="AK221" i="1"/>
  <c r="AJ221" i="1"/>
  <c r="AK217" i="1"/>
  <c r="AM217" i="1"/>
  <c r="AL217" i="1"/>
  <c r="AJ217" i="1"/>
  <c r="AM203" i="1"/>
  <c r="AL203" i="1"/>
  <c r="AK203" i="1"/>
  <c r="AJ203" i="1"/>
  <c r="AK134" i="1"/>
  <c r="AM134" i="1"/>
  <c r="AL134" i="1"/>
  <c r="AJ134" i="1"/>
  <c r="AL213" i="1"/>
  <c r="AK213" i="1"/>
  <c r="AM213" i="1"/>
  <c r="AJ213" i="1"/>
  <c r="AK132" i="1"/>
  <c r="AM132" i="1"/>
  <c r="AL132" i="1"/>
  <c r="AJ132" i="1"/>
  <c r="AM149" i="1"/>
  <c r="AK149" i="1"/>
  <c r="AL149" i="1"/>
  <c r="AJ149" i="1"/>
  <c r="AK79" i="1"/>
  <c r="AM79" i="1"/>
  <c r="AL79" i="1"/>
  <c r="AJ79" i="1"/>
  <c r="AJ71" i="1"/>
  <c r="AL71" i="1"/>
  <c r="AK71" i="1"/>
  <c r="AM71" i="1"/>
  <c r="AK116" i="1"/>
  <c r="AJ116" i="1"/>
  <c r="CD116" i="1" s="1"/>
  <c r="AL116" i="1"/>
  <c r="AN159" i="1"/>
  <c r="AO159" i="1" s="1"/>
  <c r="AQ159" i="1" s="1"/>
  <c r="CD121" i="1"/>
  <c r="CD95" i="1"/>
  <c r="CD123" i="1"/>
  <c r="CD52" i="1"/>
  <c r="CD114" i="1"/>
  <c r="CD111" i="1"/>
  <c r="CD38" i="1"/>
  <c r="CD44" i="1"/>
  <c r="CD65" i="1"/>
  <c r="CD55" i="1"/>
  <c r="CD156" i="1"/>
  <c r="CD66" i="1"/>
  <c r="CC180" i="1"/>
  <c r="CC186" i="1"/>
  <c r="CC190" i="1"/>
  <c r="CC225" i="1"/>
  <c r="CD155" i="1"/>
  <c r="CD41" i="1"/>
  <c r="CC178" i="1"/>
  <c r="CC188" i="1"/>
  <c r="CC227" i="1"/>
  <c r="CC240" i="1"/>
  <c r="CD84" i="1"/>
  <c r="CD56" i="1"/>
  <c r="CD45" i="1"/>
  <c r="CD39" i="1"/>
  <c r="CD159" i="1"/>
  <c r="CD53" i="1"/>
  <c r="CC172" i="1"/>
  <c r="CC189" i="1"/>
  <c r="CC232" i="1"/>
  <c r="CC248" i="1"/>
  <c r="CC164" i="1"/>
  <c r="CC185" i="1"/>
  <c r="CC226" i="1"/>
  <c r="CC247" i="1"/>
  <c r="CC162" i="1"/>
  <c r="CC168" i="1"/>
  <c r="CC224" i="1"/>
  <c r="CC246" i="1"/>
  <c r="CC163" i="1"/>
  <c r="CC179" i="1"/>
  <c r="CC187" i="1"/>
  <c r="CC239" i="1"/>
  <c r="CC254" i="1"/>
  <c r="AB226" i="1"/>
  <c r="AB232" i="1"/>
  <c r="AB239" i="1"/>
  <c r="AB247" i="1"/>
  <c r="AB254" i="1"/>
  <c r="AB248" i="1"/>
  <c r="CC171" i="1"/>
  <c r="CC177" i="1"/>
  <c r="CC184" i="1"/>
  <c r="CC195" i="1"/>
  <c r="CC230" i="1"/>
  <c r="CC236" i="1"/>
  <c r="CC244" i="1"/>
  <c r="CC255" i="1"/>
  <c r="CC261" i="1"/>
  <c r="CC169" i="1"/>
  <c r="CC176" i="1"/>
  <c r="CC192" i="1"/>
  <c r="AB223" i="1"/>
  <c r="CC223" i="1"/>
  <c r="CC233" i="1"/>
  <c r="CC242" i="1"/>
  <c r="CC250" i="1"/>
  <c r="CC256" i="1"/>
  <c r="CC166" i="1"/>
  <c r="AB174" i="1"/>
  <c r="CC174" i="1"/>
  <c r="CC197" i="1"/>
  <c r="CC228" i="1"/>
  <c r="CC234" i="1"/>
  <c r="CC243" i="1"/>
  <c r="CC253" i="1"/>
  <c r="CC260" i="1"/>
  <c r="CC167" i="1"/>
  <c r="CC175" i="1"/>
  <c r="CC183" i="1"/>
  <c r="CC191" i="1"/>
  <c r="CC196" i="1"/>
  <c r="CC235" i="1"/>
  <c r="CC245" i="1"/>
  <c r="CC251" i="1"/>
  <c r="CC258" i="1"/>
  <c r="CC165" i="1"/>
  <c r="CC181" i="1"/>
  <c r="CC222" i="1"/>
  <c r="CC241" i="1"/>
  <c r="CC259" i="1"/>
  <c r="CC173" i="1"/>
  <c r="CC194" i="1"/>
  <c r="CC237" i="1"/>
  <c r="CC252" i="1"/>
  <c r="CC182" i="1"/>
  <c r="CC231" i="1"/>
  <c r="CC238" i="1"/>
  <c r="CC257" i="1"/>
  <c r="CC170" i="1"/>
  <c r="CC193" i="1"/>
  <c r="CC229" i="1"/>
  <c r="CC249" i="1"/>
  <c r="AN44" i="1"/>
  <c r="AN39" i="1"/>
  <c r="AU39" i="1" s="1"/>
  <c r="AN84" i="1"/>
  <c r="AN55" i="1"/>
  <c r="AU55" i="1" s="1"/>
  <c r="AN156" i="1"/>
  <c r="AN52" i="1"/>
  <c r="AN45" i="1"/>
  <c r="AN53" i="1"/>
  <c r="AU53" i="1" s="1"/>
  <c r="AN121" i="1"/>
  <c r="AU121" i="1" s="1"/>
  <c r="AN56" i="1"/>
  <c r="AN38" i="1"/>
  <c r="AU38" i="1" s="1"/>
  <c r="AN65" i="1"/>
  <c r="AU65" i="1" s="1"/>
  <c r="AN155" i="1"/>
  <c r="AU155" i="1" s="1"/>
  <c r="AL110" i="1"/>
  <c r="AM110" i="1"/>
  <c r="AK110" i="1"/>
  <c r="AJ110" i="1"/>
  <c r="AN114" i="1"/>
  <c r="AU114" i="1" s="1"/>
  <c r="AJ161" i="1"/>
  <c r="AM161" i="1"/>
  <c r="AK161" i="1"/>
  <c r="AL161" i="1"/>
  <c r="AK47" i="1"/>
  <c r="AM47" i="1"/>
  <c r="AL47" i="1"/>
  <c r="AJ47" i="1"/>
  <c r="AL151" i="1"/>
  <c r="AJ151" i="1"/>
  <c r="AK151" i="1"/>
  <c r="AM151" i="1"/>
  <c r="AM83" i="1"/>
  <c r="AJ83" i="1"/>
  <c r="AK83" i="1"/>
  <c r="AL83" i="1"/>
  <c r="AK115" i="1"/>
  <c r="AL115" i="1"/>
  <c r="AM115" i="1"/>
  <c r="AJ115" i="1"/>
  <c r="AK154" i="1"/>
  <c r="AL154" i="1"/>
  <c r="AJ154" i="1"/>
  <c r="AM154" i="1"/>
  <c r="AK152" i="1"/>
  <c r="AJ152" i="1"/>
  <c r="AL152" i="1"/>
  <c r="AM152" i="1"/>
  <c r="AK119" i="1"/>
  <c r="AL119" i="1"/>
  <c r="AJ119" i="1"/>
  <c r="AM119" i="1"/>
  <c r="AK90" i="1"/>
  <c r="AL90" i="1"/>
  <c r="AJ90" i="1"/>
  <c r="AM90" i="1"/>
  <c r="AM124" i="1"/>
  <c r="AL124" i="1"/>
  <c r="AJ124" i="1"/>
  <c r="AK124" i="1"/>
  <c r="AM42" i="1"/>
  <c r="AK42" i="1"/>
  <c r="AL42" i="1"/>
  <c r="AJ42" i="1"/>
  <c r="AK85" i="1"/>
  <c r="AL85" i="1"/>
  <c r="AJ85" i="1"/>
  <c r="AM85" i="1"/>
  <c r="AL19" i="1"/>
  <c r="AJ19" i="1"/>
  <c r="AK19" i="1"/>
  <c r="AM19" i="1"/>
  <c r="AK17" i="1"/>
  <c r="AL17" i="1"/>
  <c r="AM17" i="1"/>
  <c r="AJ17" i="1"/>
  <c r="AM160" i="1"/>
  <c r="AK160" i="1"/>
  <c r="AL160" i="1"/>
  <c r="AJ160" i="1"/>
  <c r="AJ37" i="1"/>
  <c r="AK37" i="1"/>
  <c r="AL37" i="1"/>
  <c r="AM37" i="1"/>
  <c r="AM18" i="1"/>
  <c r="AK18" i="1"/>
  <c r="AJ18" i="1"/>
  <c r="AL18" i="1"/>
  <c r="AJ10" i="1"/>
  <c r="AL10" i="1"/>
  <c r="AK10" i="1"/>
  <c r="AM10" i="1"/>
  <c r="AM62" i="1"/>
  <c r="AK62" i="1"/>
  <c r="AL62" i="1"/>
  <c r="AJ62" i="1"/>
  <c r="AK68" i="1"/>
  <c r="AL68" i="1"/>
  <c r="AM68" i="1"/>
  <c r="AJ68" i="1"/>
  <c r="AL34" i="1"/>
  <c r="AJ34" i="1"/>
  <c r="AK34" i="1"/>
  <c r="AM34" i="1"/>
  <c r="AJ157" i="1"/>
  <c r="AK157" i="1"/>
  <c r="AL157" i="1"/>
  <c r="AM157" i="1"/>
  <c r="AJ59" i="1"/>
  <c r="AM59" i="1"/>
  <c r="AK59" i="1"/>
  <c r="AL59" i="1"/>
  <c r="AJ35" i="1"/>
  <c r="AM35" i="1"/>
  <c r="AL35" i="1"/>
  <c r="AK35" i="1"/>
  <c r="AL117" i="1"/>
  <c r="AK117" i="1"/>
  <c r="AM117" i="1"/>
  <c r="AJ117" i="1"/>
  <c r="AJ50" i="1"/>
  <c r="AL50" i="1"/>
  <c r="AK50" i="1"/>
  <c r="AM50" i="1"/>
  <c r="AL64" i="1"/>
  <c r="AK64" i="1"/>
  <c r="AM64" i="1"/>
  <c r="AJ64" i="1"/>
  <c r="AJ63" i="1"/>
  <c r="AL63" i="1"/>
  <c r="AK63" i="1"/>
  <c r="AM63" i="1"/>
  <c r="AL89" i="1"/>
  <c r="AM89" i="1"/>
  <c r="AK89" i="1"/>
  <c r="AJ89" i="1"/>
  <c r="AL102" i="1"/>
  <c r="AM102" i="1"/>
  <c r="AK102" i="1"/>
  <c r="AJ102" i="1"/>
  <c r="AJ51" i="1"/>
  <c r="AM51" i="1"/>
  <c r="AK51" i="1"/>
  <c r="AL51" i="1"/>
  <c r="AM153" i="1"/>
  <c r="AL153" i="1"/>
  <c r="AJ153" i="1"/>
  <c r="AK153" i="1"/>
  <c r="AM13" i="1"/>
  <c r="AJ13" i="1"/>
  <c r="AK13" i="1"/>
  <c r="AL13" i="1"/>
  <c r="AL125" i="1"/>
  <c r="AK125" i="1"/>
  <c r="AM125" i="1"/>
  <c r="AJ125" i="1"/>
  <c r="AM40" i="1"/>
  <c r="AK40" i="1"/>
  <c r="AL40" i="1"/>
  <c r="AJ40" i="1"/>
  <c r="AJ12" i="1"/>
  <c r="AL12" i="1"/>
  <c r="AK12" i="1"/>
  <c r="AM12" i="1"/>
  <c r="AN66" i="1"/>
  <c r="AU66" i="1" s="1"/>
  <c r="AM16" i="1"/>
  <c r="AJ16" i="1"/>
  <c r="AK16" i="1"/>
  <c r="AL16" i="1"/>
  <c r="AM69" i="1"/>
  <c r="AK69" i="1"/>
  <c r="AL69" i="1"/>
  <c r="AJ69" i="1"/>
  <c r="AL54" i="1"/>
  <c r="AK54" i="1"/>
  <c r="AM54" i="1"/>
  <c r="AJ54" i="1"/>
  <c r="AL105" i="1"/>
  <c r="AM105" i="1"/>
  <c r="AK105" i="1"/>
  <c r="AJ105" i="1"/>
  <c r="AN41" i="1"/>
  <c r="AU41" i="1" s="1"/>
  <c r="AM43" i="1"/>
  <c r="AJ43" i="1"/>
  <c r="AL43" i="1"/>
  <c r="AK43" i="1"/>
  <c r="AI240" i="1"/>
  <c r="AJ57" i="1"/>
  <c r="AM57" i="1"/>
  <c r="AK57" i="1"/>
  <c r="AL57" i="1"/>
  <c r="AN95" i="1"/>
  <c r="AU95" i="1" s="1"/>
  <c r="AL122" i="1"/>
  <c r="AM122" i="1"/>
  <c r="AK122" i="1"/>
  <c r="AJ122" i="1"/>
  <c r="AJ49" i="1"/>
  <c r="AM49" i="1"/>
  <c r="AK49" i="1"/>
  <c r="AL49" i="1"/>
  <c r="AM58" i="1"/>
  <c r="AK58" i="1"/>
  <c r="AL58" i="1"/>
  <c r="AJ58" i="1"/>
  <c r="AL93" i="1"/>
  <c r="AK93" i="1"/>
  <c r="AJ93" i="1"/>
  <c r="AM93" i="1"/>
  <c r="AM113" i="1"/>
  <c r="AL113" i="1"/>
  <c r="AK113" i="1"/>
  <c r="AJ113" i="1"/>
  <c r="AN111" i="1"/>
  <c r="AU111" i="1" s="1"/>
  <c r="AM120" i="1"/>
  <c r="AL120" i="1"/>
  <c r="AJ120" i="1"/>
  <c r="AK120" i="1"/>
  <c r="AM100" i="1"/>
  <c r="AL100" i="1"/>
  <c r="AJ100" i="1"/>
  <c r="AK100" i="1"/>
  <c r="AL86" i="1"/>
  <c r="AM86" i="1"/>
  <c r="AJ86" i="1"/>
  <c r="AK86" i="1"/>
  <c r="AM112" i="1"/>
  <c r="AL112" i="1"/>
  <c r="AJ112" i="1"/>
  <c r="AK112" i="1"/>
  <c r="AL158" i="1"/>
  <c r="AM158" i="1"/>
  <c r="AK158" i="1"/>
  <c r="AJ158" i="1"/>
  <c r="AK67" i="1"/>
  <c r="AL67" i="1"/>
  <c r="AM67" i="1"/>
  <c r="AJ67" i="1"/>
  <c r="AN123" i="1"/>
  <c r="AU123" i="1" s="1"/>
  <c r="AK103" i="1"/>
  <c r="AL103" i="1"/>
  <c r="AM103" i="1"/>
  <c r="AJ103" i="1"/>
  <c r="AL94" i="1"/>
  <c r="AM94" i="1"/>
  <c r="AJ94" i="1"/>
  <c r="AK94" i="1"/>
  <c r="AB227" i="1"/>
  <c r="AB190" i="1"/>
  <c r="AB225" i="1"/>
  <c r="AE194" i="1"/>
  <c r="AH194" i="1"/>
  <c r="AE223" i="1"/>
  <c r="AH223" i="1"/>
  <c r="BB223" i="1" s="1"/>
  <c r="BA223" i="1" s="1"/>
  <c r="AE237" i="1"/>
  <c r="AH237" i="1"/>
  <c r="AE245" i="1"/>
  <c r="AH245" i="1"/>
  <c r="BB245" i="1" s="1"/>
  <c r="BA245" i="1" s="1"/>
  <c r="AE162" i="1"/>
  <c r="AH162" i="1"/>
  <c r="BB162" i="1" s="1"/>
  <c r="BA162" i="1" s="1"/>
  <c r="AE166" i="1"/>
  <c r="AH166" i="1"/>
  <c r="BB166" i="1" s="1"/>
  <c r="BA166" i="1" s="1"/>
  <c r="AE174" i="1"/>
  <c r="AH174" i="1"/>
  <c r="BB174" i="1" s="1"/>
  <c r="BA174" i="1" s="1"/>
  <c r="AE165" i="1"/>
  <c r="AH165" i="1"/>
  <c r="BB165" i="1" s="1"/>
  <c r="BA165" i="1" s="1"/>
  <c r="AE171" i="1"/>
  <c r="AH171" i="1"/>
  <c r="AE173" i="1"/>
  <c r="AH173" i="1"/>
  <c r="AE177" i="1"/>
  <c r="AH177" i="1"/>
  <c r="BB177" i="1" s="1"/>
  <c r="BA177" i="1" s="1"/>
  <c r="AE184" i="1"/>
  <c r="AH184" i="1"/>
  <c r="AE224" i="1"/>
  <c r="AH224" i="1"/>
  <c r="BB224" i="1" s="1"/>
  <c r="BA224" i="1" s="1"/>
  <c r="AE234" i="1"/>
  <c r="AH234" i="1"/>
  <c r="BB234" i="1" s="1"/>
  <c r="BA234" i="1" s="1"/>
  <c r="AE238" i="1"/>
  <c r="AH238" i="1"/>
  <c r="AE244" i="1"/>
  <c r="AH244" i="1"/>
  <c r="BB244" i="1" s="1"/>
  <c r="BA244" i="1" s="1"/>
  <c r="AE256" i="1"/>
  <c r="AH256" i="1"/>
  <c r="AE260" i="1"/>
  <c r="AH260" i="1"/>
  <c r="AE188" i="1"/>
  <c r="AH188" i="1"/>
  <c r="BB188" i="1" s="1"/>
  <c r="BA188" i="1" s="1"/>
  <c r="AE168" i="1"/>
  <c r="AH168" i="1"/>
  <c r="AE172" i="1"/>
  <c r="AH172" i="1"/>
  <c r="AE179" i="1"/>
  <c r="AH179" i="1"/>
  <c r="AE181" i="1"/>
  <c r="AH181" i="1"/>
  <c r="AE183" i="1"/>
  <c r="AH183" i="1"/>
  <c r="AE185" i="1"/>
  <c r="AH185" i="1"/>
  <c r="AE187" i="1"/>
  <c r="AH187" i="1"/>
  <c r="BB187" i="1" s="1"/>
  <c r="BA187" i="1" s="1"/>
  <c r="AE189" i="1"/>
  <c r="AH189" i="1"/>
  <c r="BB189" i="1" s="1"/>
  <c r="BA189" i="1" s="1"/>
  <c r="AE191" i="1"/>
  <c r="AH191" i="1"/>
  <c r="AE222" i="1"/>
  <c r="AH222" i="1"/>
  <c r="BB222" i="1" s="1"/>
  <c r="BA222" i="1" s="1"/>
  <c r="AE226" i="1"/>
  <c r="AH226" i="1"/>
  <c r="AE228" i="1"/>
  <c r="AH228" i="1"/>
  <c r="AE232" i="1"/>
  <c r="AH232" i="1"/>
  <c r="BB232" i="1" s="1"/>
  <c r="BA232" i="1" s="1"/>
  <c r="AE236" i="1"/>
  <c r="AH236" i="1"/>
  <c r="AE239" i="1"/>
  <c r="AH239" i="1"/>
  <c r="AE242" i="1"/>
  <c r="AH242" i="1"/>
  <c r="BB242" i="1" s="1"/>
  <c r="BA242" i="1" s="1"/>
  <c r="AE247" i="1"/>
  <c r="AH247" i="1"/>
  <c r="AE254" i="1"/>
  <c r="AH254" i="1"/>
  <c r="BB254" i="1" s="1"/>
  <c r="BA254" i="1" s="1"/>
  <c r="AE257" i="1"/>
  <c r="AH257" i="1"/>
  <c r="AE259" i="1"/>
  <c r="AH259" i="1"/>
  <c r="AE261" i="1"/>
  <c r="AH261" i="1"/>
  <c r="AE193" i="1"/>
  <c r="AH193" i="1"/>
  <c r="AE195" i="1"/>
  <c r="AH195" i="1"/>
  <c r="AE197" i="1"/>
  <c r="AH197" i="1"/>
  <c r="AE230" i="1"/>
  <c r="AH230" i="1"/>
  <c r="AE231" i="1"/>
  <c r="AH231" i="1"/>
  <c r="AE235" i="1"/>
  <c r="AH235" i="1"/>
  <c r="BB235" i="1" s="1"/>
  <c r="BA235" i="1" s="1"/>
  <c r="AE243" i="1"/>
  <c r="AH243" i="1"/>
  <c r="BB243" i="1" s="1"/>
  <c r="BA243" i="1" s="1"/>
  <c r="AE248" i="1"/>
  <c r="AH248" i="1"/>
  <c r="AE249" i="1"/>
  <c r="AH249" i="1"/>
  <c r="AE250" i="1"/>
  <c r="AH250" i="1"/>
  <c r="AE251" i="1"/>
  <c r="AH251" i="1"/>
  <c r="AE255" i="1"/>
  <c r="AH255" i="1"/>
  <c r="BB255" i="1" s="1"/>
  <c r="BA255" i="1" s="1"/>
  <c r="AE186" i="1"/>
  <c r="AH186" i="1"/>
  <c r="BB186" i="1" s="1"/>
  <c r="BA186" i="1" s="1"/>
  <c r="AE178" i="1"/>
  <c r="AH178" i="1"/>
  <c r="BB178" i="1" s="1"/>
  <c r="BA178" i="1" s="1"/>
  <c r="AE180" i="1"/>
  <c r="AH180" i="1"/>
  <c r="AE227" i="1"/>
  <c r="AH227" i="1"/>
  <c r="AE190" i="1"/>
  <c r="AH190" i="1"/>
  <c r="BB190" i="1" s="1"/>
  <c r="BA190" i="1" s="1"/>
  <c r="AE225" i="1"/>
  <c r="AH225" i="1"/>
  <c r="BB225" i="1" s="1"/>
  <c r="BA225" i="1" s="1"/>
  <c r="AE196" i="1"/>
  <c r="AH196" i="1"/>
  <c r="AE233" i="1"/>
  <c r="AH233" i="1"/>
  <c r="BB233" i="1" s="1"/>
  <c r="BA233" i="1" s="1"/>
  <c r="AE241" i="1"/>
  <c r="AH241" i="1"/>
  <c r="AE253" i="1"/>
  <c r="AH253" i="1"/>
  <c r="BB253" i="1" s="1"/>
  <c r="BA253" i="1" s="1"/>
  <c r="AE164" i="1"/>
  <c r="AH164" i="1"/>
  <c r="BB164" i="1" s="1"/>
  <c r="BA164" i="1" s="1"/>
  <c r="AE169" i="1"/>
  <c r="AH169" i="1"/>
  <c r="AE176" i="1"/>
  <c r="AH176" i="1"/>
  <c r="BB176" i="1" s="1"/>
  <c r="BA176" i="1" s="1"/>
  <c r="AE163" i="1"/>
  <c r="AH163" i="1"/>
  <c r="BB163" i="1" s="1"/>
  <c r="BA163" i="1" s="1"/>
  <c r="AE167" i="1"/>
  <c r="AH167" i="1"/>
  <c r="AE170" i="1"/>
  <c r="AH170" i="1"/>
  <c r="AE175" i="1"/>
  <c r="AH175" i="1"/>
  <c r="BB175" i="1" s="1"/>
  <c r="BA175" i="1" s="1"/>
  <c r="AE182" i="1"/>
  <c r="AH182" i="1"/>
  <c r="AE192" i="1"/>
  <c r="AH192" i="1"/>
  <c r="AE229" i="1"/>
  <c r="AH229" i="1"/>
  <c r="AE246" i="1"/>
  <c r="AH246" i="1"/>
  <c r="AE252" i="1"/>
  <c r="AH252" i="1"/>
  <c r="BB252" i="1" s="1"/>
  <c r="BA252" i="1" s="1"/>
  <c r="AE258" i="1"/>
  <c r="AH258" i="1"/>
  <c r="AN92" i="1" l="1"/>
  <c r="AU92" i="1" s="1"/>
  <c r="AN219" i="1"/>
  <c r="AO219" i="1" s="1"/>
  <c r="AM96" i="1"/>
  <c r="AN208" i="1"/>
  <c r="AO208" i="1" s="1"/>
  <c r="AR208" i="1" s="1"/>
  <c r="AN75" i="1"/>
  <c r="AU75" i="1" s="1"/>
  <c r="AW75" i="1" s="1"/>
  <c r="CD219" i="1"/>
  <c r="CD101" i="1"/>
  <c r="AN104" i="1"/>
  <c r="AU104" i="1" s="1"/>
  <c r="AK96" i="1"/>
  <c r="AJ96" i="1"/>
  <c r="AL99" i="1"/>
  <c r="AJ99" i="1"/>
  <c r="AM99" i="1"/>
  <c r="AM107" i="1"/>
  <c r="AL107" i="1"/>
  <c r="CD201" i="1"/>
  <c r="AM106" i="1"/>
  <c r="AL106" i="1"/>
  <c r="AJ106" i="1"/>
  <c r="AJ107" i="1"/>
  <c r="AJ97" i="1"/>
  <c r="CD97" i="1" s="1"/>
  <c r="AL97" i="1"/>
  <c r="AN205" i="1"/>
  <c r="AU205" i="1" s="1"/>
  <c r="AX205" i="1" s="1"/>
  <c r="AN91" i="1"/>
  <c r="AO91" i="1" s="1"/>
  <c r="AR91" i="1" s="1"/>
  <c r="AK97" i="1"/>
  <c r="AN77" i="1"/>
  <c r="AU77" i="1" s="1"/>
  <c r="AV77" i="1" s="1"/>
  <c r="CD91" i="1"/>
  <c r="CD88" i="1"/>
  <c r="CD92" i="1"/>
  <c r="CD205" i="1"/>
  <c r="CD75" i="1"/>
  <c r="AN72" i="1"/>
  <c r="AU72" i="1" s="1"/>
  <c r="CD72" i="1"/>
  <c r="AN108" i="1"/>
  <c r="AU108" i="1" s="1"/>
  <c r="CD139" i="1"/>
  <c r="AK98" i="1"/>
  <c r="AL98" i="1"/>
  <c r="AN212" i="1"/>
  <c r="AU212" i="1" s="1"/>
  <c r="AW212" i="1" s="1"/>
  <c r="AJ98" i="1"/>
  <c r="CD98" i="1" s="1"/>
  <c r="AN60" i="1"/>
  <c r="AU60" i="1" s="1"/>
  <c r="AY60" i="1" s="1"/>
  <c r="CD108" i="1"/>
  <c r="AN126" i="1"/>
  <c r="CD126" i="1"/>
  <c r="CD20" i="1"/>
  <c r="AO210" i="1"/>
  <c r="AS210" i="1" s="1"/>
  <c r="AN20" i="1"/>
  <c r="AO20" i="1" s="1"/>
  <c r="AR20" i="1" s="1"/>
  <c r="CD150" i="1"/>
  <c r="AP78" i="1"/>
  <c r="CE78" i="1" s="1"/>
  <c r="AU78" i="1"/>
  <c r="AW78" i="1" s="1"/>
  <c r="AQ78" i="1"/>
  <c r="AR78" i="1"/>
  <c r="CD60" i="1"/>
  <c r="AW201" i="1"/>
  <c r="CD206" i="1"/>
  <c r="AX201" i="1"/>
  <c r="AO201" i="1"/>
  <c r="AQ201" i="1" s="1"/>
  <c r="CD21" i="1"/>
  <c r="AU141" i="1"/>
  <c r="AW141" i="1" s="1"/>
  <c r="AR130" i="1"/>
  <c r="AU130" i="1"/>
  <c r="AW130" i="1" s="1"/>
  <c r="AY201" i="1"/>
  <c r="AO32" i="1"/>
  <c r="AQ32" i="1" s="1"/>
  <c r="CD48" i="1"/>
  <c r="AN15" i="1"/>
  <c r="AU15" i="1" s="1"/>
  <c r="CD109" i="1"/>
  <c r="AR141" i="1"/>
  <c r="AP130" i="1"/>
  <c r="AN74" i="1"/>
  <c r="AO74" i="1" s="1"/>
  <c r="AS74" i="1" s="1"/>
  <c r="AS130" i="1"/>
  <c r="AN144" i="1"/>
  <c r="AO144" i="1" s="1"/>
  <c r="AP144" i="1" s="1"/>
  <c r="CD211" i="1"/>
  <c r="AN48" i="1"/>
  <c r="AO48" i="1" s="1"/>
  <c r="AP48" i="1" s="1"/>
  <c r="AN109" i="1"/>
  <c r="AU109" i="1" s="1"/>
  <c r="CD25" i="1"/>
  <c r="CD198" i="1"/>
  <c r="AN36" i="1"/>
  <c r="AO36" i="1" s="1"/>
  <c r="AR36" i="1" s="1"/>
  <c r="CD61" i="1"/>
  <c r="CD46" i="1"/>
  <c r="AO136" i="1"/>
  <c r="AR136" i="1" s="1"/>
  <c r="AN61" i="1"/>
  <c r="AO61" i="1" s="1"/>
  <c r="AR61" i="1" s="1"/>
  <c r="AL11" i="1"/>
  <c r="AX32" i="1"/>
  <c r="AN81" i="1"/>
  <c r="AO81" i="1" s="1"/>
  <c r="CD204" i="1"/>
  <c r="AN148" i="1"/>
  <c r="AU148" i="1" s="1"/>
  <c r="AX148" i="1" s="1"/>
  <c r="AO139" i="1"/>
  <c r="AR139" i="1" s="1"/>
  <c r="AN131" i="1"/>
  <c r="AU131" i="1" s="1"/>
  <c r="AW131" i="1" s="1"/>
  <c r="AN28" i="1"/>
  <c r="AO28" i="1" s="1"/>
  <c r="AP28" i="1" s="1"/>
  <c r="CD137" i="1"/>
  <c r="AN215" i="1"/>
  <c r="AO215" i="1" s="1"/>
  <c r="AP215" i="1" s="1"/>
  <c r="AN206" i="1"/>
  <c r="AO206" i="1" s="1"/>
  <c r="AS206" i="1" s="1"/>
  <c r="AK11" i="1"/>
  <c r="AN87" i="1"/>
  <c r="AU87" i="1" s="1"/>
  <c r="AJ11" i="1"/>
  <c r="CD11" i="1" s="1"/>
  <c r="AN14" i="1"/>
  <c r="AO14" i="1" s="1"/>
  <c r="AQ14" i="1" s="1"/>
  <c r="CD217" i="1"/>
  <c r="CD14" i="1"/>
  <c r="AN134" i="1"/>
  <c r="AU134" i="1" s="1"/>
  <c r="AW134" i="1" s="1"/>
  <c r="AN202" i="1"/>
  <c r="AO202" i="1" s="1"/>
  <c r="AP202" i="1" s="1"/>
  <c r="CD30" i="1"/>
  <c r="AX136" i="1"/>
  <c r="AW136" i="1"/>
  <c r="AN221" i="1"/>
  <c r="AU221" i="1" s="1"/>
  <c r="AW221" i="1" s="1"/>
  <c r="AN70" i="1"/>
  <c r="AO70" i="1" s="1"/>
  <c r="AN135" i="1"/>
  <c r="AO135" i="1" s="1"/>
  <c r="AN118" i="1"/>
  <c r="AU118" i="1" s="1"/>
  <c r="AN127" i="1"/>
  <c r="AU127" i="1" s="1"/>
  <c r="AX127" i="1" s="1"/>
  <c r="CD218" i="1"/>
  <c r="CD22" i="1"/>
  <c r="CD133" i="1"/>
  <c r="AS141" i="1"/>
  <c r="CE141" i="1" s="1"/>
  <c r="CD33" i="1"/>
  <c r="AN200" i="1"/>
  <c r="AN146" i="1"/>
  <c r="AO146" i="1" s="1"/>
  <c r="AP146" i="1" s="1"/>
  <c r="CD81" i="1"/>
  <c r="CD129" i="1"/>
  <c r="AN73" i="1"/>
  <c r="AU73" i="1" s="1"/>
  <c r="AX73" i="1" s="1"/>
  <c r="AN31" i="1"/>
  <c r="AO31" i="1" s="1"/>
  <c r="AP31" i="1" s="1"/>
  <c r="CD74" i="1"/>
  <c r="AN79" i="1"/>
  <c r="AO79" i="1" s="1"/>
  <c r="AS79" i="1" s="1"/>
  <c r="AN132" i="1"/>
  <c r="AU132" i="1" s="1"/>
  <c r="AW132" i="1" s="1"/>
  <c r="AN213" i="1"/>
  <c r="AO213" i="1" s="1"/>
  <c r="AR213" i="1" s="1"/>
  <c r="CD203" i="1"/>
  <c r="CD82" i="1"/>
  <c r="CD140" i="1"/>
  <c r="AO220" i="1"/>
  <c r="AR220" i="1" s="1"/>
  <c r="CD28" i="1"/>
  <c r="AX220" i="1"/>
  <c r="CD128" i="1"/>
  <c r="AN199" i="1"/>
  <c r="AO199" i="1" s="1"/>
  <c r="AQ199" i="1" s="1"/>
  <c r="AN143" i="1"/>
  <c r="AU143" i="1" s="1"/>
  <c r="AW143" i="1" s="1"/>
  <c r="CD29" i="1"/>
  <c r="AN211" i="1"/>
  <c r="AU211" i="1" s="1"/>
  <c r="AW211" i="1" s="1"/>
  <c r="AN27" i="1"/>
  <c r="AU27" i="1" s="1"/>
  <c r="CD209" i="1"/>
  <c r="CD131" i="1"/>
  <c r="CD215" i="1"/>
  <c r="AN116" i="1"/>
  <c r="AU116" i="1" s="1"/>
  <c r="AN149" i="1"/>
  <c r="AO149" i="1" s="1"/>
  <c r="AN30" i="1"/>
  <c r="AO30" i="1" s="1"/>
  <c r="CD134" i="1"/>
  <c r="CD207" i="1"/>
  <c r="CD24" i="1"/>
  <c r="CD76" i="1"/>
  <c r="AN137" i="1"/>
  <c r="AO137" i="1" s="1"/>
  <c r="AQ137" i="1" s="1"/>
  <c r="AQ141" i="1"/>
  <c r="AN214" i="1"/>
  <c r="CD214" i="1"/>
  <c r="CD71" i="1"/>
  <c r="AN71" i="1"/>
  <c r="CD216" i="1"/>
  <c r="AN216" i="1"/>
  <c r="AY210" i="1"/>
  <c r="AV210" i="1"/>
  <c r="CD127" i="1"/>
  <c r="AN204" i="1"/>
  <c r="CD213" i="1"/>
  <c r="AN217" i="1"/>
  <c r="CD149" i="1"/>
  <c r="AN128" i="1"/>
  <c r="AV139" i="1"/>
  <c r="AY139" i="1"/>
  <c r="AN209" i="1"/>
  <c r="AN218" i="1"/>
  <c r="CD145" i="1"/>
  <c r="AN82" i="1"/>
  <c r="CD221" i="1"/>
  <c r="AN129" i="1"/>
  <c r="AN76" i="1"/>
  <c r="CD70" i="1"/>
  <c r="AN140" i="1"/>
  <c r="AN138" i="1"/>
  <c r="CD138" i="1"/>
  <c r="CD199" i="1"/>
  <c r="CD143" i="1"/>
  <c r="AN203" i="1"/>
  <c r="CD200" i="1"/>
  <c r="AN29" i="1"/>
  <c r="CD146" i="1"/>
  <c r="AN33" i="1"/>
  <c r="AN142" i="1"/>
  <c r="CD142" i="1"/>
  <c r="AU80" i="1"/>
  <c r="AW80" i="1" s="1"/>
  <c r="AO80" i="1"/>
  <c r="AN25" i="1"/>
  <c r="CD73" i="1"/>
  <c r="AL23" i="1"/>
  <c r="AK23" i="1"/>
  <c r="AJ23" i="1"/>
  <c r="AM23" i="1"/>
  <c r="AN145" i="1"/>
  <c r="AN22" i="1"/>
  <c r="AN207" i="1"/>
  <c r="CD132" i="1"/>
  <c r="AW210" i="1"/>
  <c r="AN198" i="1"/>
  <c r="CD135" i="1"/>
  <c r="CD79" i="1"/>
  <c r="AN24" i="1"/>
  <c r="AW139" i="1"/>
  <c r="AY136" i="1"/>
  <c r="AV136" i="1"/>
  <c r="AU147" i="1"/>
  <c r="AO147" i="1"/>
  <c r="AR147" i="1" s="1"/>
  <c r="CD26" i="1"/>
  <c r="AN26" i="1"/>
  <c r="CD27" i="1"/>
  <c r="CD148" i="1"/>
  <c r="AY220" i="1"/>
  <c r="AV220" i="1"/>
  <c r="AV32" i="1"/>
  <c r="AY32" i="1"/>
  <c r="AN133" i="1"/>
  <c r="CD31" i="1"/>
  <c r="CD144" i="1"/>
  <c r="AX139" i="1"/>
  <c r="CD202" i="1"/>
  <c r="AO45" i="1"/>
  <c r="AQ45" i="1" s="1"/>
  <c r="AU45" i="1"/>
  <c r="AX45" i="1" s="1"/>
  <c r="AO56" i="1"/>
  <c r="AR56" i="1" s="1"/>
  <c r="AU56" i="1"/>
  <c r="AW56" i="1" s="1"/>
  <c r="AO52" i="1"/>
  <c r="AQ52" i="1" s="1"/>
  <c r="AU52" i="1"/>
  <c r="AY52" i="1" s="1"/>
  <c r="AO55" i="1"/>
  <c r="AP55" i="1" s="1"/>
  <c r="AO84" i="1"/>
  <c r="AQ84" i="1" s="1"/>
  <c r="AU84" i="1"/>
  <c r="AY84" i="1" s="1"/>
  <c r="AO44" i="1"/>
  <c r="AQ44" i="1" s="1"/>
  <c r="AU44" i="1"/>
  <c r="AX44" i="1" s="1"/>
  <c r="AU159" i="1"/>
  <c r="AX159" i="1" s="1"/>
  <c r="AO156" i="1"/>
  <c r="AQ156" i="1" s="1"/>
  <c r="AU156" i="1"/>
  <c r="AW156" i="1" s="1"/>
  <c r="AO88" i="1"/>
  <c r="AQ88" i="1" s="1"/>
  <c r="AU88" i="1"/>
  <c r="AY88" i="1" s="1"/>
  <c r="CD105" i="1"/>
  <c r="CD122" i="1"/>
  <c r="CD18" i="1"/>
  <c r="CD110" i="1"/>
  <c r="CD47" i="1"/>
  <c r="CD112" i="1"/>
  <c r="CD100" i="1"/>
  <c r="AN120" i="1"/>
  <c r="CD124" i="1"/>
  <c r="CD153" i="1"/>
  <c r="CD158" i="1"/>
  <c r="CD102" i="1"/>
  <c r="CD89" i="1"/>
  <c r="CD54" i="1"/>
  <c r="CD154" i="1"/>
  <c r="CD115" i="1"/>
  <c r="CD161" i="1"/>
  <c r="CD94" i="1"/>
  <c r="AN103" i="1"/>
  <c r="AO103" i="1" s="1"/>
  <c r="AQ103" i="1" s="1"/>
  <c r="AN86" i="1"/>
  <c r="AU86" i="1" s="1"/>
  <c r="CD113" i="1"/>
  <c r="AN93" i="1"/>
  <c r="AN58" i="1"/>
  <c r="AO58" i="1" s="1"/>
  <c r="AQ58" i="1" s="1"/>
  <c r="CD49" i="1"/>
  <c r="AN63" i="1"/>
  <c r="AN50" i="1"/>
  <c r="AO50" i="1" s="1"/>
  <c r="AQ50" i="1" s="1"/>
  <c r="AN35" i="1"/>
  <c r="AU35" i="1" s="1"/>
  <c r="CD59" i="1"/>
  <c r="CD157" i="1"/>
  <c r="CD10" i="1"/>
  <c r="AN37" i="1"/>
  <c r="CD42" i="1"/>
  <c r="AX39" i="1"/>
  <c r="AW39" i="1"/>
  <c r="CD67" i="1"/>
  <c r="CD93" i="1"/>
  <c r="CD57" i="1"/>
  <c r="CD43" i="1"/>
  <c r="CD69" i="1"/>
  <c r="CD16" i="1"/>
  <c r="CD12" i="1"/>
  <c r="CD40" i="1"/>
  <c r="CD125" i="1"/>
  <c r="CD13" i="1"/>
  <c r="CD51" i="1"/>
  <c r="CD63" i="1"/>
  <c r="CD64" i="1"/>
  <c r="CD117" i="1"/>
  <c r="CD34" i="1"/>
  <c r="CD68" i="1"/>
  <c r="CD62" i="1"/>
  <c r="CD37" i="1"/>
  <c r="CD160" i="1"/>
  <c r="CD17" i="1"/>
  <c r="CD85" i="1"/>
  <c r="CD90" i="1"/>
  <c r="CD119" i="1"/>
  <c r="CD152" i="1"/>
  <c r="CD83" i="1"/>
  <c r="CD19" i="1"/>
  <c r="CD151" i="1"/>
  <c r="AI229" i="1"/>
  <c r="AL229" i="1" s="1"/>
  <c r="AI170" i="1"/>
  <c r="AJ170" i="1" s="1"/>
  <c r="AI250" i="1"/>
  <c r="AJ250" i="1" s="1"/>
  <c r="AI248" i="1"/>
  <c r="AM248" i="1" s="1"/>
  <c r="AI230" i="1"/>
  <c r="AK230" i="1" s="1"/>
  <c r="AI197" i="1"/>
  <c r="AM197" i="1" s="1"/>
  <c r="AI193" i="1"/>
  <c r="AM193" i="1" s="1"/>
  <c r="AI261" i="1"/>
  <c r="AL261" i="1" s="1"/>
  <c r="AI259" i="1"/>
  <c r="AM259" i="1" s="1"/>
  <c r="AI257" i="1"/>
  <c r="AM257" i="1" s="1"/>
  <c r="AI247" i="1"/>
  <c r="AJ247" i="1" s="1"/>
  <c r="AI236" i="1"/>
  <c r="AM236" i="1" s="1"/>
  <c r="AI228" i="1"/>
  <c r="AL228" i="1" s="1"/>
  <c r="AI226" i="1"/>
  <c r="AJ226" i="1" s="1"/>
  <c r="AI191" i="1"/>
  <c r="AI260" i="1"/>
  <c r="AK260" i="1" s="1"/>
  <c r="AI256" i="1"/>
  <c r="AM256" i="1" s="1"/>
  <c r="AI238" i="1"/>
  <c r="AM238" i="1" s="1"/>
  <c r="AI173" i="1"/>
  <c r="AJ173" i="1" s="1"/>
  <c r="AI171" i="1"/>
  <c r="AK171" i="1" s="1"/>
  <c r="AI237" i="1"/>
  <c r="AL237" i="1" s="1"/>
  <c r="AI194" i="1"/>
  <c r="AM194" i="1" s="1"/>
  <c r="CD103" i="1"/>
  <c r="CD50" i="1"/>
  <c r="CD120" i="1"/>
  <c r="CD58" i="1"/>
  <c r="CD86" i="1"/>
  <c r="AI258" i="1"/>
  <c r="AL258" i="1" s="1"/>
  <c r="AI246" i="1"/>
  <c r="AM246" i="1" s="1"/>
  <c r="AI192" i="1"/>
  <c r="AK192" i="1" s="1"/>
  <c r="AI167" i="1"/>
  <c r="AI251" i="1"/>
  <c r="AI249" i="1"/>
  <c r="AM249" i="1" s="1"/>
  <c r="AI231" i="1"/>
  <c r="AJ231" i="1" s="1"/>
  <c r="AX95" i="1"/>
  <c r="AO39" i="1"/>
  <c r="CD35" i="1"/>
  <c r="AN51" i="1"/>
  <c r="AN34" i="1"/>
  <c r="AN13" i="1"/>
  <c r="AN89" i="1"/>
  <c r="AO89" i="1" s="1"/>
  <c r="AI252" i="1"/>
  <c r="AJ252" i="1" s="1"/>
  <c r="AI163" i="1"/>
  <c r="AM163" i="1" s="1"/>
  <c r="AI253" i="1"/>
  <c r="AK253" i="1" s="1"/>
  <c r="AI225" i="1"/>
  <c r="AM225" i="1" s="1"/>
  <c r="AI223" i="1"/>
  <c r="AJ223" i="1" s="1"/>
  <c r="AN158" i="1"/>
  <c r="AI243" i="1"/>
  <c r="AL243" i="1" s="1"/>
  <c r="AI189" i="1"/>
  <c r="AN112" i="1"/>
  <c r="AU112" i="1" s="1"/>
  <c r="AN157" i="1"/>
  <c r="AU157" i="1" s="1"/>
  <c r="AN68" i="1"/>
  <c r="AN18" i="1"/>
  <c r="AN161" i="1"/>
  <c r="AO46" i="1"/>
  <c r="AI255" i="1"/>
  <c r="AI165" i="1"/>
  <c r="AI245" i="1"/>
  <c r="AK245" i="1" s="1"/>
  <c r="AN19" i="1"/>
  <c r="AU19" i="1" s="1"/>
  <c r="AN110" i="1"/>
  <c r="AU110" i="1" s="1"/>
  <c r="AO38" i="1"/>
  <c r="AV38" i="1"/>
  <c r="AO53" i="1"/>
  <c r="AW53" i="1"/>
  <c r="AI190" i="1"/>
  <c r="AI254" i="1"/>
  <c r="AK254" i="1" s="1"/>
  <c r="AI222" i="1"/>
  <c r="AJ222" i="1" s="1"/>
  <c r="AN57" i="1"/>
  <c r="AN16" i="1"/>
  <c r="AU16" i="1" s="1"/>
  <c r="AN152" i="1"/>
  <c r="AU152" i="1" s="1"/>
  <c r="AN83" i="1"/>
  <c r="AO121" i="1"/>
  <c r="AX121" i="1"/>
  <c r="AN94" i="1"/>
  <c r="AN49" i="1"/>
  <c r="AN122" i="1"/>
  <c r="AU122" i="1" s="1"/>
  <c r="AN12" i="1"/>
  <c r="AU12" i="1" s="1"/>
  <c r="AN117" i="1"/>
  <c r="AN59" i="1"/>
  <c r="AN62" i="1"/>
  <c r="AN17" i="1"/>
  <c r="AU17" i="1" s="1"/>
  <c r="AN115" i="1"/>
  <c r="AU115" i="1" s="1"/>
  <c r="AN100" i="1"/>
  <c r="AU100" i="1" s="1"/>
  <c r="AN67" i="1"/>
  <c r="AU67" i="1" s="1"/>
  <c r="AN54" i="1"/>
  <c r="AU54" i="1" s="1"/>
  <c r="AN10" i="1"/>
  <c r="AN160" i="1"/>
  <c r="AU160" i="1" s="1"/>
  <c r="AN124" i="1"/>
  <c r="AU124" i="1" s="1"/>
  <c r="AN90" i="1"/>
  <c r="AU90" i="1" s="1"/>
  <c r="AN151" i="1"/>
  <c r="AU151" i="1" s="1"/>
  <c r="AI196" i="1"/>
  <c r="AI242" i="1"/>
  <c r="AI188" i="1"/>
  <c r="AI177" i="1"/>
  <c r="AI174" i="1"/>
  <c r="AI169" i="1"/>
  <c r="AI233" i="1"/>
  <c r="AI227" i="1"/>
  <c r="AI232" i="1"/>
  <c r="AI183" i="1"/>
  <c r="AI168" i="1"/>
  <c r="AI244" i="1"/>
  <c r="AI184" i="1"/>
  <c r="AN113" i="1"/>
  <c r="AU113" i="1" s="1"/>
  <c r="AV46" i="1"/>
  <c r="AY46" i="1"/>
  <c r="AW95" i="1"/>
  <c r="AO95" i="1"/>
  <c r="AQ95" i="1" s="1"/>
  <c r="AN43" i="1"/>
  <c r="AU43" i="1" s="1"/>
  <c r="AN105" i="1"/>
  <c r="AU105" i="1" s="1"/>
  <c r="AN69" i="1"/>
  <c r="AU69" i="1" s="1"/>
  <c r="AN125" i="1"/>
  <c r="AU125" i="1" s="1"/>
  <c r="AN85" i="1"/>
  <c r="AU85" i="1" s="1"/>
  <c r="AN42" i="1"/>
  <c r="AU42" i="1" s="1"/>
  <c r="AX150" i="1"/>
  <c r="AW150" i="1"/>
  <c r="AO150" i="1"/>
  <c r="AQ150" i="1" s="1"/>
  <c r="AN119" i="1"/>
  <c r="AU119" i="1" s="1"/>
  <c r="AN154" i="1"/>
  <c r="AU154" i="1" s="1"/>
  <c r="AR159" i="1"/>
  <c r="AV39" i="1"/>
  <c r="AY39" i="1"/>
  <c r="AI175" i="1"/>
  <c r="AI185" i="1"/>
  <c r="AI224" i="1"/>
  <c r="AI162" i="1"/>
  <c r="AM240" i="1"/>
  <c r="AJ240" i="1"/>
  <c r="AL240" i="1"/>
  <c r="AK240" i="1"/>
  <c r="AW21" i="1"/>
  <c r="AO21" i="1"/>
  <c r="AR21" i="1" s="1"/>
  <c r="AX114" i="1"/>
  <c r="AO114" i="1"/>
  <c r="AX65" i="1"/>
  <c r="AO65" i="1"/>
  <c r="AQ65" i="1" s="1"/>
  <c r="AI176" i="1"/>
  <c r="AI241" i="1"/>
  <c r="AI186" i="1"/>
  <c r="AI172" i="1"/>
  <c r="AI182" i="1"/>
  <c r="AI178" i="1"/>
  <c r="AI235" i="1"/>
  <c r="AI195" i="1"/>
  <c r="AI239" i="1"/>
  <c r="AI187" i="1"/>
  <c r="AI179" i="1"/>
  <c r="AI234" i="1"/>
  <c r="AI166" i="1"/>
  <c r="AW66" i="1"/>
  <c r="AO66" i="1"/>
  <c r="AQ66" i="1" s="1"/>
  <c r="AN40" i="1"/>
  <c r="AU40" i="1" s="1"/>
  <c r="AN153" i="1"/>
  <c r="AU153" i="1" s="1"/>
  <c r="AN102" i="1"/>
  <c r="AU102" i="1" s="1"/>
  <c r="AY38" i="1"/>
  <c r="AN64" i="1"/>
  <c r="AU64" i="1" s="1"/>
  <c r="AN47" i="1"/>
  <c r="AU47" i="1" s="1"/>
  <c r="AV55" i="1"/>
  <c r="AY55" i="1"/>
  <c r="AI164" i="1"/>
  <c r="AI180" i="1"/>
  <c r="AI181" i="1"/>
  <c r="AX123" i="1"/>
  <c r="AO123" i="1"/>
  <c r="AR123" i="1" s="1"/>
  <c r="AX111" i="1"/>
  <c r="AO111" i="1"/>
  <c r="AQ111" i="1" s="1"/>
  <c r="AX41" i="1"/>
  <c r="AO41" i="1"/>
  <c r="AR41" i="1" s="1"/>
  <c r="AS159" i="1"/>
  <c r="AP159" i="1"/>
  <c r="AX53" i="1"/>
  <c r="AV53" i="1"/>
  <c r="AY53" i="1"/>
  <c r="AX101" i="1"/>
  <c r="AO101" i="1"/>
  <c r="AX155" i="1"/>
  <c r="AW155" i="1"/>
  <c r="AO155" i="1"/>
  <c r="AQ155" i="1" s="1"/>
  <c r="AO92" i="1" l="1"/>
  <c r="AR92" i="1" s="1"/>
  <c r="AX92" i="1"/>
  <c r="AX104" i="1"/>
  <c r="AU219" i="1"/>
  <c r="CD96" i="1"/>
  <c r="AO104" i="1"/>
  <c r="AQ104" i="1" s="1"/>
  <c r="AU91" i="1"/>
  <c r="AX91" i="1" s="1"/>
  <c r="AS208" i="1"/>
  <c r="AQ208" i="1"/>
  <c r="AO205" i="1"/>
  <c r="AR205" i="1" s="1"/>
  <c r="AP208" i="1"/>
  <c r="AO75" i="1"/>
  <c r="AR75" i="1" s="1"/>
  <c r="AU208" i="1"/>
  <c r="AW208" i="1" s="1"/>
  <c r="CD99" i="1"/>
  <c r="AN96" i="1"/>
  <c r="AO96" i="1" s="1"/>
  <c r="AS96" i="1" s="1"/>
  <c r="AN99" i="1"/>
  <c r="AU99" i="1" s="1"/>
  <c r="AY99" i="1" s="1"/>
  <c r="AN97" i="1"/>
  <c r="AU97" i="1" s="1"/>
  <c r="AV97" i="1" s="1"/>
  <c r="CD107" i="1"/>
  <c r="CD106" i="1"/>
  <c r="AN107" i="1"/>
  <c r="AO107" i="1" s="1"/>
  <c r="AQ107" i="1" s="1"/>
  <c r="AN106" i="1"/>
  <c r="AU106" i="1" s="1"/>
  <c r="AY106" i="1" s="1"/>
  <c r="AX77" i="1"/>
  <c r="AY77" i="1"/>
  <c r="AO77" i="1"/>
  <c r="AQ77" i="1" s="1"/>
  <c r="AW77" i="1"/>
  <c r="AO72" i="1"/>
  <c r="AQ72" i="1" s="1"/>
  <c r="AW108" i="1"/>
  <c r="AO108" i="1"/>
  <c r="AQ108" i="1" s="1"/>
  <c r="AX108" i="1"/>
  <c r="AO212" i="1"/>
  <c r="AR212" i="1" s="1"/>
  <c r="AW60" i="1"/>
  <c r="AO60" i="1"/>
  <c r="AQ60" i="1" s="1"/>
  <c r="AV60" i="1"/>
  <c r="AN98" i="1"/>
  <c r="AU98" i="1" s="1"/>
  <c r="AV98" i="1" s="1"/>
  <c r="AR210" i="1"/>
  <c r="AX60" i="1"/>
  <c r="AU20" i="1"/>
  <c r="AV20" i="1" s="1"/>
  <c r="AQ210" i="1"/>
  <c r="AU126" i="1"/>
  <c r="AW126" i="1" s="1"/>
  <c r="AO126" i="1"/>
  <c r="AP210" i="1"/>
  <c r="CE210" i="1" s="1"/>
  <c r="AP44" i="1"/>
  <c r="AT78" i="1"/>
  <c r="AR201" i="1"/>
  <c r="AV78" i="1"/>
  <c r="AX78" i="1"/>
  <c r="AY78" i="1"/>
  <c r="AS56" i="1"/>
  <c r="AS156" i="1"/>
  <c r="AP36" i="1"/>
  <c r="AO109" i="1"/>
  <c r="AR109" i="1" s="1"/>
  <c r="AX109" i="1"/>
  <c r="AS36" i="1"/>
  <c r="AU36" i="1"/>
  <c r="AW36" i="1" s="1"/>
  <c r="AQ36" i="1"/>
  <c r="AQ74" i="1"/>
  <c r="AP56" i="1"/>
  <c r="AK238" i="1"/>
  <c r="AL253" i="1"/>
  <c r="AP32" i="1"/>
  <c r="AR32" i="1"/>
  <c r="AS61" i="1"/>
  <c r="AU74" i="1"/>
  <c r="AX74" i="1" s="1"/>
  <c r="AS32" i="1"/>
  <c r="AS201" i="1"/>
  <c r="AR156" i="1"/>
  <c r="AP156" i="1"/>
  <c r="AQ56" i="1"/>
  <c r="AS136" i="1"/>
  <c r="AU81" i="1"/>
  <c r="AW81" i="1" s="1"/>
  <c r="AQ139" i="1"/>
  <c r="AP74" i="1"/>
  <c r="CE74" i="1" s="1"/>
  <c r="AT130" i="1"/>
  <c r="AY141" i="1"/>
  <c r="AS202" i="1"/>
  <c r="AT202" i="1" s="1"/>
  <c r="AV130" i="1"/>
  <c r="AR215" i="1"/>
  <c r="AJ238" i="1"/>
  <c r="CD238" i="1" s="1"/>
  <c r="AP201" i="1"/>
  <c r="AV141" i="1"/>
  <c r="AY130" i="1"/>
  <c r="AR48" i="1"/>
  <c r="AX141" i="1"/>
  <c r="AK170" i="1"/>
  <c r="AQ146" i="1"/>
  <c r="AS144" i="1"/>
  <c r="AT144" i="1" s="1"/>
  <c r="AR144" i="1"/>
  <c r="AU28" i="1"/>
  <c r="AW28" i="1" s="1"/>
  <c r="AX15" i="1"/>
  <c r="AU61" i="1"/>
  <c r="AX61" i="1" s="1"/>
  <c r="AR74" i="1"/>
  <c r="AU144" i="1"/>
  <c r="AW144" i="1" s="1"/>
  <c r="AK259" i="1"/>
  <c r="AX130" i="1"/>
  <c r="AR28" i="1"/>
  <c r="AL222" i="1"/>
  <c r="AO15" i="1"/>
  <c r="AR15" i="1" s="1"/>
  <c r="AQ144" i="1"/>
  <c r="AM222" i="1"/>
  <c r="CD222" i="1" s="1"/>
  <c r="AW15" i="1"/>
  <c r="AO148" i="1"/>
  <c r="AR148" i="1" s="1"/>
  <c r="CE130" i="1"/>
  <c r="AL231" i="1"/>
  <c r="AK252" i="1"/>
  <c r="AO132" i="1"/>
  <c r="AR132" i="1" s="1"/>
  <c r="AL257" i="1"/>
  <c r="AJ256" i="1"/>
  <c r="CD256" i="1" s="1"/>
  <c r="AL170" i="1"/>
  <c r="AU146" i="1"/>
  <c r="AV146" i="1" s="1"/>
  <c r="AS14" i="1"/>
  <c r="AO221" i="1"/>
  <c r="AR221" i="1" s="1"/>
  <c r="AM192" i="1"/>
  <c r="AP136" i="1"/>
  <c r="AS28" i="1"/>
  <c r="AT28" i="1" s="1"/>
  <c r="AS146" i="1"/>
  <c r="CE146" i="1" s="1"/>
  <c r="AO127" i="1"/>
  <c r="AQ127" i="1" s="1"/>
  <c r="AJ192" i="1"/>
  <c r="AJ259" i="1"/>
  <c r="AN259" i="1" s="1"/>
  <c r="AU259" i="1" s="1"/>
  <c r="AL192" i="1"/>
  <c r="AQ48" i="1"/>
  <c r="AL259" i="1"/>
  <c r="AJ225" i="1"/>
  <c r="AN225" i="1" s="1"/>
  <c r="AU225" i="1" s="1"/>
  <c r="AS48" i="1"/>
  <c r="AT48" i="1" s="1"/>
  <c r="AQ28" i="1"/>
  <c r="AL225" i="1"/>
  <c r="AO116" i="1"/>
  <c r="AR116" i="1" s="1"/>
  <c r="AU48" i="1"/>
  <c r="AX48" i="1" s="1"/>
  <c r="AR146" i="1"/>
  <c r="AK222" i="1"/>
  <c r="AW86" i="1"/>
  <c r="AR202" i="1"/>
  <c r="AQ202" i="1"/>
  <c r="AS84" i="1"/>
  <c r="AV84" i="1"/>
  <c r="AV52" i="1"/>
  <c r="AK228" i="1"/>
  <c r="AS88" i="1"/>
  <c r="AT141" i="1"/>
  <c r="AR14" i="1"/>
  <c r="AP14" i="1"/>
  <c r="AQ79" i="1"/>
  <c r="AP79" i="1"/>
  <c r="CE79" i="1" s="1"/>
  <c r="AR79" i="1"/>
  <c r="AU14" i="1"/>
  <c r="AY14" i="1" s="1"/>
  <c r="AU79" i="1"/>
  <c r="AW79" i="1" s="1"/>
  <c r="AU202" i="1"/>
  <c r="AX202" i="1" s="1"/>
  <c r="AQ61" i="1"/>
  <c r="AS44" i="1"/>
  <c r="AQ136" i="1"/>
  <c r="AR44" i="1"/>
  <c r="AK197" i="1"/>
  <c r="AW88" i="1"/>
  <c r="AO131" i="1"/>
  <c r="AR131" i="1" s="1"/>
  <c r="AV88" i="1"/>
  <c r="AO87" i="1"/>
  <c r="AR87" i="1" s="1"/>
  <c r="AJ197" i="1"/>
  <c r="CD197" i="1" s="1"/>
  <c r="AX88" i="1"/>
  <c r="AX87" i="1"/>
  <c r="AO35" i="1"/>
  <c r="AP35" i="1" s="1"/>
  <c r="AS139" i="1"/>
  <c r="AP61" i="1"/>
  <c r="AP139" i="1"/>
  <c r="AV44" i="1"/>
  <c r="AK194" i="1"/>
  <c r="AM229" i="1"/>
  <c r="AL197" i="1"/>
  <c r="AQ215" i="1"/>
  <c r="AP137" i="1"/>
  <c r="AP206" i="1"/>
  <c r="AT206" i="1" s="1"/>
  <c r="AO143" i="1"/>
  <c r="AR143" i="1" s="1"/>
  <c r="AY44" i="1"/>
  <c r="AO100" i="1"/>
  <c r="AQ100" i="1" s="1"/>
  <c r="AM226" i="1"/>
  <c r="AN226" i="1" s="1"/>
  <c r="AU226" i="1" s="1"/>
  <c r="AJ194" i="1"/>
  <c r="AN194" i="1" s="1"/>
  <c r="AU194" i="1" s="1"/>
  <c r="AJ249" i="1"/>
  <c r="AN249" i="1" s="1"/>
  <c r="AU249" i="1" s="1"/>
  <c r="AU215" i="1"/>
  <c r="AY215" i="1" s="1"/>
  <c r="AU70" i="1"/>
  <c r="AX70" i="1" s="1"/>
  <c r="AS137" i="1"/>
  <c r="AU213" i="1"/>
  <c r="AW213" i="1" s="1"/>
  <c r="AU199" i="1"/>
  <c r="AX199" i="1" s="1"/>
  <c r="AR55" i="1"/>
  <c r="AK223" i="1"/>
  <c r="AL226" i="1"/>
  <c r="AL194" i="1"/>
  <c r="AK249" i="1"/>
  <c r="AS213" i="1"/>
  <c r="AR206" i="1"/>
  <c r="AK226" i="1"/>
  <c r="AQ55" i="1"/>
  <c r="AY159" i="1"/>
  <c r="AL249" i="1"/>
  <c r="AP213" i="1"/>
  <c r="AO134" i="1"/>
  <c r="AP134" i="1" s="1"/>
  <c r="AS55" i="1"/>
  <c r="AT55" i="1" s="1"/>
  <c r="AZ55" i="1" s="1"/>
  <c r="BC55" i="1" s="1"/>
  <c r="CG55" i="1" s="1"/>
  <c r="AV159" i="1"/>
  <c r="AW116" i="1"/>
  <c r="AQ213" i="1"/>
  <c r="AQ206" i="1"/>
  <c r="AU149" i="1"/>
  <c r="AX149" i="1" s="1"/>
  <c r="AS215" i="1"/>
  <c r="CE215" i="1" s="1"/>
  <c r="AU135" i="1"/>
  <c r="AX135" i="1" s="1"/>
  <c r="AL193" i="1"/>
  <c r="AU206" i="1"/>
  <c r="AX206" i="1" s="1"/>
  <c r="AR137" i="1"/>
  <c r="AK225" i="1"/>
  <c r="AL247" i="1"/>
  <c r="AX131" i="1"/>
  <c r="AP220" i="1"/>
  <c r="AU137" i="1"/>
  <c r="AV137" i="1" s="1"/>
  <c r="AX221" i="1"/>
  <c r="AQ31" i="1"/>
  <c r="AS220" i="1"/>
  <c r="AO27" i="1"/>
  <c r="AQ27" i="1" s="1"/>
  <c r="AW118" i="1"/>
  <c r="AJ258" i="1"/>
  <c r="AR31" i="1"/>
  <c r="AQ220" i="1"/>
  <c r="AO118" i="1"/>
  <c r="AR118" i="1" s="1"/>
  <c r="AN11" i="1"/>
  <c r="AO11" i="1" s="1"/>
  <c r="AU31" i="1"/>
  <c r="AX31" i="1" s="1"/>
  <c r="AL250" i="1"/>
  <c r="AS31" i="1"/>
  <c r="CE31" i="1" s="1"/>
  <c r="AV45" i="1"/>
  <c r="AP88" i="1"/>
  <c r="AX84" i="1"/>
  <c r="AO73" i="1"/>
  <c r="AQ73" i="1" s="1"/>
  <c r="AO211" i="1"/>
  <c r="AR211" i="1" s="1"/>
  <c r="AR88" i="1"/>
  <c r="AY45" i="1"/>
  <c r="AW45" i="1"/>
  <c r="AW84" i="1"/>
  <c r="AM254" i="1"/>
  <c r="AN23" i="1"/>
  <c r="AU23" i="1" s="1"/>
  <c r="AM228" i="1"/>
  <c r="AL246" i="1"/>
  <c r="AQ20" i="1"/>
  <c r="AX132" i="1"/>
  <c r="AK246" i="1"/>
  <c r="AP20" i="1"/>
  <c r="AR30" i="1"/>
  <c r="AJ246" i="1"/>
  <c r="AN246" i="1" s="1"/>
  <c r="AU246" i="1" s="1"/>
  <c r="AS20" i="1"/>
  <c r="AR45" i="1"/>
  <c r="AS45" i="1"/>
  <c r="AM230" i="1"/>
  <c r="AU30" i="1"/>
  <c r="AX30" i="1" s="1"/>
  <c r="AX143" i="1"/>
  <c r="AW148" i="1"/>
  <c r="AO200" i="1"/>
  <c r="AU200" i="1"/>
  <c r="AP45" i="1"/>
  <c r="AX212" i="1"/>
  <c r="AJ228" i="1"/>
  <c r="AK237" i="1"/>
  <c r="AR84" i="1"/>
  <c r="AP84" i="1"/>
  <c r="AR89" i="1"/>
  <c r="AP89" i="1"/>
  <c r="AS89" i="1"/>
  <c r="AU207" i="1"/>
  <c r="AX207" i="1" s="1"/>
  <c r="AO207" i="1"/>
  <c r="AQ207" i="1" s="1"/>
  <c r="AV72" i="1"/>
  <c r="AY72" i="1"/>
  <c r="AU25" i="1"/>
  <c r="AO25" i="1"/>
  <c r="AR25" i="1" s="1"/>
  <c r="AU203" i="1"/>
  <c r="AO203" i="1"/>
  <c r="AL238" i="1"/>
  <c r="AR52" i="1"/>
  <c r="AJ257" i="1"/>
  <c r="CD257" i="1" s="1"/>
  <c r="AM250" i="1"/>
  <c r="CD250" i="1" s="1"/>
  <c r="AM170" i="1"/>
  <c r="AN170" i="1" s="1"/>
  <c r="AO170" i="1" s="1"/>
  <c r="AR170" i="1" s="1"/>
  <c r="AY205" i="1"/>
  <c r="AV205" i="1"/>
  <c r="AO198" i="1"/>
  <c r="AQ198" i="1" s="1"/>
  <c r="AU198" i="1"/>
  <c r="AX198" i="1" s="1"/>
  <c r="AU145" i="1"/>
  <c r="AW145" i="1" s="1"/>
  <c r="AO145" i="1"/>
  <c r="AQ145" i="1" s="1"/>
  <c r="AU76" i="1"/>
  <c r="AX76" i="1" s="1"/>
  <c r="AO76" i="1"/>
  <c r="AQ76" i="1" s="1"/>
  <c r="AU82" i="1"/>
  <c r="AW82" i="1" s="1"/>
  <c r="AO82" i="1"/>
  <c r="AQ82" i="1" s="1"/>
  <c r="AU71" i="1"/>
  <c r="AX71" i="1" s="1"/>
  <c r="AO71" i="1"/>
  <c r="AQ81" i="1"/>
  <c r="AS81" i="1"/>
  <c r="AP81" i="1"/>
  <c r="AU22" i="1"/>
  <c r="AX22" i="1" s="1"/>
  <c r="AO22" i="1"/>
  <c r="AQ22" i="1" s="1"/>
  <c r="AY147" i="1"/>
  <c r="AV147" i="1"/>
  <c r="AU216" i="1"/>
  <c r="AO216" i="1"/>
  <c r="AW127" i="1"/>
  <c r="AY134" i="1"/>
  <c r="AV134" i="1"/>
  <c r="AK257" i="1"/>
  <c r="AS52" i="1"/>
  <c r="AY56" i="1"/>
  <c r="AR219" i="1"/>
  <c r="AP219" i="1"/>
  <c r="AS219" i="1"/>
  <c r="AQ147" i="1"/>
  <c r="AS147" i="1"/>
  <c r="AP147" i="1"/>
  <c r="AQ30" i="1"/>
  <c r="AP30" i="1"/>
  <c r="AS30" i="1"/>
  <c r="AY75" i="1"/>
  <c r="AV75" i="1"/>
  <c r="AX72" i="1"/>
  <c r="AQ135" i="1"/>
  <c r="AS135" i="1"/>
  <c r="AP135" i="1"/>
  <c r="AV219" i="1"/>
  <c r="AY219" i="1"/>
  <c r="AR70" i="1"/>
  <c r="AP70" i="1"/>
  <c r="AS70" i="1"/>
  <c r="AR80" i="1"/>
  <c r="AS80" i="1"/>
  <c r="AP80" i="1"/>
  <c r="AJ243" i="1"/>
  <c r="AM173" i="1"/>
  <c r="AN173" i="1" s="1"/>
  <c r="AU173" i="1" s="1"/>
  <c r="AP52" i="1"/>
  <c r="AQ91" i="1"/>
  <c r="AX80" i="1"/>
  <c r="AU33" i="1"/>
  <c r="AW33" i="1" s="1"/>
  <c r="AO33" i="1"/>
  <c r="AQ33" i="1" s="1"/>
  <c r="AU129" i="1"/>
  <c r="AO129" i="1"/>
  <c r="AU218" i="1"/>
  <c r="AW218" i="1" s="1"/>
  <c r="AO218" i="1"/>
  <c r="AU128" i="1"/>
  <c r="AX128" i="1" s="1"/>
  <c r="AO128" i="1"/>
  <c r="AW73" i="1"/>
  <c r="AQ149" i="1"/>
  <c r="AX211" i="1"/>
  <c r="AY27" i="1"/>
  <c r="AV27" i="1"/>
  <c r="AM243" i="1"/>
  <c r="AL173" i="1"/>
  <c r="AP91" i="1"/>
  <c r="AQ219" i="1"/>
  <c r="AU24" i="1"/>
  <c r="AX24" i="1" s="1"/>
  <c r="AO24" i="1"/>
  <c r="AQ24" i="1" s="1"/>
  <c r="AW72" i="1"/>
  <c r="AV212" i="1"/>
  <c r="AY212" i="1"/>
  <c r="AQ80" i="1"/>
  <c r="AU142" i="1"/>
  <c r="AX142" i="1" s="1"/>
  <c r="AO142" i="1"/>
  <c r="AV131" i="1"/>
  <c r="AY131" i="1"/>
  <c r="AY132" i="1"/>
  <c r="AV132" i="1"/>
  <c r="AR81" i="1"/>
  <c r="AX134" i="1"/>
  <c r="AR149" i="1"/>
  <c r="AY148" i="1"/>
  <c r="AV148" i="1"/>
  <c r="AU138" i="1"/>
  <c r="AX138" i="1" s="1"/>
  <c r="AO138" i="1"/>
  <c r="AR138" i="1" s="1"/>
  <c r="AQ70" i="1"/>
  <c r="AV127" i="1"/>
  <c r="AY127" i="1"/>
  <c r="AK250" i="1"/>
  <c r="AK243" i="1"/>
  <c r="AK173" i="1"/>
  <c r="AS91" i="1"/>
  <c r="AU133" i="1"/>
  <c r="AX133" i="1" s="1"/>
  <c r="AO133" i="1"/>
  <c r="AR133" i="1" s="1"/>
  <c r="AU26" i="1"/>
  <c r="AW26" i="1" s="1"/>
  <c r="AO26" i="1"/>
  <c r="AQ26" i="1" s="1"/>
  <c r="AX219" i="1"/>
  <c r="AX147" i="1"/>
  <c r="CD23" i="1"/>
  <c r="AU217" i="1"/>
  <c r="AX217" i="1" s="1"/>
  <c r="AO217" i="1"/>
  <c r="AU214" i="1"/>
  <c r="AX214" i="1" s="1"/>
  <c r="AO214" i="1"/>
  <c r="AV221" i="1"/>
  <c r="AY221" i="1"/>
  <c r="AX27" i="1"/>
  <c r="AY143" i="1"/>
  <c r="AV143" i="1"/>
  <c r="AU204" i="1"/>
  <c r="AX204" i="1" s="1"/>
  <c r="AO204" i="1"/>
  <c r="AR204" i="1" s="1"/>
  <c r="AP149" i="1"/>
  <c r="AS149" i="1"/>
  <c r="AU140" i="1"/>
  <c r="AX140" i="1" s="1"/>
  <c r="AO140" i="1"/>
  <c r="AW205" i="1"/>
  <c r="AW219" i="1"/>
  <c r="AW147" i="1"/>
  <c r="AX75" i="1"/>
  <c r="AY80" i="1"/>
  <c r="AV80" i="1"/>
  <c r="AU29" i="1"/>
  <c r="AX29" i="1" s="1"/>
  <c r="AO29" i="1"/>
  <c r="AR29" i="1" s="1"/>
  <c r="AU209" i="1"/>
  <c r="AX209" i="1" s="1"/>
  <c r="AO209" i="1"/>
  <c r="AR209" i="1" s="1"/>
  <c r="AV73" i="1"/>
  <c r="AY73" i="1"/>
  <c r="AR135" i="1"/>
  <c r="AW27" i="1"/>
  <c r="AY211" i="1"/>
  <c r="AV211" i="1"/>
  <c r="AR199" i="1"/>
  <c r="AP199" i="1"/>
  <c r="AS199" i="1"/>
  <c r="AW159" i="1"/>
  <c r="AO62" i="1"/>
  <c r="AP62" i="1" s="1"/>
  <c r="AU62" i="1"/>
  <c r="AW62" i="1" s="1"/>
  <c r="AO49" i="1"/>
  <c r="AQ49" i="1" s="1"/>
  <c r="AU49" i="1"/>
  <c r="AX49" i="1" s="1"/>
  <c r="AO83" i="1"/>
  <c r="AS83" i="1" s="1"/>
  <c r="AU83" i="1"/>
  <c r="AY83" i="1" s="1"/>
  <c r="AL165" i="1"/>
  <c r="AO161" i="1"/>
  <c r="AQ161" i="1" s="1"/>
  <c r="AU161" i="1"/>
  <c r="AY161" i="1" s="1"/>
  <c r="AL223" i="1"/>
  <c r="AM252" i="1"/>
  <c r="AN252" i="1" s="1"/>
  <c r="AU252" i="1" s="1"/>
  <c r="AO51" i="1"/>
  <c r="AQ51" i="1" s="1"/>
  <c r="AU51" i="1"/>
  <c r="AW51" i="1" s="1"/>
  <c r="AL171" i="1"/>
  <c r="AJ260" i="1"/>
  <c r="AK236" i="1"/>
  <c r="AJ261" i="1"/>
  <c r="AL248" i="1"/>
  <c r="AO63" i="1"/>
  <c r="AU63" i="1"/>
  <c r="AX63" i="1" s="1"/>
  <c r="AU58" i="1"/>
  <c r="AW58" i="1" s="1"/>
  <c r="AU103" i="1"/>
  <c r="AX103" i="1" s="1"/>
  <c r="AO59" i="1"/>
  <c r="AR59" i="1" s="1"/>
  <c r="AU59" i="1"/>
  <c r="AV59" i="1" s="1"/>
  <c r="AO94" i="1"/>
  <c r="AQ94" i="1" s="1"/>
  <c r="AU94" i="1"/>
  <c r="AV94" i="1" s="1"/>
  <c r="AJ254" i="1"/>
  <c r="AK255" i="1"/>
  <c r="AO18" i="1"/>
  <c r="AR18" i="1" s="1"/>
  <c r="AU18" i="1"/>
  <c r="AX18" i="1" s="1"/>
  <c r="AM189" i="1"/>
  <c r="AU89" i="1"/>
  <c r="AW89" i="1" s="1"/>
  <c r="AL251" i="1"/>
  <c r="AK258" i="1"/>
  <c r="AL191" i="1"/>
  <c r="AM247" i="1"/>
  <c r="CD247" i="1" s="1"/>
  <c r="AK193" i="1"/>
  <c r="AO37" i="1"/>
  <c r="AQ37" i="1" s="1"/>
  <c r="AU37" i="1"/>
  <c r="AW37" i="1" s="1"/>
  <c r="AO93" i="1"/>
  <c r="AP93" i="1" s="1"/>
  <c r="AU93" i="1"/>
  <c r="AV93" i="1" s="1"/>
  <c r="AO117" i="1"/>
  <c r="AQ117" i="1" s="1"/>
  <c r="AU117" i="1"/>
  <c r="AY117" i="1" s="1"/>
  <c r="AJ190" i="1"/>
  <c r="AO68" i="1"/>
  <c r="AQ68" i="1" s="1"/>
  <c r="AU68" i="1"/>
  <c r="AW68" i="1" s="1"/>
  <c r="AM253" i="1"/>
  <c r="AO13" i="1"/>
  <c r="AP13" i="1" s="1"/>
  <c r="AU13" i="1"/>
  <c r="AX13" i="1" s="1"/>
  <c r="AK167" i="1"/>
  <c r="AO10" i="1"/>
  <c r="AQ10" i="1" s="1"/>
  <c r="AU10" i="1"/>
  <c r="AY10" i="1" s="1"/>
  <c r="AO57" i="1"/>
  <c r="AR57" i="1" s="1"/>
  <c r="AU57" i="1"/>
  <c r="AW57" i="1" s="1"/>
  <c r="AL245" i="1"/>
  <c r="AO158" i="1"/>
  <c r="AS158" i="1" s="1"/>
  <c r="AU158" i="1"/>
  <c r="AV158" i="1" s="1"/>
  <c r="AL163" i="1"/>
  <c r="AO34" i="1"/>
  <c r="AS34" i="1" s="1"/>
  <c r="AU34" i="1"/>
  <c r="AV34" i="1" s="1"/>
  <c r="AM231" i="1"/>
  <c r="CD231" i="1" s="1"/>
  <c r="AM237" i="1"/>
  <c r="AK256" i="1"/>
  <c r="AL230" i="1"/>
  <c r="AJ229" i="1"/>
  <c r="AU50" i="1"/>
  <c r="AW50" i="1" s="1"/>
  <c r="AU120" i="1"/>
  <c r="AX120" i="1" s="1"/>
  <c r="AY121" i="1"/>
  <c r="AO120" i="1"/>
  <c r="AR120" i="1" s="1"/>
  <c r="AJ193" i="1"/>
  <c r="CD193" i="1" s="1"/>
  <c r="AM190" i="1"/>
  <c r="AK191" i="1"/>
  <c r="AJ191" i="1"/>
  <c r="AM167" i="1"/>
  <c r="AK251" i="1"/>
  <c r="AQ89" i="1"/>
  <c r="AM251" i="1"/>
  <c r="AX56" i="1"/>
  <c r="AM245" i="1"/>
  <c r="AJ255" i="1"/>
  <c r="AK165" i="1"/>
  <c r="AL189" i="1"/>
  <c r="AM171" i="1"/>
  <c r="AJ236" i="1"/>
  <c r="CD236" i="1" s="1"/>
  <c r="AL190" i="1"/>
  <c r="AJ165" i="1"/>
  <c r="AM261" i="1"/>
  <c r="AK248" i="1"/>
  <c r="AL167" i="1"/>
  <c r="AM260" i="1"/>
  <c r="AJ163" i="1"/>
  <c r="CD163" i="1" s="1"/>
  <c r="AY91" i="1"/>
  <c r="AX156" i="1"/>
  <c r="AL260" i="1"/>
  <c r="AK163" i="1"/>
  <c r="AV156" i="1"/>
  <c r="AJ171" i="1"/>
  <c r="AL236" i="1"/>
  <c r="AK190" i="1"/>
  <c r="AM165" i="1"/>
  <c r="AK261" i="1"/>
  <c r="AJ248" i="1"/>
  <c r="CD248" i="1" s="1"/>
  <c r="AL255" i="1"/>
  <c r="AJ189" i="1"/>
  <c r="AJ167" i="1"/>
  <c r="AY156" i="1"/>
  <c r="AX35" i="1"/>
  <c r="AV121" i="1"/>
  <c r="AM223" i="1"/>
  <c r="CD223" i="1" s="1"/>
  <c r="AJ253" i="1"/>
  <c r="AL252" i="1"/>
  <c r="AL254" i="1"/>
  <c r="AK231" i="1"/>
  <c r="AM258" i="1"/>
  <c r="AL256" i="1"/>
  <c r="AV56" i="1"/>
  <c r="AJ245" i="1"/>
  <c r="AM191" i="1"/>
  <c r="AK247" i="1"/>
  <c r="AJ230" i="1"/>
  <c r="AM255" i="1"/>
  <c r="AK229" i="1"/>
  <c r="AJ237" i="1"/>
  <c r="AK189" i="1"/>
  <c r="AJ251" i="1"/>
  <c r="AO86" i="1"/>
  <c r="AQ86" i="1" s="1"/>
  <c r="AW44" i="1"/>
  <c r="AW121" i="1"/>
  <c r="CD240" i="1"/>
  <c r="AT159" i="1"/>
  <c r="AX64" i="1"/>
  <c r="AX40" i="1"/>
  <c r="AX69" i="1"/>
  <c r="AX113" i="1"/>
  <c r="AW67" i="1"/>
  <c r="AW100" i="1"/>
  <c r="CE159" i="1"/>
  <c r="AX52" i="1"/>
  <c r="AW52" i="1"/>
  <c r="AX47" i="1"/>
  <c r="AW102" i="1"/>
  <c r="AX154" i="1"/>
  <c r="AR39" i="1"/>
  <c r="AP39" i="1"/>
  <c r="AQ39" i="1"/>
  <c r="AS39" i="1"/>
  <c r="AW55" i="1"/>
  <c r="AX55" i="1"/>
  <c r="AO67" i="1"/>
  <c r="AR67" i="1" s="1"/>
  <c r="AR103" i="1"/>
  <c r="AO151" i="1"/>
  <c r="AY151" i="1"/>
  <c r="AO17" i="1"/>
  <c r="AW17" i="1"/>
  <c r="AO12" i="1"/>
  <c r="AY12" i="1"/>
  <c r="AS121" i="1"/>
  <c r="AP121" i="1"/>
  <c r="AR121" i="1"/>
  <c r="AQ121" i="1"/>
  <c r="AO152" i="1"/>
  <c r="AY152" i="1"/>
  <c r="AO16" i="1"/>
  <c r="AW16" i="1"/>
  <c r="AO110" i="1"/>
  <c r="AX110" i="1"/>
  <c r="AR66" i="1"/>
  <c r="AO90" i="1"/>
  <c r="AX90" i="1"/>
  <c r="AO160" i="1"/>
  <c r="AV160" i="1"/>
  <c r="AO122" i="1"/>
  <c r="AX122" i="1"/>
  <c r="AS53" i="1"/>
  <c r="AR53" i="1"/>
  <c r="AQ53" i="1"/>
  <c r="AP53" i="1"/>
  <c r="AW46" i="1"/>
  <c r="AX46" i="1"/>
  <c r="AO124" i="1"/>
  <c r="AY124" i="1"/>
  <c r="AX38" i="1"/>
  <c r="AW38" i="1"/>
  <c r="AR46" i="1"/>
  <c r="AP46" i="1"/>
  <c r="AS46" i="1"/>
  <c r="AQ46" i="1"/>
  <c r="AO157" i="1"/>
  <c r="AV157" i="1"/>
  <c r="AQ92" i="1"/>
  <c r="AO54" i="1"/>
  <c r="AW54" i="1"/>
  <c r="AO115" i="1"/>
  <c r="AV115" i="1"/>
  <c r="AS38" i="1"/>
  <c r="AR38" i="1"/>
  <c r="AP38" i="1"/>
  <c r="AQ38" i="1"/>
  <c r="AO19" i="1"/>
  <c r="AY19" i="1"/>
  <c r="AO112" i="1"/>
  <c r="AW112" i="1"/>
  <c r="AW41" i="1"/>
  <c r="AW111" i="1"/>
  <c r="AW114" i="1"/>
  <c r="AX116" i="1"/>
  <c r="AN240" i="1"/>
  <c r="AR150" i="1"/>
  <c r="AW35" i="1"/>
  <c r="AX86" i="1"/>
  <c r="AW87" i="1"/>
  <c r="AX118" i="1"/>
  <c r="AR111" i="1"/>
  <c r="AW123" i="1"/>
  <c r="AW65" i="1"/>
  <c r="AW104" i="1"/>
  <c r="AR58" i="1"/>
  <c r="AW101" i="1"/>
  <c r="AS41" i="1"/>
  <c r="AP41" i="1"/>
  <c r="AY111" i="1"/>
  <c r="AV111" i="1"/>
  <c r="AL164" i="1"/>
  <c r="AM164" i="1"/>
  <c r="AJ164" i="1"/>
  <c r="AK164" i="1"/>
  <c r="AO47" i="1"/>
  <c r="AQ47" i="1" s="1"/>
  <c r="AV92" i="1"/>
  <c r="AY92" i="1"/>
  <c r="AO40" i="1"/>
  <c r="AQ40" i="1" s="1"/>
  <c r="AV66" i="1"/>
  <c r="AY66" i="1"/>
  <c r="AK166" i="1"/>
  <c r="AL166" i="1"/>
  <c r="AM166" i="1"/>
  <c r="AJ166" i="1"/>
  <c r="AM187" i="1"/>
  <c r="AL187" i="1"/>
  <c r="AJ187" i="1"/>
  <c r="AK187" i="1"/>
  <c r="AK235" i="1"/>
  <c r="AL235" i="1"/>
  <c r="AM235" i="1"/>
  <c r="AJ235" i="1"/>
  <c r="AL182" i="1"/>
  <c r="AM182" i="1"/>
  <c r="AK182" i="1"/>
  <c r="AJ182" i="1"/>
  <c r="AV90" i="1"/>
  <c r="AY15" i="1"/>
  <c r="AV15" i="1"/>
  <c r="AJ224" i="1"/>
  <c r="AM224" i="1"/>
  <c r="AK224" i="1"/>
  <c r="AL224" i="1"/>
  <c r="AJ175" i="1"/>
  <c r="AM175" i="1"/>
  <c r="AK175" i="1"/>
  <c r="AL175" i="1"/>
  <c r="AV87" i="1"/>
  <c r="AY87" i="1"/>
  <c r="AV150" i="1"/>
  <c r="AY150" i="1"/>
  <c r="AX125" i="1"/>
  <c r="AO125" i="1"/>
  <c r="AR125" i="1" s="1"/>
  <c r="AX105" i="1"/>
  <c r="AO105" i="1"/>
  <c r="AS95" i="1"/>
  <c r="AP95" i="1"/>
  <c r="AR95" i="1"/>
  <c r="AV100" i="1"/>
  <c r="AV86" i="1"/>
  <c r="AY86" i="1"/>
  <c r="AP103" i="1"/>
  <c r="AS103" i="1"/>
  <c r="AS155" i="1"/>
  <c r="AP155" i="1"/>
  <c r="AS101" i="1"/>
  <c r="AP101" i="1"/>
  <c r="AR101" i="1"/>
  <c r="AV122" i="1"/>
  <c r="AP123" i="1"/>
  <c r="AS123" i="1"/>
  <c r="AJ181" i="1"/>
  <c r="AM181" i="1"/>
  <c r="AK181" i="1"/>
  <c r="AL181" i="1"/>
  <c r="AO102" i="1"/>
  <c r="AQ102" i="1" s="1"/>
  <c r="AM186" i="1"/>
  <c r="AJ186" i="1"/>
  <c r="AK186" i="1"/>
  <c r="AL186" i="1"/>
  <c r="AJ176" i="1"/>
  <c r="AK176" i="1"/>
  <c r="AL176" i="1"/>
  <c r="AM176" i="1"/>
  <c r="AS65" i="1"/>
  <c r="AP65" i="1"/>
  <c r="AR65" i="1"/>
  <c r="AS114" i="1"/>
  <c r="AP114" i="1"/>
  <c r="AQ114" i="1"/>
  <c r="AV116" i="1"/>
  <c r="AY116" i="1"/>
  <c r="AV21" i="1"/>
  <c r="AY21" i="1"/>
  <c r="AM162" i="1"/>
  <c r="AJ162" i="1"/>
  <c r="AK162" i="1"/>
  <c r="AL162" i="1"/>
  <c r="AY109" i="1"/>
  <c r="AV109" i="1"/>
  <c r="AS104" i="1"/>
  <c r="AO113" i="1"/>
  <c r="AM184" i="1"/>
  <c r="AK184" i="1"/>
  <c r="AL184" i="1"/>
  <c r="AJ184" i="1"/>
  <c r="AM168" i="1"/>
  <c r="AK168" i="1"/>
  <c r="AL168" i="1"/>
  <c r="AJ168" i="1"/>
  <c r="AK227" i="1"/>
  <c r="AL227" i="1"/>
  <c r="AJ227" i="1"/>
  <c r="AM227" i="1"/>
  <c r="AL169" i="1"/>
  <c r="AM169" i="1"/>
  <c r="AK169" i="1"/>
  <c r="AJ169" i="1"/>
  <c r="AJ177" i="1"/>
  <c r="AM177" i="1"/>
  <c r="AK177" i="1"/>
  <c r="AL177" i="1"/>
  <c r="AV67" i="1"/>
  <c r="AY67" i="1"/>
  <c r="AR155" i="1"/>
  <c r="AV118" i="1"/>
  <c r="AY118" i="1"/>
  <c r="AQ101" i="1"/>
  <c r="AQ41" i="1"/>
  <c r="AY41" i="1"/>
  <c r="AV41" i="1"/>
  <c r="AP111" i="1"/>
  <c r="AS111" i="1"/>
  <c r="AY112" i="1"/>
  <c r="AK180" i="1"/>
  <c r="AL180" i="1"/>
  <c r="AM180" i="1"/>
  <c r="AJ180" i="1"/>
  <c r="AY108" i="1"/>
  <c r="AV108" i="1"/>
  <c r="AP92" i="1"/>
  <c r="AS92" i="1"/>
  <c r="AW92" i="1"/>
  <c r="AO64" i="1"/>
  <c r="AR64" i="1" s="1"/>
  <c r="AW153" i="1"/>
  <c r="AX153" i="1"/>
  <c r="AO153" i="1"/>
  <c r="AR153" i="1" s="1"/>
  <c r="AP66" i="1"/>
  <c r="AS66" i="1"/>
  <c r="AX66" i="1"/>
  <c r="AJ179" i="1"/>
  <c r="AM179" i="1"/>
  <c r="AK179" i="1"/>
  <c r="AL179" i="1"/>
  <c r="AM195" i="1"/>
  <c r="AL195" i="1"/>
  <c r="AK195" i="1"/>
  <c r="AJ195" i="1"/>
  <c r="AR114" i="1"/>
  <c r="AW90" i="1"/>
  <c r="AX21" i="1"/>
  <c r="AX54" i="1"/>
  <c r="AY115" i="1"/>
  <c r="AW119" i="1"/>
  <c r="AX119" i="1"/>
  <c r="AO119" i="1"/>
  <c r="AQ119" i="1" s="1"/>
  <c r="AP150" i="1"/>
  <c r="AS150" i="1"/>
  <c r="AX42" i="1"/>
  <c r="AO42" i="1"/>
  <c r="AQ42" i="1" s="1"/>
  <c r="AX43" i="1"/>
  <c r="AO43" i="1"/>
  <c r="AR43" i="1" s="1"/>
  <c r="AV95" i="1"/>
  <c r="AY95" i="1"/>
  <c r="AJ232" i="1"/>
  <c r="AK232" i="1"/>
  <c r="AM232" i="1"/>
  <c r="AL232" i="1"/>
  <c r="AM242" i="1"/>
  <c r="AJ242" i="1"/>
  <c r="AK242" i="1"/>
  <c r="AL242" i="1"/>
  <c r="AM196" i="1"/>
  <c r="AK196" i="1"/>
  <c r="AJ196" i="1"/>
  <c r="AL196" i="1"/>
  <c r="AY35" i="1"/>
  <c r="AV35" i="1"/>
  <c r="AS58" i="1"/>
  <c r="AP58" i="1"/>
  <c r="AX67" i="1"/>
  <c r="AY155" i="1"/>
  <c r="AV155" i="1"/>
  <c r="AY101" i="1"/>
  <c r="AV101" i="1"/>
  <c r="AW122" i="1"/>
  <c r="AQ123" i="1"/>
  <c r="AY123" i="1"/>
  <c r="AV123" i="1"/>
  <c r="AL234" i="1"/>
  <c r="AJ234" i="1"/>
  <c r="AM234" i="1"/>
  <c r="AK234" i="1"/>
  <c r="AK239" i="1"/>
  <c r="AM239" i="1"/>
  <c r="AJ239" i="1"/>
  <c r="AL239" i="1"/>
  <c r="AJ178" i="1"/>
  <c r="AK178" i="1"/>
  <c r="AL178" i="1"/>
  <c r="AM178" i="1"/>
  <c r="AK172" i="1"/>
  <c r="AL172" i="1"/>
  <c r="AM172" i="1"/>
  <c r="AJ172" i="1"/>
  <c r="AL241" i="1"/>
  <c r="AK241" i="1"/>
  <c r="AM241" i="1"/>
  <c r="AJ241" i="1"/>
  <c r="AY65" i="1"/>
  <c r="AV65" i="1"/>
  <c r="AY114" i="1"/>
  <c r="AV114" i="1"/>
  <c r="AP21" i="1"/>
  <c r="AS21" i="1"/>
  <c r="AQ21" i="1"/>
  <c r="AJ185" i="1"/>
  <c r="AM185" i="1"/>
  <c r="AK185" i="1"/>
  <c r="AL185" i="1"/>
  <c r="AO154" i="1"/>
  <c r="AQ154" i="1" s="1"/>
  <c r="AW85" i="1"/>
  <c r="AO85" i="1"/>
  <c r="AR85" i="1" s="1"/>
  <c r="AO69" i="1"/>
  <c r="AR69" i="1" s="1"/>
  <c r="AW109" i="1"/>
  <c r="AR104" i="1"/>
  <c r="AV104" i="1"/>
  <c r="AY104" i="1"/>
  <c r="AJ244" i="1"/>
  <c r="AM244" i="1"/>
  <c r="AK244" i="1"/>
  <c r="AL244" i="1"/>
  <c r="AJ183" i="1"/>
  <c r="AM183" i="1"/>
  <c r="AK183" i="1"/>
  <c r="AL183" i="1"/>
  <c r="AK233" i="1"/>
  <c r="AL233" i="1"/>
  <c r="AJ233" i="1"/>
  <c r="AM233" i="1"/>
  <c r="AJ174" i="1"/>
  <c r="AK174" i="1"/>
  <c r="AL174" i="1"/>
  <c r="AM174" i="1"/>
  <c r="AK188" i="1"/>
  <c r="AJ188" i="1"/>
  <c r="AL188" i="1"/>
  <c r="AM188" i="1"/>
  <c r="AP50" i="1"/>
  <c r="AS50" i="1"/>
  <c r="AR50" i="1"/>
  <c r="AV91" i="1" l="1"/>
  <c r="AP104" i="1"/>
  <c r="AS75" i="1"/>
  <c r="CE208" i="1"/>
  <c r="AP72" i="1"/>
  <c r="AW91" i="1"/>
  <c r="AS205" i="1"/>
  <c r="AV106" i="1"/>
  <c r="AT208" i="1"/>
  <c r="AV208" i="1"/>
  <c r="AR107" i="1"/>
  <c r="AQ75" i="1"/>
  <c r="AP205" i="1"/>
  <c r="AQ205" i="1"/>
  <c r="AW97" i="1"/>
  <c r="AO97" i="1"/>
  <c r="AS97" i="1" s="1"/>
  <c r="AO99" i="1"/>
  <c r="AP99" i="1" s="1"/>
  <c r="AP75" i="1"/>
  <c r="AX208" i="1"/>
  <c r="AY208" i="1"/>
  <c r="AX106" i="1"/>
  <c r="AR96" i="1"/>
  <c r="AU96" i="1"/>
  <c r="AV96" i="1" s="1"/>
  <c r="AQ96" i="1"/>
  <c r="AP96" i="1"/>
  <c r="CE96" i="1" s="1"/>
  <c r="AU107" i="1"/>
  <c r="AX107" i="1" s="1"/>
  <c r="AO106" i="1"/>
  <c r="AR106" i="1" s="1"/>
  <c r="AS107" i="1"/>
  <c r="AP107" i="1"/>
  <c r="AS72" i="1"/>
  <c r="AW106" i="1"/>
  <c r="AS77" i="1"/>
  <c r="AP108" i="1"/>
  <c r="AR108" i="1"/>
  <c r="AS108" i="1"/>
  <c r="AR77" i="1"/>
  <c r="AP77" i="1"/>
  <c r="AQ212" i="1"/>
  <c r="AR72" i="1"/>
  <c r="AS212" i="1"/>
  <c r="AP212" i="1"/>
  <c r="AP60" i="1"/>
  <c r="AR60" i="1"/>
  <c r="AS60" i="1"/>
  <c r="AX98" i="1"/>
  <c r="AY98" i="1"/>
  <c r="AO98" i="1"/>
  <c r="AR98" i="1" s="1"/>
  <c r="AW98" i="1"/>
  <c r="AY20" i="1"/>
  <c r="AW20" i="1"/>
  <c r="AX20" i="1"/>
  <c r="AT210" i="1"/>
  <c r="CF210" i="1" s="1"/>
  <c r="AQ126" i="1"/>
  <c r="AS126" i="1"/>
  <c r="AP126" i="1"/>
  <c r="AR126" i="1"/>
  <c r="AX126" i="1"/>
  <c r="AV126" i="1"/>
  <c r="AY126" i="1"/>
  <c r="AP109" i="1"/>
  <c r="CE36" i="1"/>
  <c r="CE44" i="1"/>
  <c r="AT56" i="1"/>
  <c r="AZ56" i="1" s="1"/>
  <c r="BC56" i="1" s="1"/>
  <c r="CG56" i="1" s="1"/>
  <c r="AW74" i="1"/>
  <c r="AT36" i="1"/>
  <c r="AT201" i="1"/>
  <c r="AZ201" i="1" s="1"/>
  <c r="BC201" i="1" s="1"/>
  <c r="AR134" i="1"/>
  <c r="CF78" i="1"/>
  <c r="AY202" i="1"/>
  <c r="CD225" i="1"/>
  <c r="CE56" i="1"/>
  <c r="AZ78" i="1"/>
  <c r="BC78" i="1" s="1"/>
  <c r="BF78" i="1" s="1"/>
  <c r="AX36" i="1"/>
  <c r="AT44" i="1"/>
  <c r="AZ44" i="1" s="1"/>
  <c r="BC44" i="1" s="1"/>
  <c r="CG44" i="1" s="1"/>
  <c r="CE156" i="1"/>
  <c r="AQ109" i="1"/>
  <c r="AS109" i="1"/>
  <c r="AW135" i="1"/>
  <c r="AY36" i="1"/>
  <c r="AV36" i="1"/>
  <c r="AN222" i="1"/>
  <c r="AU222" i="1" s="1"/>
  <c r="AW222" i="1" s="1"/>
  <c r="AN250" i="1"/>
  <c r="AU250" i="1" s="1"/>
  <c r="CD249" i="1"/>
  <c r="AT74" i="1"/>
  <c r="AO23" i="1"/>
  <c r="AS23" i="1" s="1"/>
  <c r="CE144" i="1"/>
  <c r="AN256" i="1"/>
  <c r="AU256" i="1" s="1"/>
  <c r="AV202" i="1"/>
  <c r="AT32" i="1"/>
  <c r="AZ32" i="1" s="1"/>
  <c r="BC32" i="1" s="1"/>
  <c r="BD32" i="1" s="1"/>
  <c r="AW202" i="1"/>
  <c r="CE136" i="1"/>
  <c r="AN238" i="1"/>
  <c r="AU238" i="1" s="1"/>
  <c r="AS132" i="1"/>
  <c r="AS13" i="1"/>
  <c r="CE13" i="1" s="1"/>
  <c r="AQ13" i="1"/>
  <c r="AS100" i="1"/>
  <c r="AN254" i="1"/>
  <c r="AU254" i="1" s="1"/>
  <c r="CE32" i="1"/>
  <c r="AT61" i="1"/>
  <c r="AP94" i="1"/>
  <c r="AY158" i="1"/>
  <c r="AV89" i="1"/>
  <c r="AX59" i="1"/>
  <c r="AV74" i="1"/>
  <c r="AV199" i="1"/>
  <c r="AX81" i="1"/>
  <c r="AT14" i="1"/>
  <c r="AW59" i="1"/>
  <c r="AQ15" i="1"/>
  <c r="AY74" i="1"/>
  <c r="AQ35" i="1"/>
  <c r="AP15" i="1"/>
  <c r="AP132" i="1"/>
  <c r="AT136" i="1"/>
  <c r="AZ136" i="1" s="1"/>
  <c r="BC136" i="1" s="1"/>
  <c r="BF136" i="1" s="1"/>
  <c r="AY61" i="1"/>
  <c r="AZ130" i="1"/>
  <c r="BC130" i="1" s="1"/>
  <c r="BG130" i="1" s="1"/>
  <c r="AY89" i="1"/>
  <c r="AS15" i="1"/>
  <c r="AQ132" i="1"/>
  <c r="AV81" i="1"/>
  <c r="AR13" i="1"/>
  <c r="AX89" i="1"/>
  <c r="AY81" i="1"/>
  <c r="AW61" i="1"/>
  <c r="AV61" i="1"/>
  <c r="AP87" i="1"/>
  <c r="CF130" i="1"/>
  <c r="AT156" i="1"/>
  <c r="CF156" i="1" s="1"/>
  <c r="CE48" i="1"/>
  <c r="AN165" i="1"/>
  <c r="AU165" i="1" s="1"/>
  <c r="AS86" i="1"/>
  <c r="CD170" i="1"/>
  <c r="AS131" i="1"/>
  <c r="CE28" i="1"/>
  <c r="CE61" i="1"/>
  <c r="AQ131" i="1"/>
  <c r="AN193" i="1"/>
  <c r="AO193" i="1" s="1"/>
  <c r="AR193" i="1" s="1"/>
  <c r="AV144" i="1"/>
  <c r="AX144" i="1"/>
  <c r="CE201" i="1"/>
  <c r="AY144" i="1"/>
  <c r="CE206" i="1"/>
  <c r="AQ148" i="1"/>
  <c r="CD173" i="1"/>
  <c r="AY28" i="1"/>
  <c r="AV28" i="1"/>
  <c r="CE202" i="1"/>
  <c r="AW146" i="1"/>
  <c r="AX28" i="1"/>
  <c r="AT139" i="1"/>
  <c r="AZ139" i="1" s="1"/>
  <c r="BC139" i="1" s="1"/>
  <c r="AY37" i="1"/>
  <c r="AN253" i="1"/>
  <c r="AU253" i="1" s="1"/>
  <c r="AY253" i="1" s="1"/>
  <c r="AT146" i="1"/>
  <c r="AX158" i="1"/>
  <c r="AW158" i="1"/>
  <c r="AX68" i="1"/>
  <c r="AX215" i="1"/>
  <c r="AP131" i="1"/>
  <c r="AR94" i="1"/>
  <c r="CF141" i="1"/>
  <c r="AS94" i="1"/>
  <c r="AW215" i="1"/>
  <c r="AN228" i="1"/>
  <c r="AU228" i="1" s="1"/>
  <c r="AV228" i="1" s="1"/>
  <c r="CD259" i="1"/>
  <c r="AN251" i="1"/>
  <c r="AU251" i="1" s="1"/>
  <c r="AV251" i="1" s="1"/>
  <c r="AP68" i="1"/>
  <c r="AY146" i="1"/>
  <c r="AR68" i="1"/>
  <c r="AR83" i="1"/>
  <c r="AQ93" i="1"/>
  <c r="AS127" i="1"/>
  <c r="AQ87" i="1"/>
  <c r="AS18" i="1"/>
  <c r="AS93" i="1"/>
  <c r="AT93" i="1" s="1"/>
  <c r="AP127" i="1"/>
  <c r="AR127" i="1"/>
  <c r="AT137" i="1"/>
  <c r="AS68" i="1"/>
  <c r="AP83" i="1"/>
  <c r="AT83" i="1" s="1"/>
  <c r="AP148" i="1"/>
  <c r="AT79" i="1"/>
  <c r="AS87" i="1"/>
  <c r="AQ83" i="1"/>
  <c r="AS148" i="1"/>
  <c r="AX146" i="1"/>
  <c r="AT88" i="1"/>
  <c r="CF88" i="1" s="1"/>
  <c r="CE14" i="1"/>
  <c r="AN261" i="1"/>
  <c r="AU261" i="1" s="1"/>
  <c r="AV261" i="1" s="1"/>
  <c r="AT70" i="1"/>
  <c r="AN192" i="1"/>
  <c r="AU192" i="1" s="1"/>
  <c r="AT84" i="1"/>
  <c r="AZ84" i="1" s="1"/>
  <c r="BC84" i="1" s="1"/>
  <c r="AP67" i="1"/>
  <c r="AP116" i="1"/>
  <c r="AN197" i="1"/>
  <c r="AO197" i="1" s="1"/>
  <c r="AP197" i="1" s="1"/>
  <c r="CE84" i="1"/>
  <c r="AT91" i="1"/>
  <c r="AT45" i="1"/>
  <c r="AZ45" i="1" s="1"/>
  <c r="BC45" i="1" s="1"/>
  <c r="AS116" i="1"/>
  <c r="CD192" i="1"/>
  <c r="AV49" i="1"/>
  <c r="AP51" i="1"/>
  <c r="AN247" i="1"/>
  <c r="AU247" i="1" s="1"/>
  <c r="AS221" i="1"/>
  <c r="AW49" i="1"/>
  <c r="AN236" i="1"/>
  <c r="AU236" i="1" s="1"/>
  <c r="AS51" i="1"/>
  <c r="CD261" i="1"/>
  <c r="AV48" i="1"/>
  <c r="AP221" i="1"/>
  <c r="AY49" i="1"/>
  <c r="AQ116" i="1"/>
  <c r="AY34" i="1"/>
  <c r="AR51" i="1"/>
  <c r="AY149" i="1"/>
  <c r="AQ221" i="1"/>
  <c r="AV215" i="1"/>
  <c r="AY48" i="1"/>
  <c r="AW48" i="1"/>
  <c r="AP86" i="1"/>
  <c r="AV149" i="1"/>
  <c r="CE137" i="1"/>
  <c r="CE91" i="1"/>
  <c r="AR93" i="1"/>
  <c r="AV14" i="1"/>
  <c r="CD228" i="1"/>
  <c r="AW149" i="1"/>
  <c r="AT215" i="1"/>
  <c r="AV37" i="1"/>
  <c r="AQ118" i="1"/>
  <c r="AX14" i="1"/>
  <c r="AY70" i="1"/>
  <c r="AV57" i="1"/>
  <c r="AV83" i="1"/>
  <c r="AP118" i="1"/>
  <c r="AN230" i="1"/>
  <c r="AU230" i="1" s="1"/>
  <c r="AZ141" i="1"/>
  <c r="BC141" i="1" s="1"/>
  <c r="BG141" i="1" s="1"/>
  <c r="AV70" i="1"/>
  <c r="AW14" i="1"/>
  <c r="AS143" i="1"/>
  <c r="AW70" i="1"/>
  <c r="CE220" i="1"/>
  <c r="AS118" i="1"/>
  <c r="AQ143" i="1"/>
  <c r="AT147" i="1"/>
  <c r="CF147" i="1" s="1"/>
  <c r="AP143" i="1"/>
  <c r="CE139" i="1"/>
  <c r="CE213" i="1"/>
  <c r="AN191" i="1"/>
  <c r="AO191" i="1" s="1"/>
  <c r="AP191" i="1" s="1"/>
  <c r="AV79" i="1"/>
  <c r="AX79" i="1"/>
  <c r="AY79" i="1"/>
  <c r="AN229" i="1"/>
  <c r="AO229" i="1" s="1"/>
  <c r="AR229" i="1" s="1"/>
  <c r="AP100" i="1"/>
  <c r="CE55" i="1"/>
  <c r="CD229" i="1"/>
  <c r="AQ134" i="1"/>
  <c r="AP27" i="1"/>
  <c r="AS27" i="1"/>
  <c r="CD226" i="1"/>
  <c r="AR27" i="1"/>
  <c r="AR100" i="1"/>
  <c r="AR35" i="1"/>
  <c r="AQ34" i="1"/>
  <c r="CD246" i="1"/>
  <c r="AY213" i="1"/>
  <c r="AS134" i="1"/>
  <c r="AT134" i="1" s="1"/>
  <c r="AY135" i="1"/>
  <c r="AW199" i="1"/>
  <c r="AV213" i="1"/>
  <c r="AV135" i="1"/>
  <c r="AS35" i="1"/>
  <c r="AT35" i="1" s="1"/>
  <c r="CF35" i="1" s="1"/>
  <c r="CE219" i="1"/>
  <c r="AR10" i="1"/>
  <c r="AY199" i="1"/>
  <c r="AX213" i="1"/>
  <c r="AT89" i="1"/>
  <c r="AS49" i="1"/>
  <c r="AS10" i="1"/>
  <c r="AR86" i="1"/>
  <c r="AR34" i="1"/>
  <c r="AN163" i="1"/>
  <c r="AO163" i="1" s="1"/>
  <c r="AR163" i="1" s="1"/>
  <c r="CD194" i="1"/>
  <c r="AW24" i="1"/>
  <c r="AV30" i="1"/>
  <c r="AS73" i="1"/>
  <c r="CE45" i="1"/>
  <c r="CE20" i="1"/>
  <c r="AQ211" i="1"/>
  <c r="AY30" i="1"/>
  <c r="AS117" i="1"/>
  <c r="AP34" i="1"/>
  <c r="AT34" i="1" s="1"/>
  <c r="AR49" i="1"/>
  <c r="CD252" i="1"/>
  <c r="AN255" i="1"/>
  <c r="AU255" i="1" s="1"/>
  <c r="AP73" i="1"/>
  <c r="AP117" i="1"/>
  <c r="AR73" i="1"/>
  <c r="AT213" i="1"/>
  <c r="AP10" i="1"/>
  <c r="AX50" i="1"/>
  <c r="AV50" i="1"/>
  <c r="AW117" i="1"/>
  <c r="CF159" i="1"/>
  <c r="AV206" i="1"/>
  <c r="AP211" i="1"/>
  <c r="AP49" i="1"/>
  <c r="CD258" i="1"/>
  <c r="AY206" i="1"/>
  <c r="AS211" i="1"/>
  <c r="AW30" i="1"/>
  <c r="AY50" i="1"/>
  <c r="CD230" i="1"/>
  <c r="AS37" i="1"/>
  <c r="AW206" i="1"/>
  <c r="AN171" i="1"/>
  <c r="AO171" i="1" s="1"/>
  <c r="AS171" i="1" s="1"/>
  <c r="AW207" i="1"/>
  <c r="AT52" i="1"/>
  <c r="CF52" i="1" s="1"/>
  <c r="AW217" i="1"/>
  <c r="AX33" i="1"/>
  <c r="AR198" i="1"/>
  <c r="CD237" i="1"/>
  <c r="CE81" i="1"/>
  <c r="CD254" i="1"/>
  <c r="AQ11" i="1"/>
  <c r="AS11" i="1"/>
  <c r="AP11" i="1"/>
  <c r="AR11" i="1"/>
  <c r="CE88" i="1"/>
  <c r="AV31" i="1"/>
  <c r="AY137" i="1"/>
  <c r="AW31" i="1"/>
  <c r="AT20" i="1"/>
  <c r="AV18" i="1"/>
  <c r="AR37" i="1"/>
  <c r="AN167" i="1"/>
  <c r="AU167" i="1" s="1"/>
  <c r="AY31" i="1"/>
  <c r="AQ67" i="1"/>
  <c r="AW18" i="1"/>
  <c r="AP37" i="1"/>
  <c r="AU11" i="1"/>
  <c r="AW11" i="1" s="1"/>
  <c r="CE135" i="1"/>
  <c r="AY18" i="1"/>
  <c r="AS67" i="1"/>
  <c r="AV117" i="1"/>
  <c r="AP18" i="1"/>
  <c r="AW103" i="1"/>
  <c r="AX218" i="1"/>
  <c r="AT220" i="1"/>
  <c r="AV103" i="1"/>
  <c r="AW137" i="1"/>
  <c r="AX137" i="1"/>
  <c r="AQ62" i="1"/>
  <c r="AR62" i="1"/>
  <c r="AR117" i="1"/>
  <c r="AY103" i="1"/>
  <c r="AS62" i="1"/>
  <c r="CE62" i="1" s="1"/>
  <c r="AV161" i="1"/>
  <c r="AQ18" i="1"/>
  <c r="AN237" i="1"/>
  <c r="AU237" i="1" s="1"/>
  <c r="AY237" i="1" s="1"/>
  <c r="CE52" i="1"/>
  <c r="CE30" i="1"/>
  <c r="AT31" i="1"/>
  <c r="AN248" i="1"/>
  <c r="AU248" i="1" s="1"/>
  <c r="AN258" i="1"/>
  <c r="AU258" i="1" s="1"/>
  <c r="AW133" i="1"/>
  <c r="AW138" i="1"/>
  <c r="AW128" i="1"/>
  <c r="AW63" i="1"/>
  <c r="CD167" i="1"/>
  <c r="CE147" i="1"/>
  <c r="AV120" i="1"/>
  <c r="AQ138" i="1"/>
  <c r="AY120" i="1"/>
  <c r="AN245" i="1"/>
  <c r="AU245" i="1" s="1"/>
  <c r="AY245" i="1" s="1"/>
  <c r="AN190" i="1"/>
  <c r="AU190" i="1" s="1"/>
  <c r="CE149" i="1"/>
  <c r="CE80" i="1"/>
  <c r="CE70" i="1"/>
  <c r="AR76" i="1"/>
  <c r="AY63" i="1"/>
  <c r="AX26" i="1"/>
  <c r="AT219" i="1"/>
  <c r="CF219" i="1" s="1"/>
  <c r="AV63" i="1"/>
  <c r="AW120" i="1"/>
  <c r="AW209" i="1"/>
  <c r="AT81" i="1"/>
  <c r="AT149" i="1"/>
  <c r="AQ59" i="1"/>
  <c r="AY200" i="1"/>
  <c r="AV200" i="1"/>
  <c r="AX200" i="1"/>
  <c r="AW200" i="1"/>
  <c r="AP59" i="1"/>
  <c r="AR24" i="1"/>
  <c r="CD243" i="1"/>
  <c r="AQ200" i="1"/>
  <c r="AS200" i="1"/>
  <c r="AP200" i="1"/>
  <c r="AR200" i="1"/>
  <c r="AS59" i="1"/>
  <c r="CD260" i="1"/>
  <c r="AQ29" i="1"/>
  <c r="AT80" i="1"/>
  <c r="CF80" i="1" s="1"/>
  <c r="AR158" i="1"/>
  <c r="AQ158" i="1"/>
  <c r="AP158" i="1"/>
  <c r="AT158" i="1" s="1"/>
  <c r="CD190" i="1"/>
  <c r="AN189" i="1"/>
  <c r="AU189" i="1" s="1"/>
  <c r="AY189" i="1" s="1"/>
  <c r="AT30" i="1"/>
  <c r="AW214" i="1"/>
  <c r="AR82" i="1"/>
  <c r="AQ57" i="1"/>
  <c r="AV140" i="1"/>
  <c r="AY140" i="1"/>
  <c r="AP214" i="1"/>
  <c r="AS214" i="1"/>
  <c r="AR217" i="1"/>
  <c r="AS217" i="1"/>
  <c r="AP217" i="1"/>
  <c r="AR128" i="1"/>
  <c r="AP128" i="1"/>
  <c r="AS128" i="1"/>
  <c r="AV129" i="1"/>
  <c r="AY129" i="1"/>
  <c r="AW25" i="1"/>
  <c r="AY25" i="1"/>
  <c r="AV25" i="1"/>
  <c r="AQ129" i="1"/>
  <c r="AP129" i="1"/>
  <c r="AS129" i="1"/>
  <c r="AV216" i="1"/>
  <c r="AY216" i="1"/>
  <c r="AY203" i="1"/>
  <c r="AV203" i="1"/>
  <c r="AN260" i="1"/>
  <c r="AU260" i="1" s="1"/>
  <c r="AP140" i="1"/>
  <c r="AS140" i="1"/>
  <c r="AV204" i="1"/>
  <c r="AY204" i="1"/>
  <c r="AQ216" i="1"/>
  <c r="AP216" i="1"/>
  <c r="AS216" i="1"/>
  <c r="AY145" i="1"/>
  <c r="AV145" i="1"/>
  <c r="AQ203" i="1"/>
  <c r="AP203" i="1"/>
  <c r="AS203" i="1"/>
  <c r="AX23" i="1"/>
  <c r="AY23" i="1"/>
  <c r="AV23" i="1"/>
  <c r="AR71" i="1"/>
  <c r="AS71" i="1"/>
  <c r="AP71" i="1"/>
  <c r="AY13" i="1"/>
  <c r="AV13" i="1"/>
  <c r="AS57" i="1"/>
  <c r="AW13" i="1"/>
  <c r="AP161" i="1"/>
  <c r="AP57" i="1"/>
  <c r="AY58" i="1"/>
  <c r="CE89" i="1"/>
  <c r="AW29" i="1"/>
  <c r="AR214" i="1"/>
  <c r="AY26" i="1"/>
  <c r="AV26" i="1"/>
  <c r="AV133" i="1"/>
  <c r="AY133" i="1"/>
  <c r="AW142" i="1"/>
  <c r="AT135" i="1"/>
  <c r="AX129" i="1"/>
  <c r="AR22" i="1"/>
  <c r="AP22" i="1"/>
  <c r="AS22" i="1"/>
  <c r="AW71" i="1"/>
  <c r="AS198" i="1"/>
  <c r="AP198" i="1"/>
  <c r="AS218" i="1"/>
  <c r="AP218" i="1"/>
  <c r="AS161" i="1"/>
  <c r="AY93" i="1"/>
  <c r="AO246" i="1"/>
  <c r="AS246" i="1" s="1"/>
  <c r="AN257" i="1"/>
  <c r="AU257" i="1" s="1"/>
  <c r="AN223" i="1"/>
  <c r="AU223" i="1" s="1"/>
  <c r="AV58" i="1"/>
  <c r="AY138" i="1"/>
  <c r="AV138" i="1"/>
  <c r="AY24" i="1"/>
  <c r="AV24" i="1"/>
  <c r="AQ128" i="1"/>
  <c r="AR218" i="1"/>
  <c r="AY22" i="1"/>
  <c r="AV22" i="1"/>
  <c r="AQ71" i="1"/>
  <c r="AX82" i="1"/>
  <c r="AW76" i="1"/>
  <c r="AR145" i="1"/>
  <c r="AS145" i="1"/>
  <c r="AP145" i="1"/>
  <c r="AX25" i="1"/>
  <c r="AQ142" i="1"/>
  <c r="AP142" i="1"/>
  <c r="AS142" i="1"/>
  <c r="AQ25" i="1"/>
  <c r="AS25" i="1"/>
  <c r="AP25" i="1"/>
  <c r="AN231" i="1"/>
  <c r="AU231" i="1" s="1"/>
  <c r="AN243" i="1"/>
  <c r="AU243" i="1" s="1"/>
  <c r="AY243" i="1" s="1"/>
  <c r="AX58" i="1"/>
  <c r="CE199" i="1"/>
  <c r="AT199" i="1"/>
  <c r="AV209" i="1"/>
  <c r="AY209" i="1"/>
  <c r="AR140" i="1"/>
  <c r="AQ204" i="1"/>
  <c r="AS204" i="1"/>
  <c r="AP204" i="1"/>
  <c r="AR26" i="1"/>
  <c r="AS26" i="1"/>
  <c r="AP26" i="1"/>
  <c r="AQ133" i="1"/>
  <c r="AP133" i="1"/>
  <c r="AS133" i="1"/>
  <c r="AP138" i="1"/>
  <c r="AS138" i="1"/>
  <c r="AR142" i="1"/>
  <c r="AS24" i="1"/>
  <c r="AP24" i="1"/>
  <c r="AQ218" i="1"/>
  <c r="AW129" i="1"/>
  <c r="AV33" i="1"/>
  <c r="AY33" i="1"/>
  <c r="AR216" i="1"/>
  <c r="AW22" i="1"/>
  <c r="AW198" i="1"/>
  <c r="AV198" i="1"/>
  <c r="AY198" i="1"/>
  <c r="AX203" i="1"/>
  <c r="AY207" i="1"/>
  <c r="AV207" i="1"/>
  <c r="AW23" i="1"/>
  <c r="AY29" i="1"/>
  <c r="AV29" i="1"/>
  <c r="AQ140" i="1"/>
  <c r="AQ214" i="1"/>
  <c r="AQ217" i="1"/>
  <c r="AY142" i="1"/>
  <c r="AV142" i="1"/>
  <c r="AR129" i="1"/>
  <c r="AX216" i="1"/>
  <c r="AV71" i="1"/>
  <c r="AY71" i="1"/>
  <c r="AV82" i="1"/>
  <c r="AY82" i="1"/>
  <c r="AV76" i="1"/>
  <c r="AY76" i="1"/>
  <c r="AR203" i="1"/>
  <c r="AR161" i="1"/>
  <c r="CD253" i="1"/>
  <c r="AQ209" i="1"/>
  <c r="AP209" i="1"/>
  <c r="AS209" i="1"/>
  <c r="AS29" i="1"/>
  <c r="AP29" i="1"/>
  <c r="AW140" i="1"/>
  <c r="AW204" i="1"/>
  <c r="AY214" i="1"/>
  <c r="AV214" i="1"/>
  <c r="AV217" i="1"/>
  <c r="AY217" i="1"/>
  <c r="AV128" i="1"/>
  <c r="AY128" i="1"/>
  <c r="AY218" i="1"/>
  <c r="AV218" i="1"/>
  <c r="AR33" i="1"/>
  <c r="AP33" i="1"/>
  <c r="AS33" i="1"/>
  <c r="AW216" i="1"/>
  <c r="AP82" i="1"/>
  <c r="AS82" i="1"/>
  <c r="AS76" i="1"/>
  <c r="AP76" i="1"/>
  <c r="AX145" i="1"/>
  <c r="AW203" i="1"/>
  <c r="AR207" i="1"/>
  <c r="AP207" i="1"/>
  <c r="AS207" i="1"/>
  <c r="AU170" i="1"/>
  <c r="AY170" i="1" s="1"/>
  <c r="AP63" i="1"/>
  <c r="AS63" i="1"/>
  <c r="AQ63" i="1"/>
  <c r="AR63" i="1"/>
  <c r="AO240" i="1"/>
  <c r="AQ240" i="1" s="1"/>
  <c r="AU240" i="1"/>
  <c r="AY240" i="1" s="1"/>
  <c r="AX93" i="1"/>
  <c r="AW93" i="1"/>
  <c r="AS120" i="1"/>
  <c r="AP120" i="1"/>
  <c r="AQ120" i="1"/>
  <c r="AV19" i="1"/>
  <c r="AY160" i="1"/>
  <c r="CD251" i="1"/>
  <c r="CD196" i="1"/>
  <c r="CD182" i="1"/>
  <c r="AX117" i="1"/>
  <c r="CD245" i="1"/>
  <c r="CD255" i="1"/>
  <c r="AV124" i="1"/>
  <c r="CD189" i="1"/>
  <c r="CD165" i="1"/>
  <c r="CD171" i="1"/>
  <c r="AT101" i="1"/>
  <c r="CF101" i="1" s="1"/>
  <c r="AY122" i="1"/>
  <c r="AV99" i="1"/>
  <c r="CD191" i="1"/>
  <c r="AY90" i="1"/>
  <c r="CD187" i="1"/>
  <c r="AT38" i="1"/>
  <c r="AZ38" i="1" s="1"/>
  <c r="BC38" i="1" s="1"/>
  <c r="BI38" i="1" s="1"/>
  <c r="AZ159" i="1"/>
  <c r="BC159" i="1" s="1"/>
  <c r="AX37" i="1"/>
  <c r="AV54" i="1"/>
  <c r="CD169" i="1"/>
  <c r="AT65" i="1"/>
  <c r="CF65" i="1" s="1"/>
  <c r="CF55" i="1"/>
  <c r="AV62" i="1"/>
  <c r="AY68" i="1"/>
  <c r="AY157" i="1"/>
  <c r="AW40" i="1"/>
  <c r="AV12" i="1"/>
  <c r="AV152" i="1"/>
  <c r="AV151" i="1"/>
  <c r="AY59" i="1"/>
  <c r="AY17" i="1"/>
  <c r="AT114" i="1"/>
  <c r="CF114" i="1" s="1"/>
  <c r="AY16" i="1"/>
  <c r="AV110" i="1"/>
  <c r="AV51" i="1"/>
  <c r="AY94" i="1"/>
  <c r="AV10" i="1"/>
  <c r="AT104" i="1"/>
  <c r="CF104" i="1" s="1"/>
  <c r="AT123" i="1"/>
  <c r="CF123" i="1" s="1"/>
  <c r="AT53" i="1"/>
  <c r="CF53" i="1" s="1"/>
  <c r="AY57" i="1"/>
  <c r="AX57" i="1"/>
  <c r="AY62" i="1"/>
  <c r="AV68" i="1"/>
  <c r="AY97" i="1"/>
  <c r="AW110" i="1"/>
  <c r="AV112" i="1"/>
  <c r="AX16" i="1"/>
  <c r="AX97" i="1"/>
  <c r="AV17" i="1"/>
  <c r="AV16" i="1"/>
  <c r="AY110" i="1"/>
  <c r="AY51" i="1"/>
  <c r="AX51" i="1"/>
  <c r="AX62" i="1"/>
  <c r="AY100" i="1"/>
  <c r="AY54" i="1"/>
  <c r="AX100" i="1"/>
  <c r="AX17" i="1"/>
  <c r="CE104" i="1"/>
  <c r="CE114" i="1"/>
  <c r="CD176" i="1"/>
  <c r="CE50" i="1"/>
  <c r="AN233" i="1"/>
  <c r="AO233" i="1" s="1"/>
  <c r="AR233" i="1" s="1"/>
  <c r="CD183" i="1"/>
  <c r="AT155" i="1"/>
  <c r="CF155" i="1" s="1"/>
  <c r="CE46" i="1"/>
  <c r="CE95" i="1"/>
  <c r="CD175" i="1"/>
  <c r="CD224" i="1"/>
  <c r="CD235" i="1"/>
  <c r="CD166" i="1"/>
  <c r="CD244" i="1"/>
  <c r="CD185" i="1"/>
  <c r="CD241" i="1"/>
  <c r="CD172" i="1"/>
  <c r="CD234" i="1"/>
  <c r="CE58" i="1"/>
  <c r="CD195" i="1"/>
  <c r="CE66" i="1"/>
  <c r="CE92" i="1"/>
  <c r="CD177" i="1"/>
  <c r="CD188" i="1"/>
  <c r="CD174" i="1"/>
  <c r="CD178" i="1"/>
  <c r="CD242" i="1"/>
  <c r="CE150" i="1"/>
  <c r="CD179" i="1"/>
  <c r="CD180" i="1"/>
  <c r="CE111" i="1"/>
  <c r="CD227" i="1"/>
  <c r="AN162" i="1"/>
  <c r="AO162" i="1" s="1"/>
  <c r="CE65" i="1"/>
  <c r="AN186" i="1"/>
  <c r="AU186" i="1" s="1"/>
  <c r="CD181" i="1"/>
  <c r="CE123" i="1"/>
  <c r="CE101" i="1"/>
  <c r="CE155" i="1"/>
  <c r="CE103" i="1"/>
  <c r="CD164" i="1"/>
  <c r="CE41" i="1"/>
  <c r="CE53" i="1"/>
  <c r="CD232" i="1"/>
  <c r="CE39" i="1"/>
  <c r="AT21" i="1"/>
  <c r="AN239" i="1"/>
  <c r="AU239" i="1" s="1"/>
  <c r="AN168" i="1"/>
  <c r="AU168" i="1" s="1"/>
  <c r="AN184" i="1"/>
  <c r="AU184" i="1" s="1"/>
  <c r="AQ113" i="1"/>
  <c r="AT121" i="1"/>
  <c r="AW34" i="1"/>
  <c r="AX34" i="1"/>
  <c r="CE21" i="1"/>
  <c r="CD162" i="1"/>
  <c r="CD239" i="1"/>
  <c r="CE38" i="1"/>
  <c r="CD233" i="1"/>
  <c r="CD168" i="1"/>
  <c r="AN188" i="1"/>
  <c r="AU188" i="1" s="1"/>
  <c r="AT46" i="1"/>
  <c r="AT39" i="1"/>
  <c r="AW83" i="1"/>
  <c r="AX83" i="1"/>
  <c r="AW94" i="1"/>
  <c r="AX94" i="1"/>
  <c r="AX10" i="1"/>
  <c r="AW10" i="1"/>
  <c r="AX161" i="1"/>
  <c r="AW161" i="1"/>
  <c r="CD186" i="1"/>
  <c r="CE121" i="1"/>
  <c r="CD184" i="1"/>
  <c r="AN183" i="1"/>
  <c r="AU183" i="1" s="1"/>
  <c r="AN244" i="1"/>
  <c r="AU244" i="1" s="1"/>
  <c r="AQ153" i="1"/>
  <c r="AQ64" i="1"/>
  <c r="AN177" i="1"/>
  <c r="AU177" i="1" s="1"/>
  <c r="AN181" i="1"/>
  <c r="AU181" i="1" s="1"/>
  <c r="AX112" i="1"/>
  <c r="AN178" i="1"/>
  <c r="AU178" i="1" s="1"/>
  <c r="AN242" i="1"/>
  <c r="AU242" i="1" s="1"/>
  <c r="AO259" i="1"/>
  <c r="AW259" i="1"/>
  <c r="AX19" i="1"/>
  <c r="AW19" i="1"/>
  <c r="AX115" i="1"/>
  <c r="AW115" i="1"/>
  <c r="AW99" i="1"/>
  <c r="AX99" i="1"/>
  <c r="AS122" i="1"/>
  <c r="AR122" i="1"/>
  <c r="AP122" i="1"/>
  <c r="AQ122" i="1"/>
  <c r="AQ90" i="1"/>
  <c r="AS90" i="1"/>
  <c r="AR90" i="1"/>
  <c r="AP90" i="1"/>
  <c r="AS16" i="1"/>
  <c r="AR16" i="1"/>
  <c r="AQ16" i="1"/>
  <c r="AP16" i="1"/>
  <c r="AS12" i="1"/>
  <c r="AP12" i="1"/>
  <c r="AR12" i="1"/>
  <c r="AQ12" i="1"/>
  <c r="AP151" i="1"/>
  <c r="AQ151" i="1"/>
  <c r="AS151" i="1"/>
  <c r="AR151" i="1"/>
  <c r="AO225" i="1"/>
  <c r="AX225" i="1"/>
  <c r="AP19" i="1"/>
  <c r="AR19" i="1"/>
  <c r="AS19" i="1"/>
  <c r="AQ19" i="1"/>
  <c r="AQ115" i="1"/>
  <c r="AS115" i="1"/>
  <c r="AP115" i="1"/>
  <c r="AR115" i="1"/>
  <c r="AQ54" i="1"/>
  <c r="AP54" i="1"/>
  <c r="AS54" i="1"/>
  <c r="AR54" i="1"/>
  <c r="AW157" i="1"/>
  <c r="AX157" i="1"/>
  <c r="AW160" i="1"/>
  <c r="AX160" i="1"/>
  <c r="AX152" i="1"/>
  <c r="AW152" i="1"/>
  <c r="AN227" i="1"/>
  <c r="AU227" i="1" s="1"/>
  <c r="AN176" i="1"/>
  <c r="AU176" i="1" s="1"/>
  <c r="AQ157" i="1"/>
  <c r="AR157" i="1"/>
  <c r="AS157" i="1"/>
  <c r="AP157" i="1"/>
  <c r="AW124" i="1"/>
  <c r="AX124" i="1"/>
  <c r="AR160" i="1"/>
  <c r="AS160" i="1"/>
  <c r="AP160" i="1"/>
  <c r="AQ160" i="1"/>
  <c r="AQ110" i="1"/>
  <c r="AR110" i="1"/>
  <c r="AP110" i="1"/>
  <c r="AS110" i="1"/>
  <c r="AS152" i="1"/>
  <c r="AR152" i="1"/>
  <c r="AP152" i="1"/>
  <c r="AQ152" i="1"/>
  <c r="AS17" i="1"/>
  <c r="AQ17" i="1"/>
  <c r="AP17" i="1"/>
  <c r="AR17" i="1"/>
  <c r="AS112" i="1"/>
  <c r="AQ112" i="1"/>
  <c r="AR112" i="1"/>
  <c r="AP112" i="1"/>
  <c r="AS124" i="1"/>
  <c r="AQ124" i="1"/>
  <c r="AP124" i="1"/>
  <c r="AR124" i="1"/>
  <c r="AX12" i="1"/>
  <c r="AW12" i="1"/>
  <c r="AX151" i="1"/>
  <c r="AW151" i="1"/>
  <c r="BJ55" i="1"/>
  <c r="BK55" i="1" s="1"/>
  <c r="BL55" i="1" s="1"/>
  <c r="BM55" i="1" s="1"/>
  <c r="BE55" i="1"/>
  <c r="BG55" i="1"/>
  <c r="BF55" i="1"/>
  <c r="BI55" i="1"/>
  <c r="BD55" i="1"/>
  <c r="CG48" i="1"/>
  <c r="CG14" i="1"/>
  <c r="AN169" i="1"/>
  <c r="AW113" i="1"/>
  <c r="AW125" i="1"/>
  <c r="AN187" i="1"/>
  <c r="AU187" i="1" s="1"/>
  <c r="AX259" i="1"/>
  <c r="AT50" i="1"/>
  <c r="AN174" i="1"/>
  <c r="AW69" i="1"/>
  <c r="AN185" i="1"/>
  <c r="AN234" i="1"/>
  <c r="AW43" i="1"/>
  <c r="AT66" i="1"/>
  <c r="AT111" i="1"/>
  <c r="AT41" i="1"/>
  <c r="CF41" i="1" s="1"/>
  <c r="AX85" i="1"/>
  <c r="AN241" i="1"/>
  <c r="AN172" i="1"/>
  <c r="AW64" i="1"/>
  <c r="AT103" i="1"/>
  <c r="AN224" i="1"/>
  <c r="AU224" i="1" s="1"/>
  <c r="AV69" i="1"/>
  <c r="AY69" i="1"/>
  <c r="AT58" i="1"/>
  <c r="AP43" i="1"/>
  <c r="AS43" i="1"/>
  <c r="AQ43" i="1"/>
  <c r="AN195" i="1"/>
  <c r="AU195" i="1" s="1"/>
  <c r="AW173" i="1"/>
  <c r="AX173" i="1"/>
  <c r="AO173" i="1"/>
  <c r="AQ173" i="1" s="1"/>
  <c r="AV153" i="1"/>
  <c r="AY153" i="1"/>
  <c r="AS64" i="1"/>
  <c r="AP64" i="1"/>
  <c r="AT92" i="1"/>
  <c r="AP113" i="1"/>
  <c r="AS113" i="1"/>
  <c r="AX194" i="1"/>
  <c r="AO194" i="1"/>
  <c r="AQ194" i="1" s="1"/>
  <c r="AS102" i="1"/>
  <c r="AP102" i="1"/>
  <c r="AW105" i="1"/>
  <c r="AN235" i="1"/>
  <c r="AU235" i="1" s="1"/>
  <c r="AQ85" i="1"/>
  <c r="AP85" i="1"/>
  <c r="AS85" i="1"/>
  <c r="AN196" i="1"/>
  <c r="AU196" i="1" s="1"/>
  <c r="AN232" i="1"/>
  <c r="AU232" i="1" s="1"/>
  <c r="AY42" i="1"/>
  <c r="AV42" i="1"/>
  <c r="AR119" i="1"/>
  <c r="AY119" i="1"/>
  <c r="AV119" i="1"/>
  <c r="AX226" i="1"/>
  <c r="AO226" i="1"/>
  <c r="AY225" i="1"/>
  <c r="AV225" i="1"/>
  <c r="AY102" i="1"/>
  <c r="AV102" i="1"/>
  <c r="AP105" i="1"/>
  <c r="AS105" i="1"/>
  <c r="AQ105" i="1"/>
  <c r="AP125" i="1"/>
  <c r="AS125" i="1"/>
  <c r="AS40" i="1"/>
  <c r="AP40" i="1"/>
  <c r="AY47" i="1"/>
  <c r="AV47" i="1"/>
  <c r="AP69" i="1"/>
  <c r="AS69" i="1"/>
  <c r="AQ69" i="1"/>
  <c r="AY85" i="1"/>
  <c r="AV85" i="1"/>
  <c r="AV43" i="1"/>
  <c r="AY43" i="1"/>
  <c r="AW42" i="1"/>
  <c r="AT150" i="1"/>
  <c r="AW249" i="1"/>
  <c r="AO249" i="1"/>
  <c r="AQ249" i="1" s="1"/>
  <c r="AW252" i="1"/>
  <c r="AO252" i="1"/>
  <c r="AR252" i="1" s="1"/>
  <c r="AN179" i="1"/>
  <c r="AU179" i="1" s="1"/>
  <c r="AS153" i="1"/>
  <c r="AP153" i="1"/>
  <c r="AV64" i="1"/>
  <c r="AY64" i="1"/>
  <c r="AN180" i="1"/>
  <c r="AU180" i="1" s="1"/>
  <c r="AR113" i="1"/>
  <c r="AY113" i="1"/>
  <c r="AV113" i="1"/>
  <c r="AR102" i="1"/>
  <c r="AT95" i="1"/>
  <c r="AR105" i="1"/>
  <c r="AQ125" i="1"/>
  <c r="AN175" i="1"/>
  <c r="AU175" i="1" s="1"/>
  <c r="AN166" i="1"/>
  <c r="AU166" i="1" s="1"/>
  <c r="AR40" i="1"/>
  <c r="AV40" i="1"/>
  <c r="AY40" i="1"/>
  <c r="AW47" i="1"/>
  <c r="AN164" i="1"/>
  <c r="AU164" i="1" s="1"/>
  <c r="AV259" i="1"/>
  <c r="AY259" i="1"/>
  <c r="AR154" i="1"/>
  <c r="AS154" i="1"/>
  <c r="AP154" i="1"/>
  <c r="AW154" i="1"/>
  <c r="AY154" i="1"/>
  <c r="AV154" i="1"/>
  <c r="AS170" i="1"/>
  <c r="AP170" i="1"/>
  <c r="AP42" i="1"/>
  <c r="AS42" i="1"/>
  <c r="AR42" i="1"/>
  <c r="AP119" i="1"/>
  <c r="AS119" i="1"/>
  <c r="AQ170" i="1"/>
  <c r="AY246" i="1"/>
  <c r="AV246" i="1"/>
  <c r="AW225" i="1"/>
  <c r="AX102" i="1"/>
  <c r="AY105" i="1"/>
  <c r="AV105" i="1"/>
  <c r="AY125" i="1"/>
  <c r="AV125" i="1"/>
  <c r="AN182" i="1"/>
  <c r="AU182" i="1" s="1"/>
  <c r="AP47" i="1"/>
  <c r="AS47" i="1"/>
  <c r="AR47" i="1"/>
  <c r="AZ91" i="1" l="1"/>
  <c r="BC91" i="1" s="1"/>
  <c r="CG91" i="1" s="1"/>
  <c r="AT75" i="1"/>
  <c r="AZ75" i="1" s="1"/>
  <c r="BC75" i="1" s="1"/>
  <c r="AQ97" i="1"/>
  <c r="AP97" i="1"/>
  <c r="AR97" i="1"/>
  <c r="CE72" i="1"/>
  <c r="AT205" i="1"/>
  <c r="AZ205" i="1" s="1"/>
  <c r="BC205" i="1" s="1"/>
  <c r="BF205" i="1" s="1"/>
  <c r="CE205" i="1"/>
  <c r="AZ208" i="1"/>
  <c r="BC208" i="1" s="1"/>
  <c r="BF208" i="1" s="1"/>
  <c r="AQ99" i="1"/>
  <c r="AS99" i="1"/>
  <c r="AR99" i="1"/>
  <c r="CE75" i="1"/>
  <c r="CF208" i="1"/>
  <c r="AW107" i="1"/>
  <c r="AT96" i="1"/>
  <c r="AW96" i="1"/>
  <c r="AX96" i="1"/>
  <c r="AY96" i="1"/>
  <c r="AV107" i="1"/>
  <c r="AY107" i="1"/>
  <c r="AT72" i="1"/>
  <c r="CF72" i="1" s="1"/>
  <c r="AT107" i="1"/>
  <c r="AP106" i="1"/>
  <c r="AS106" i="1"/>
  <c r="AQ106" i="1"/>
  <c r="AT108" i="1"/>
  <c r="AZ108" i="1" s="1"/>
  <c r="BC108" i="1" s="1"/>
  <c r="BE108" i="1" s="1"/>
  <c r="AT77" i="1"/>
  <c r="AZ77" i="1" s="1"/>
  <c r="BC77" i="1" s="1"/>
  <c r="BD77" i="1" s="1"/>
  <c r="CE107" i="1"/>
  <c r="CE77" i="1"/>
  <c r="CE212" i="1"/>
  <c r="CE108" i="1"/>
  <c r="AT212" i="1"/>
  <c r="AZ212" i="1" s="1"/>
  <c r="BC212" i="1" s="1"/>
  <c r="AT60" i="1"/>
  <c r="AZ60" i="1" s="1"/>
  <c r="BC60" i="1" s="1"/>
  <c r="BG60" i="1" s="1"/>
  <c r="CE60" i="1"/>
  <c r="AT109" i="1"/>
  <c r="CF109" i="1" s="1"/>
  <c r="AS98" i="1"/>
  <c r="AZ210" i="1"/>
  <c r="BC210" i="1" s="1"/>
  <c r="BD210" i="1" s="1"/>
  <c r="AZ20" i="1"/>
  <c r="BC20" i="1" s="1"/>
  <c r="CG20" i="1" s="1"/>
  <c r="AP98" i="1"/>
  <c r="AQ98" i="1"/>
  <c r="CF56" i="1"/>
  <c r="BJ78" i="1"/>
  <c r="BK78" i="1" s="1"/>
  <c r="BL78" i="1" s="1"/>
  <c r="BM78" i="1" s="1"/>
  <c r="BD78" i="1"/>
  <c r="AT126" i="1"/>
  <c r="CE126" i="1"/>
  <c r="CF201" i="1"/>
  <c r="CE109" i="1"/>
  <c r="BJ32" i="1"/>
  <c r="BK32" i="1" s="1"/>
  <c r="BL32" i="1" s="1"/>
  <c r="BM32" i="1" s="1"/>
  <c r="BG32" i="1"/>
  <c r="CF202" i="1"/>
  <c r="AX222" i="1"/>
  <c r="AV222" i="1"/>
  <c r="AO222" i="1"/>
  <c r="AS222" i="1" s="1"/>
  <c r="AY222" i="1"/>
  <c r="BG78" i="1"/>
  <c r="BE32" i="1"/>
  <c r="CF44" i="1"/>
  <c r="BI32" i="1"/>
  <c r="AO254" i="1"/>
  <c r="AQ254" i="1" s="1"/>
  <c r="AZ36" i="1"/>
  <c r="BC36" i="1" s="1"/>
  <c r="BE36" i="1" s="1"/>
  <c r="AX254" i="1"/>
  <c r="CF136" i="1"/>
  <c r="BI78" i="1"/>
  <c r="BE78" i="1"/>
  <c r="AQ246" i="1"/>
  <c r="CF36" i="1"/>
  <c r="AO238" i="1"/>
  <c r="AR238" i="1" s="1"/>
  <c r="AO223" i="1"/>
  <c r="AQ223" i="1" s="1"/>
  <c r="AW238" i="1"/>
  <c r="AX250" i="1"/>
  <c r="CE87" i="1"/>
  <c r="AW192" i="1"/>
  <c r="AX192" i="1"/>
  <c r="AT100" i="1"/>
  <c r="CF100" i="1" s="1"/>
  <c r="AO250" i="1"/>
  <c r="AQ250" i="1" s="1"/>
  <c r="AV170" i="1"/>
  <c r="AW250" i="1"/>
  <c r="AW165" i="1"/>
  <c r="AV253" i="1"/>
  <c r="AR23" i="1"/>
  <c r="AZ74" i="1"/>
  <c r="BC74" i="1" s="1"/>
  <c r="BI74" i="1" s="1"/>
  <c r="BJ136" i="1"/>
  <c r="BK136" i="1" s="1"/>
  <c r="BL136" i="1" s="1"/>
  <c r="BM136" i="1" s="1"/>
  <c r="AP23" i="1"/>
  <c r="AT23" i="1" s="1"/>
  <c r="AT94" i="1"/>
  <c r="AZ94" i="1" s="1"/>
  <c r="BC94" i="1" s="1"/>
  <c r="CG94" i="1" s="1"/>
  <c r="AQ23" i="1"/>
  <c r="CF28" i="1"/>
  <c r="AO236" i="1"/>
  <c r="AR236" i="1" s="1"/>
  <c r="AT87" i="1"/>
  <c r="AZ87" i="1" s="1"/>
  <c r="BC87" i="1" s="1"/>
  <c r="BE87" i="1" s="1"/>
  <c r="BF130" i="1"/>
  <c r="BE130" i="1"/>
  <c r="AY261" i="1"/>
  <c r="CF32" i="1"/>
  <c r="AW256" i="1"/>
  <c r="AO231" i="1"/>
  <c r="AQ231" i="1" s="1"/>
  <c r="AX231" i="1"/>
  <c r="AP246" i="1"/>
  <c r="CE246" i="1" s="1"/>
  <c r="AX256" i="1"/>
  <c r="AW253" i="1"/>
  <c r="AU193" i="1"/>
  <c r="AW193" i="1" s="1"/>
  <c r="BG136" i="1"/>
  <c r="AO253" i="1"/>
  <c r="AR253" i="1" s="1"/>
  <c r="BE136" i="1"/>
  <c r="BI136" i="1"/>
  <c r="CF74" i="1"/>
  <c r="AX253" i="1"/>
  <c r="AT13" i="1"/>
  <c r="AZ13" i="1" s="1"/>
  <c r="BC13" i="1" s="1"/>
  <c r="BG13" i="1" s="1"/>
  <c r="BD136" i="1"/>
  <c r="AO165" i="1"/>
  <c r="AQ165" i="1" s="1"/>
  <c r="AO256" i="1"/>
  <c r="AR256" i="1" s="1"/>
  <c r="CE94" i="1"/>
  <c r="AX223" i="1"/>
  <c r="BF32" i="1"/>
  <c r="AZ202" i="1"/>
  <c r="BC202" i="1" s="1"/>
  <c r="BI202" i="1" s="1"/>
  <c r="CE132" i="1"/>
  <c r="CF61" i="1"/>
  <c r="BD130" i="1"/>
  <c r="CE15" i="1"/>
  <c r="CE148" i="1"/>
  <c r="AZ61" i="1"/>
  <c r="BC61" i="1" s="1"/>
  <c r="BI61" i="1" s="1"/>
  <c r="CF81" i="1"/>
  <c r="AT15" i="1"/>
  <c r="AZ15" i="1" s="1"/>
  <c r="BC15" i="1" s="1"/>
  <c r="CG15" i="1" s="1"/>
  <c r="AT132" i="1"/>
  <c r="AZ132" i="1" s="1"/>
  <c r="BC132" i="1" s="1"/>
  <c r="AT148" i="1"/>
  <c r="CF148" i="1" s="1"/>
  <c r="AO251" i="1"/>
  <c r="AS251" i="1" s="1"/>
  <c r="AT221" i="1"/>
  <c r="AZ221" i="1" s="1"/>
  <c r="BC221" i="1" s="1"/>
  <c r="BD221" i="1" s="1"/>
  <c r="AO228" i="1"/>
  <c r="AP228" i="1" s="1"/>
  <c r="AY228" i="1"/>
  <c r="AZ156" i="1"/>
  <c r="BC156" i="1" s="1"/>
  <c r="CG156" i="1" s="1"/>
  <c r="BI130" i="1"/>
  <c r="CF139" i="1"/>
  <c r="BJ130" i="1"/>
  <c r="BK130" i="1" s="1"/>
  <c r="BL130" i="1" s="1"/>
  <c r="BM130" i="1" s="1"/>
  <c r="AZ28" i="1"/>
  <c r="BC28" i="1" s="1"/>
  <c r="BI28" i="1" s="1"/>
  <c r="AW236" i="1"/>
  <c r="AO192" i="1"/>
  <c r="AR192" i="1" s="1"/>
  <c r="AZ215" i="1"/>
  <c r="BC215" i="1" s="1"/>
  <c r="BG215" i="1" s="1"/>
  <c r="CF14" i="1"/>
  <c r="AR246" i="1"/>
  <c r="AZ137" i="1"/>
  <c r="BC137" i="1" s="1"/>
  <c r="BE137" i="1" s="1"/>
  <c r="AY251" i="1"/>
  <c r="AZ89" i="1"/>
  <c r="BC89" i="1" s="1"/>
  <c r="CG89" i="1" s="1"/>
  <c r="CE18" i="1"/>
  <c r="CE131" i="1"/>
  <c r="AZ144" i="1"/>
  <c r="BC144" i="1" s="1"/>
  <c r="BD144" i="1" s="1"/>
  <c r="AV245" i="1"/>
  <c r="AZ146" i="1"/>
  <c r="BC146" i="1" s="1"/>
  <c r="BD146" i="1" s="1"/>
  <c r="AO261" i="1"/>
  <c r="AP261" i="1" s="1"/>
  <c r="AS191" i="1"/>
  <c r="CE191" i="1" s="1"/>
  <c r="CE93" i="1"/>
  <c r="CF144" i="1"/>
  <c r="CE86" i="1"/>
  <c r="AO230" i="1"/>
  <c r="AQ230" i="1" s="1"/>
  <c r="AS197" i="1"/>
  <c r="CE197" i="1" s="1"/>
  <c r="AR191" i="1"/>
  <c r="AU191" i="1"/>
  <c r="AW191" i="1" s="1"/>
  <c r="AQ191" i="1"/>
  <c r="AW230" i="1"/>
  <c r="BJ56" i="1"/>
  <c r="BK56" i="1" s="1"/>
  <c r="BL56" i="1" s="1"/>
  <c r="BM56" i="1" s="1"/>
  <c r="CF89" i="1"/>
  <c r="AR240" i="1"/>
  <c r="BF56" i="1"/>
  <c r="CE35" i="1"/>
  <c r="AW245" i="1"/>
  <c r="CF93" i="1"/>
  <c r="CF146" i="1"/>
  <c r="CE221" i="1"/>
  <c r="AT18" i="1"/>
  <c r="CF18" i="1" s="1"/>
  <c r="AO181" i="1"/>
  <c r="AQ181" i="1" s="1"/>
  <c r="AT118" i="1"/>
  <c r="AZ118" i="1" s="1"/>
  <c r="BC118" i="1" s="1"/>
  <c r="BD118" i="1" s="1"/>
  <c r="CF215" i="1"/>
  <c r="AT27" i="1"/>
  <c r="CF27" i="1" s="1"/>
  <c r="CF83" i="1"/>
  <c r="BE141" i="1"/>
  <c r="AZ52" i="1"/>
  <c r="BC52" i="1" s="1"/>
  <c r="CG52" i="1" s="1"/>
  <c r="AQ197" i="1"/>
  <c r="AX257" i="1"/>
  <c r="CE143" i="1"/>
  <c r="AU197" i="1"/>
  <c r="AW197" i="1" s="1"/>
  <c r="AT67" i="1"/>
  <c r="CF67" i="1" s="1"/>
  <c r="CF70" i="1"/>
  <c r="CE68" i="1"/>
  <c r="CE127" i="1"/>
  <c r="AO247" i="1"/>
  <c r="AR247" i="1" s="1"/>
  <c r="CE118" i="1"/>
  <c r="CF206" i="1"/>
  <c r="AT131" i="1"/>
  <c r="CF131" i="1" s="1"/>
  <c r="AX247" i="1"/>
  <c r="AR197" i="1"/>
  <c r="CF91" i="1"/>
  <c r="BI141" i="1"/>
  <c r="BJ44" i="1"/>
  <c r="BK44" i="1" s="1"/>
  <c r="BL44" i="1" s="1"/>
  <c r="BM44" i="1" s="1"/>
  <c r="BJ91" i="1"/>
  <c r="BK91" i="1" s="1"/>
  <c r="BL91" i="1" s="1"/>
  <c r="BM91" i="1" s="1"/>
  <c r="CF213" i="1"/>
  <c r="AS229" i="1"/>
  <c r="AT86" i="1"/>
  <c r="CF86" i="1" s="1"/>
  <c r="AP229" i="1"/>
  <c r="AT68" i="1"/>
  <c r="AZ68" i="1" s="1"/>
  <c r="BC68" i="1" s="1"/>
  <c r="CE83" i="1"/>
  <c r="AT127" i="1"/>
  <c r="AZ127" i="1" s="1"/>
  <c r="BC127" i="1" s="1"/>
  <c r="CF149" i="1"/>
  <c r="CF84" i="1"/>
  <c r="AZ88" i="1"/>
  <c r="BC88" i="1" s="1"/>
  <c r="CG88" i="1" s="1"/>
  <c r="AU229" i="1"/>
  <c r="AV229" i="1" s="1"/>
  <c r="AQ229" i="1"/>
  <c r="AZ114" i="1"/>
  <c r="BC114" i="1" s="1"/>
  <c r="CG114" i="1" s="1"/>
  <c r="AT51" i="1"/>
  <c r="AZ51" i="1" s="1"/>
  <c r="BC51" i="1" s="1"/>
  <c r="CG51" i="1" s="1"/>
  <c r="AT116" i="1"/>
  <c r="AZ116" i="1" s="1"/>
  <c r="BC116" i="1" s="1"/>
  <c r="BE116" i="1" s="1"/>
  <c r="CE117" i="1"/>
  <c r="AZ48" i="1"/>
  <c r="BC48" i="1" s="1"/>
  <c r="BG48" i="1" s="1"/>
  <c r="CE67" i="1"/>
  <c r="CE100" i="1"/>
  <c r="CE10" i="1"/>
  <c r="AS163" i="1"/>
  <c r="AO237" i="1"/>
  <c r="AQ237" i="1" s="1"/>
  <c r="CF48" i="1"/>
  <c r="CG45" i="1"/>
  <c r="BF45" i="1"/>
  <c r="AX236" i="1"/>
  <c r="CF137" i="1"/>
  <c r="CE49" i="1"/>
  <c r="AZ79" i="1"/>
  <c r="BC79" i="1" s="1"/>
  <c r="BJ79" i="1" s="1"/>
  <c r="BK79" i="1" s="1"/>
  <c r="BL79" i="1" s="1"/>
  <c r="BM79" i="1" s="1"/>
  <c r="CE51" i="1"/>
  <c r="CE116" i="1"/>
  <c r="AZ83" i="1"/>
  <c r="BC83" i="1" s="1"/>
  <c r="BE83" i="1" s="1"/>
  <c r="CF45" i="1"/>
  <c r="AQ171" i="1"/>
  <c r="AZ93" i="1"/>
  <c r="BC93" i="1" s="1"/>
  <c r="CG93" i="1" s="1"/>
  <c r="BG44" i="1"/>
  <c r="BI45" i="1"/>
  <c r="AO245" i="1"/>
  <c r="AP245" i="1" s="1"/>
  <c r="AX245" i="1"/>
  <c r="BD141" i="1"/>
  <c r="AZ213" i="1"/>
  <c r="BC213" i="1" s="1"/>
  <c r="AZ103" i="1"/>
  <c r="BC103" i="1" s="1"/>
  <c r="CG103" i="1" s="1"/>
  <c r="AZ206" i="1"/>
  <c r="BC206" i="1" s="1"/>
  <c r="BJ206" i="1" s="1"/>
  <c r="BK206" i="1" s="1"/>
  <c r="BL206" i="1" s="1"/>
  <c r="BM206" i="1" s="1"/>
  <c r="BE44" i="1"/>
  <c r="BJ45" i="1"/>
  <c r="BK45" i="1" s="1"/>
  <c r="BL45" i="1" s="1"/>
  <c r="BM45" i="1" s="1"/>
  <c r="AZ219" i="1"/>
  <c r="BC219" i="1" s="1"/>
  <c r="BI219" i="1" s="1"/>
  <c r="BF141" i="1"/>
  <c r="CF79" i="1"/>
  <c r="AZ14" i="1"/>
  <c r="BC14" i="1" s="1"/>
  <c r="AR171" i="1"/>
  <c r="AP171" i="1"/>
  <c r="CE171" i="1" s="1"/>
  <c r="AO244" i="1"/>
  <c r="AQ244" i="1" s="1"/>
  <c r="BF44" i="1"/>
  <c r="BD45" i="1"/>
  <c r="AZ147" i="1"/>
  <c r="BC147" i="1" s="1"/>
  <c r="BG147" i="1" s="1"/>
  <c r="AT143" i="1"/>
  <c r="AZ31" i="1"/>
  <c r="BC31" i="1" s="1"/>
  <c r="BI31" i="1" s="1"/>
  <c r="AT49" i="1"/>
  <c r="CF49" i="1" s="1"/>
  <c r="AZ53" i="1"/>
  <c r="BC53" i="1" s="1"/>
  <c r="CG53" i="1" s="1"/>
  <c r="BG45" i="1"/>
  <c r="BD44" i="1"/>
  <c r="BE45" i="1"/>
  <c r="AW260" i="1"/>
  <c r="BI44" i="1"/>
  <c r="BE56" i="1"/>
  <c r="BJ141" i="1"/>
  <c r="BK141" i="1" s="1"/>
  <c r="BL141" i="1" s="1"/>
  <c r="BM141" i="1" s="1"/>
  <c r="AZ70" i="1"/>
  <c r="BC70" i="1" s="1"/>
  <c r="BG70" i="1" s="1"/>
  <c r="AO260" i="1"/>
  <c r="AQ260" i="1" s="1"/>
  <c r="AU171" i="1"/>
  <c r="CE11" i="1"/>
  <c r="CE73" i="1"/>
  <c r="CE27" i="1"/>
  <c r="CE34" i="1"/>
  <c r="AZ35" i="1"/>
  <c r="BC35" i="1" s="1"/>
  <c r="BG35" i="1" s="1"/>
  <c r="AT37" i="1"/>
  <c r="CF37" i="1" s="1"/>
  <c r="AO177" i="1"/>
  <c r="AQ177" i="1" s="1"/>
  <c r="AX11" i="1"/>
  <c r="AT10" i="1"/>
  <c r="AZ10" i="1" s="1"/>
  <c r="BC10" i="1" s="1"/>
  <c r="BD10" i="1" s="1"/>
  <c r="CF134" i="1"/>
  <c r="AZ134" i="1"/>
  <c r="BC134" i="1" s="1"/>
  <c r="BF134" i="1" s="1"/>
  <c r="AO255" i="1"/>
  <c r="AR255" i="1" s="1"/>
  <c r="AW223" i="1"/>
  <c r="AT62" i="1"/>
  <c r="AZ62" i="1" s="1"/>
  <c r="BC62" i="1" s="1"/>
  <c r="BD62" i="1" s="1"/>
  <c r="AT198" i="1"/>
  <c r="CF198" i="1" s="1"/>
  <c r="AW248" i="1"/>
  <c r="AW255" i="1"/>
  <c r="AO258" i="1"/>
  <c r="AR258" i="1" s="1"/>
  <c r="CF103" i="1"/>
  <c r="CE134" i="1"/>
  <c r="AT128" i="1"/>
  <c r="CF128" i="1" s="1"/>
  <c r="AO248" i="1"/>
  <c r="AQ248" i="1" s="1"/>
  <c r="AO190" i="1"/>
  <c r="AQ190" i="1" s="1"/>
  <c r="AX255" i="1"/>
  <c r="AW258" i="1"/>
  <c r="CF20" i="1"/>
  <c r="AT211" i="1"/>
  <c r="AT117" i="1"/>
  <c r="CF117" i="1" s="1"/>
  <c r="AW190" i="1"/>
  <c r="AX258" i="1"/>
  <c r="CE158" i="1"/>
  <c r="AT57" i="1"/>
  <c r="AZ57" i="1" s="1"/>
  <c r="BC57" i="1" s="1"/>
  <c r="AT216" i="1"/>
  <c r="CF216" i="1" s="1"/>
  <c r="CF75" i="1"/>
  <c r="AZ80" i="1"/>
  <c r="BC80" i="1" s="1"/>
  <c r="BJ80" i="1" s="1"/>
  <c r="BK80" i="1" s="1"/>
  <c r="BL80" i="1" s="1"/>
  <c r="BM80" i="1" s="1"/>
  <c r="AZ123" i="1"/>
  <c r="BC123" i="1" s="1"/>
  <c r="CG123" i="1" s="1"/>
  <c r="AZ104" i="1"/>
  <c r="BC104" i="1" s="1"/>
  <c r="CG104" i="1" s="1"/>
  <c r="AT11" i="1"/>
  <c r="AT73" i="1"/>
  <c r="AQ163" i="1"/>
  <c r="AZ65" i="1"/>
  <c r="BC65" i="1" s="1"/>
  <c r="CG65" i="1" s="1"/>
  <c r="AV237" i="1"/>
  <c r="AZ101" i="1"/>
  <c r="BC101" i="1" s="1"/>
  <c r="CG101" i="1" s="1"/>
  <c r="CF38" i="1"/>
  <c r="CE57" i="1"/>
  <c r="CE211" i="1"/>
  <c r="AZ81" i="1"/>
  <c r="BC81" i="1" s="1"/>
  <c r="BF81" i="1" s="1"/>
  <c r="AO257" i="1"/>
  <c r="AR257" i="1" s="1"/>
  <c r="AP163" i="1"/>
  <c r="AW257" i="1"/>
  <c r="AU163" i="1"/>
  <c r="AX163" i="1" s="1"/>
  <c r="CF30" i="1"/>
  <c r="AT26" i="1"/>
  <c r="CF26" i="1" s="1"/>
  <c r="AT217" i="1"/>
  <c r="AZ217" i="1" s="1"/>
  <c r="BC217" i="1" s="1"/>
  <c r="AT59" i="1"/>
  <c r="AZ59" i="1" s="1"/>
  <c r="BC59" i="1" s="1"/>
  <c r="BE59" i="1" s="1"/>
  <c r="CE140" i="1"/>
  <c r="AT71" i="1"/>
  <c r="CF71" i="1" s="1"/>
  <c r="AY167" i="1"/>
  <c r="AX167" i="1"/>
  <c r="AV167" i="1"/>
  <c r="AW167" i="1"/>
  <c r="AO176" i="1"/>
  <c r="AP176" i="1" s="1"/>
  <c r="CE22" i="1"/>
  <c r="CE129" i="1"/>
  <c r="AO167" i="1"/>
  <c r="AO178" i="1"/>
  <c r="AQ178" i="1" s="1"/>
  <c r="AO188" i="1"/>
  <c r="AQ188" i="1" s="1"/>
  <c r="CE198" i="1"/>
  <c r="CE37" i="1"/>
  <c r="AZ30" i="1"/>
  <c r="BC30" i="1" s="1"/>
  <c r="BF30" i="1" s="1"/>
  <c r="AO186" i="1"/>
  <c r="AQ186" i="1" s="1"/>
  <c r="CE216" i="1"/>
  <c r="CF31" i="1"/>
  <c r="CE161" i="1"/>
  <c r="CF220" i="1"/>
  <c r="AZ220" i="1"/>
  <c r="BC220" i="1" s="1"/>
  <c r="AO184" i="1"/>
  <c r="AQ184" i="1" s="1"/>
  <c r="AV11" i="1"/>
  <c r="AY11" i="1"/>
  <c r="AV240" i="1"/>
  <c r="AV189" i="1"/>
  <c r="CE133" i="1"/>
  <c r="AT25" i="1"/>
  <c r="CF25" i="1" s="1"/>
  <c r="AT145" i="1"/>
  <c r="AZ145" i="1" s="1"/>
  <c r="BC145" i="1" s="1"/>
  <c r="AT129" i="1"/>
  <c r="CF129" i="1" s="1"/>
  <c r="AX189" i="1"/>
  <c r="AT218" i="1"/>
  <c r="AZ218" i="1" s="1"/>
  <c r="BC218" i="1" s="1"/>
  <c r="AT140" i="1"/>
  <c r="AZ140" i="1" s="1"/>
  <c r="BC140" i="1" s="1"/>
  <c r="CE203" i="1"/>
  <c r="AW189" i="1"/>
  <c r="AO189" i="1"/>
  <c r="AS189" i="1" s="1"/>
  <c r="CF158" i="1"/>
  <c r="AZ158" i="1"/>
  <c r="BC158" i="1" s="1"/>
  <c r="CG158" i="1" s="1"/>
  <c r="AZ149" i="1"/>
  <c r="BC149" i="1" s="1"/>
  <c r="BE149" i="1" s="1"/>
  <c r="AP240" i="1"/>
  <c r="AT161" i="1"/>
  <c r="AZ161" i="1" s="1"/>
  <c r="BC161" i="1" s="1"/>
  <c r="CE59" i="1"/>
  <c r="CE214" i="1"/>
  <c r="AS240" i="1"/>
  <c r="CE142" i="1"/>
  <c r="CE128" i="1"/>
  <c r="AO168" i="1"/>
  <c r="AQ168" i="1" s="1"/>
  <c r="AT22" i="1"/>
  <c r="CF22" i="1" s="1"/>
  <c r="AT142" i="1"/>
  <c r="AZ142" i="1" s="1"/>
  <c r="BC142" i="1" s="1"/>
  <c r="AT200" i="1"/>
  <c r="CE200" i="1"/>
  <c r="AV243" i="1"/>
  <c r="CE76" i="1"/>
  <c r="AT76" i="1"/>
  <c r="AT209" i="1"/>
  <c r="CE209" i="1"/>
  <c r="AT24" i="1"/>
  <c r="CE24" i="1"/>
  <c r="AO243" i="1"/>
  <c r="AS243" i="1" s="1"/>
  <c r="AT133" i="1"/>
  <c r="CE217" i="1"/>
  <c r="CE218" i="1"/>
  <c r="CE71" i="1"/>
  <c r="BF139" i="1"/>
  <c r="BI139" i="1"/>
  <c r="BD139" i="1"/>
  <c r="BE139" i="1"/>
  <c r="BG139" i="1"/>
  <c r="BJ139" i="1"/>
  <c r="BK139" i="1" s="1"/>
  <c r="BL139" i="1" s="1"/>
  <c r="BM139" i="1" s="1"/>
  <c r="AT203" i="1"/>
  <c r="CF135" i="1"/>
  <c r="AZ135" i="1"/>
  <c r="BC135" i="1" s="1"/>
  <c r="AT214" i="1"/>
  <c r="CE207" i="1"/>
  <c r="AT207" i="1"/>
  <c r="CE82" i="1"/>
  <c r="AT82" i="1"/>
  <c r="CE26" i="1"/>
  <c r="CF199" i="1"/>
  <c r="AZ199" i="1"/>
  <c r="BC199" i="1" s="1"/>
  <c r="CE145" i="1"/>
  <c r="AO239" i="1"/>
  <c r="AR239" i="1" s="1"/>
  <c r="BD201" i="1"/>
  <c r="BI201" i="1"/>
  <c r="BF201" i="1"/>
  <c r="BE201" i="1"/>
  <c r="BG201" i="1"/>
  <c r="BJ201" i="1"/>
  <c r="BK201" i="1" s="1"/>
  <c r="BL201" i="1" s="1"/>
  <c r="BM201" i="1" s="1"/>
  <c r="CE29" i="1"/>
  <c r="AT29" i="1"/>
  <c r="CE204" i="1"/>
  <c r="AT204" i="1"/>
  <c r="CE25" i="1"/>
  <c r="BI75" i="1"/>
  <c r="BF75" i="1"/>
  <c r="BD75" i="1"/>
  <c r="BG75" i="1"/>
  <c r="BE75" i="1"/>
  <c r="BJ75" i="1"/>
  <c r="BK75" i="1" s="1"/>
  <c r="BL75" i="1" s="1"/>
  <c r="BM75" i="1" s="1"/>
  <c r="AZ155" i="1"/>
  <c r="BC155" i="1" s="1"/>
  <c r="CG155" i="1" s="1"/>
  <c r="AO183" i="1"/>
  <c r="AR183" i="1" s="1"/>
  <c r="CE33" i="1"/>
  <c r="AT33" i="1"/>
  <c r="CE138" i="1"/>
  <c r="AT138" i="1"/>
  <c r="AU162" i="1"/>
  <c r="AX162" i="1" s="1"/>
  <c r="AO172" i="1"/>
  <c r="AQ172" i="1" s="1"/>
  <c r="AU172" i="1"/>
  <c r="AV172" i="1" s="1"/>
  <c r="AO234" i="1"/>
  <c r="AQ234" i="1" s="1"/>
  <c r="AU234" i="1"/>
  <c r="AV234" i="1" s="1"/>
  <c r="CG36" i="1"/>
  <c r="AO227" i="1"/>
  <c r="AQ227" i="1" s="1"/>
  <c r="AO241" i="1"/>
  <c r="AR241" i="1" s="1"/>
  <c r="AU241" i="1"/>
  <c r="AX241" i="1" s="1"/>
  <c r="AO169" i="1"/>
  <c r="AP169" i="1" s="1"/>
  <c r="AU169" i="1"/>
  <c r="AV169" i="1" s="1"/>
  <c r="CE63" i="1"/>
  <c r="AT63" i="1"/>
  <c r="AZ41" i="1"/>
  <c r="BC41" i="1" s="1"/>
  <c r="CG41" i="1" s="1"/>
  <c r="AO185" i="1"/>
  <c r="AQ185" i="1" s="1"/>
  <c r="AU185" i="1"/>
  <c r="AX185" i="1" s="1"/>
  <c r="AO174" i="1"/>
  <c r="AQ174" i="1" s="1"/>
  <c r="AU174" i="1"/>
  <c r="AW174" i="1" s="1"/>
  <c r="AU233" i="1"/>
  <c r="AX233" i="1" s="1"/>
  <c r="AT120" i="1"/>
  <c r="CE120" i="1"/>
  <c r="AW186" i="1"/>
  <c r="AX186" i="1"/>
  <c r="CG100" i="1"/>
  <c r="AT125" i="1"/>
  <c r="CF125" i="1" s="1"/>
  <c r="BD56" i="1"/>
  <c r="BG56" i="1"/>
  <c r="CG96" i="1"/>
  <c r="BI56" i="1"/>
  <c r="AT124" i="1"/>
  <c r="CF124" i="1" s="1"/>
  <c r="AP193" i="1"/>
  <c r="BG38" i="1"/>
  <c r="CG61" i="1"/>
  <c r="BE38" i="1"/>
  <c r="AS193" i="1"/>
  <c r="AQ193" i="1"/>
  <c r="AT97" i="1"/>
  <c r="CF97" i="1" s="1"/>
  <c r="AT17" i="1"/>
  <c r="AZ17" i="1" s="1"/>
  <c r="BC17" i="1" s="1"/>
  <c r="AT152" i="1"/>
  <c r="CF152" i="1" s="1"/>
  <c r="CG159" i="1"/>
  <c r="BI159" i="1"/>
  <c r="BF159" i="1"/>
  <c r="BJ159" i="1"/>
  <c r="BK159" i="1" s="1"/>
  <c r="BL159" i="1" s="1"/>
  <c r="BM159" i="1" s="1"/>
  <c r="BG159" i="1"/>
  <c r="BD159" i="1"/>
  <c r="BE159" i="1"/>
  <c r="AT85" i="1"/>
  <c r="CF85" i="1" s="1"/>
  <c r="CE90" i="1"/>
  <c r="AT122" i="1"/>
  <c r="AZ122" i="1" s="1"/>
  <c r="BC122" i="1" s="1"/>
  <c r="CG122" i="1" s="1"/>
  <c r="AT105" i="1"/>
  <c r="CF105" i="1" s="1"/>
  <c r="CE102" i="1"/>
  <c r="AR194" i="1"/>
  <c r="BJ38" i="1"/>
  <c r="BK38" i="1" s="1"/>
  <c r="BL38" i="1" s="1"/>
  <c r="BM38" i="1" s="1"/>
  <c r="BF38" i="1"/>
  <c r="CE40" i="1"/>
  <c r="CE105" i="1"/>
  <c r="CE85" i="1"/>
  <c r="CE64" i="1"/>
  <c r="CE43" i="1"/>
  <c r="CE47" i="1"/>
  <c r="CE42" i="1"/>
  <c r="CE170" i="1"/>
  <c r="CE154" i="1"/>
  <c r="AT112" i="1"/>
  <c r="CF112" i="1" s="1"/>
  <c r="AT160" i="1"/>
  <c r="CF160" i="1" s="1"/>
  <c r="AT157" i="1"/>
  <c r="AZ157" i="1" s="1"/>
  <c r="BC157" i="1" s="1"/>
  <c r="CE54" i="1"/>
  <c r="AT102" i="1"/>
  <c r="CF102" i="1" s="1"/>
  <c r="CE113" i="1"/>
  <c r="CE119" i="1"/>
  <c r="CE153" i="1"/>
  <c r="CE69" i="1"/>
  <c r="CE125" i="1"/>
  <c r="CE110" i="1"/>
  <c r="CE160" i="1"/>
  <c r="CE115" i="1"/>
  <c r="CE19" i="1"/>
  <c r="CE12" i="1"/>
  <c r="CE16" i="1"/>
  <c r="CF108" i="1"/>
  <c r="AZ95" i="1"/>
  <c r="BC95" i="1" s="1"/>
  <c r="CG95" i="1" s="1"/>
  <c r="CF95" i="1"/>
  <c r="AZ150" i="1"/>
  <c r="BC150" i="1" s="1"/>
  <c r="BD150" i="1" s="1"/>
  <c r="CF150" i="1"/>
  <c r="AZ92" i="1"/>
  <c r="BC92" i="1" s="1"/>
  <c r="CG92" i="1" s="1"/>
  <c r="CF92" i="1"/>
  <c r="AZ58" i="1"/>
  <c r="BC58" i="1" s="1"/>
  <c r="BF58" i="1" s="1"/>
  <c r="CF58" i="1"/>
  <c r="AZ34" i="1"/>
  <c r="BC34" i="1" s="1"/>
  <c r="BE34" i="1" s="1"/>
  <c r="CF34" i="1"/>
  <c r="AZ66" i="1"/>
  <c r="BC66" i="1" s="1"/>
  <c r="CG66" i="1" s="1"/>
  <c r="CF66" i="1"/>
  <c r="AX227" i="1"/>
  <c r="AW183" i="1"/>
  <c r="CF39" i="1"/>
  <c r="AZ39" i="1"/>
  <c r="BC39" i="1" s="1"/>
  <c r="CG39" i="1" s="1"/>
  <c r="BD84" i="1"/>
  <c r="CG84" i="1"/>
  <c r="BG84" i="1"/>
  <c r="BE84" i="1"/>
  <c r="BI84" i="1"/>
  <c r="BJ84" i="1"/>
  <c r="BK84" i="1" s="1"/>
  <c r="BL84" i="1" s="1"/>
  <c r="BM84" i="1" s="1"/>
  <c r="BF84" i="1"/>
  <c r="AX240" i="1"/>
  <c r="AW240" i="1"/>
  <c r="AW188" i="1"/>
  <c r="AX246" i="1"/>
  <c r="AW246" i="1"/>
  <c r="AZ21" i="1"/>
  <c r="BC21" i="1" s="1"/>
  <c r="CG21" i="1" s="1"/>
  <c r="CF21" i="1"/>
  <c r="CE17" i="1"/>
  <c r="CE97" i="1"/>
  <c r="CE112" i="1"/>
  <c r="CE124" i="1"/>
  <c r="AZ111" i="1"/>
  <c r="BC111" i="1" s="1"/>
  <c r="CG111" i="1" s="1"/>
  <c r="CF111" i="1"/>
  <c r="AZ50" i="1"/>
  <c r="BC50" i="1" s="1"/>
  <c r="BD50" i="1" s="1"/>
  <c r="CF50" i="1"/>
  <c r="AW176" i="1"/>
  <c r="AT99" i="1"/>
  <c r="AT151" i="1"/>
  <c r="AX181" i="1"/>
  <c r="AX170" i="1"/>
  <c r="AW170" i="1"/>
  <c r="AZ46" i="1"/>
  <c r="BC46" i="1" s="1"/>
  <c r="CF46" i="1"/>
  <c r="BD38" i="1"/>
  <c r="CG38" i="1"/>
  <c r="CG60" i="1"/>
  <c r="BE60" i="1"/>
  <c r="AZ121" i="1"/>
  <c r="BC121" i="1" s="1"/>
  <c r="CG121" i="1" s="1"/>
  <c r="CF121" i="1"/>
  <c r="AW184" i="1"/>
  <c r="AX239" i="1"/>
  <c r="CE151" i="1"/>
  <c r="CE152" i="1"/>
  <c r="CE122" i="1"/>
  <c r="CE99" i="1"/>
  <c r="CE157" i="1"/>
  <c r="AT69" i="1"/>
  <c r="AT54" i="1"/>
  <c r="AT16" i="1"/>
  <c r="AT110" i="1"/>
  <c r="AT12" i="1"/>
  <c r="AT90" i="1"/>
  <c r="AT153" i="1"/>
  <c r="AW261" i="1"/>
  <c r="AX261" i="1"/>
  <c r="AT115" i="1"/>
  <c r="AR225" i="1"/>
  <c r="AP225" i="1"/>
  <c r="AS225" i="1"/>
  <c r="AQ225" i="1"/>
  <c r="AX251" i="1"/>
  <c r="AW251" i="1"/>
  <c r="AO224" i="1"/>
  <c r="AQ259" i="1"/>
  <c r="AS259" i="1"/>
  <c r="AR259" i="1"/>
  <c r="AP259" i="1"/>
  <c r="AT170" i="1"/>
  <c r="AT154" i="1"/>
  <c r="CF154" i="1" s="1"/>
  <c r="BH55" i="1"/>
  <c r="CI55" i="1" s="1"/>
  <c r="AX243" i="1"/>
  <c r="AW243" i="1"/>
  <c r="AX228" i="1"/>
  <c r="AW228" i="1"/>
  <c r="AO242" i="1"/>
  <c r="AX242" i="1"/>
  <c r="AO187" i="1"/>
  <c r="AW237" i="1"/>
  <c r="AX237" i="1"/>
  <c r="AT19" i="1"/>
  <c r="CG118" i="1"/>
  <c r="CG59" i="1"/>
  <c r="CG117" i="1"/>
  <c r="CG109" i="1"/>
  <c r="CG37" i="1"/>
  <c r="CG116" i="1"/>
  <c r="CG106" i="1"/>
  <c r="CG35" i="1"/>
  <c r="CG13" i="1"/>
  <c r="CG97" i="1"/>
  <c r="CG11" i="1"/>
  <c r="CG49" i="1"/>
  <c r="CG62" i="1"/>
  <c r="CG58" i="1"/>
  <c r="CG50" i="1"/>
  <c r="CH55" i="1"/>
  <c r="CG10" i="1"/>
  <c r="CG34" i="1"/>
  <c r="CG87" i="1"/>
  <c r="CG83" i="1"/>
  <c r="CG150" i="1"/>
  <c r="AT42" i="1"/>
  <c r="AQ252" i="1"/>
  <c r="AX249" i="1"/>
  <c r="AW254" i="1"/>
  <c r="AX260" i="1"/>
  <c r="AT119" i="1"/>
  <c r="AW242" i="1"/>
  <c r="AX252" i="1"/>
  <c r="AT40" i="1"/>
  <c r="CF40" i="1" s="1"/>
  <c r="AX165" i="1"/>
  <c r="AW194" i="1"/>
  <c r="AX188" i="1"/>
  <c r="AT47" i="1"/>
  <c r="AW181" i="1"/>
  <c r="AX182" i="1"/>
  <c r="AO182" i="1"/>
  <c r="AR182" i="1" s="1"/>
  <c r="AV260" i="1"/>
  <c r="AY260" i="1"/>
  <c r="AV236" i="1"/>
  <c r="AY236" i="1"/>
  <c r="AY187" i="1"/>
  <c r="AV187" i="1"/>
  <c r="AY250" i="1"/>
  <c r="AV250" i="1"/>
  <c r="AV252" i="1"/>
  <c r="AY252" i="1"/>
  <c r="AR249" i="1"/>
  <c r="AY224" i="1"/>
  <c r="AV224" i="1"/>
  <c r="AV223" i="1"/>
  <c r="AY223" i="1"/>
  <c r="AW226" i="1"/>
  <c r="AW231" i="1"/>
  <c r="AY256" i="1"/>
  <c r="AV256" i="1"/>
  <c r="AS194" i="1"/>
  <c r="AP194" i="1"/>
  <c r="AT113" i="1"/>
  <c r="AY192" i="1"/>
  <c r="AV192" i="1"/>
  <c r="AT64" i="1"/>
  <c r="AY168" i="1"/>
  <c r="AV168" i="1"/>
  <c r="AX176" i="1"/>
  <c r="AV178" i="1"/>
  <c r="AY178" i="1"/>
  <c r="AV186" i="1"/>
  <c r="AY186" i="1"/>
  <c r="AW227" i="1"/>
  <c r="AV227" i="1"/>
  <c r="AY227" i="1"/>
  <c r="AX238" i="1"/>
  <c r="AX190" i="1"/>
  <c r="AV248" i="1"/>
  <c r="AY248" i="1"/>
  <c r="AW179" i="1"/>
  <c r="AO179" i="1"/>
  <c r="AR179" i="1" s="1"/>
  <c r="AY249" i="1"/>
  <c r="AV249" i="1"/>
  <c r="AP226" i="1"/>
  <c r="AS226" i="1"/>
  <c r="AQ226" i="1"/>
  <c r="AW232" i="1"/>
  <c r="AX232" i="1"/>
  <c r="AO232" i="1"/>
  <c r="AR232" i="1" s="1"/>
  <c r="AY247" i="1"/>
  <c r="AV247" i="1"/>
  <c r="AS173" i="1"/>
  <c r="AP173" i="1"/>
  <c r="AY230" i="1"/>
  <c r="AV230" i="1"/>
  <c r="AV184" i="1"/>
  <c r="AY184" i="1"/>
  <c r="AP162" i="1"/>
  <c r="AS162" i="1"/>
  <c r="AV181" i="1"/>
  <c r="AY181" i="1"/>
  <c r="AX248" i="1"/>
  <c r="AX164" i="1"/>
  <c r="AO164" i="1"/>
  <c r="AW166" i="1"/>
  <c r="AX166" i="1"/>
  <c r="AO166" i="1"/>
  <c r="AQ166" i="1" s="1"/>
  <c r="AX175" i="1"/>
  <c r="AW175" i="1"/>
  <c r="AO175" i="1"/>
  <c r="AO180" i="1"/>
  <c r="AR180" i="1" s="1"/>
  <c r="AS252" i="1"/>
  <c r="AP252" i="1"/>
  <c r="AV254" i="1"/>
  <c r="AY254" i="1"/>
  <c r="AV165" i="1"/>
  <c r="AY165" i="1"/>
  <c r="AV258" i="1"/>
  <c r="AY258" i="1"/>
  <c r="AW247" i="1"/>
  <c r="AV194" i="1"/>
  <c r="AY194" i="1"/>
  <c r="AR173" i="1"/>
  <c r="AY257" i="1"/>
  <c r="AV257" i="1"/>
  <c r="AT43" i="1"/>
  <c r="AX230" i="1"/>
  <c r="AV239" i="1"/>
  <c r="AR162" i="1"/>
  <c r="AV177" i="1"/>
  <c r="AY177" i="1"/>
  <c r="AX183" i="1"/>
  <c r="AV183" i="1"/>
  <c r="AY183" i="1"/>
  <c r="AY238" i="1"/>
  <c r="AV238" i="1"/>
  <c r="AV190" i="1"/>
  <c r="AY190" i="1"/>
  <c r="AV242" i="1"/>
  <c r="AY242" i="1"/>
  <c r="AV255" i="1"/>
  <c r="AY255" i="1"/>
  <c r="AP249" i="1"/>
  <c r="AS249" i="1"/>
  <c r="AR226" i="1"/>
  <c r="AV226" i="1"/>
  <c r="AY226" i="1"/>
  <c r="AV231" i="1"/>
  <c r="AY231" i="1"/>
  <c r="AX196" i="1"/>
  <c r="AO196" i="1"/>
  <c r="AX235" i="1"/>
  <c r="AO235" i="1"/>
  <c r="AY173" i="1"/>
  <c r="AV173" i="1"/>
  <c r="AW195" i="1"/>
  <c r="AO195" i="1"/>
  <c r="AR195" i="1" s="1"/>
  <c r="AX184" i="1"/>
  <c r="AQ233" i="1"/>
  <c r="AS233" i="1"/>
  <c r="AP233" i="1"/>
  <c r="AY176" i="1"/>
  <c r="AV176" i="1"/>
  <c r="AY244" i="1"/>
  <c r="AV244" i="1"/>
  <c r="AQ162" i="1"/>
  <c r="AV188" i="1"/>
  <c r="AY188" i="1"/>
  <c r="BF91" i="1" l="1"/>
  <c r="BJ205" i="1"/>
  <c r="BK205" i="1" s="1"/>
  <c r="BL205" i="1" s="1"/>
  <c r="BM205" i="1" s="1"/>
  <c r="BG205" i="1"/>
  <c r="BE205" i="1"/>
  <c r="BI205" i="1"/>
  <c r="BD205" i="1"/>
  <c r="BG91" i="1"/>
  <c r="BD91" i="1"/>
  <c r="BH91" i="1" s="1"/>
  <c r="BI91" i="1"/>
  <c r="BE91" i="1"/>
  <c r="BJ208" i="1"/>
  <c r="BK208" i="1" s="1"/>
  <c r="BL208" i="1" s="1"/>
  <c r="BM208" i="1" s="1"/>
  <c r="BE208" i="1"/>
  <c r="BG208" i="1"/>
  <c r="BD208" i="1"/>
  <c r="BI208" i="1"/>
  <c r="BJ60" i="1"/>
  <c r="BK60" i="1" s="1"/>
  <c r="BL60" i="1" s="1"/>
  <c r="BM60" i="1" s="1"/>
  <c r="BD60" i="1"/>
  <c r="CH60" i="1" s="1"/>
  <c r="BI60" i="1"/>
  <c r="BF60" i="1"/>
  <c r="CF205" i="1"/>
  <c r="AZ109" i="1"/>
  <c r="BC109" i="1" s="1"/>
  <c r="BE109" i="1" s="1"/>
  <c r="AZ107" i="1"/>
  <c r="BC107" i="1" s="1"/>
  <c r="CG107" i="1" s="1"/>
  <c r="AZ72" i="1"/>
  <c r="BC72" i="1" s="1"/>
  <c r="BI72" i="1" s="1"/>
  <c r="AZ96" i="1"/>
  <c r="BC96" i="1" s="1"/>
  <c r="BD96" i="1" s="1"/>
  <c r="CF96" i="1"/>
  <c r="CF107" i="1"/>
  <c r="CF212" i="1"/>
  <c r="BG77" i="1"/>
  <c r="BJ210" i="1"/>
  <c r="BK210" i="1" s="1"/>
  <c r="BL210" i="1" s="1"/>
  <c r="BM210" i="1" s="1"/>
  <c r="BF210" i="1"/>
  <c r="BI210" i="1"/>
  <c r="BG210" i="1"/>
  <c r="BE210" i="1"/>
  <c r="CH210" i="1" s="1"/>
  <c r="CE106" i="1"/>
  <c r="AT106" i="1"/>
  <c r="CF106" i="1" s="1"/>
  <c r="BF77" i="1"/>
  <c r="BE77" i="1"/>
  <c r="CH77" i="1" s="1"/>
  <c r="BI77" i="1"/>
  <c r="BJ77" i="1"/>
  <c r="BK77" i="1" s="1"/>
  <c r="BL77" i="1" s="1"/>
  <c r="BM77" i="1" s="1"/>
  <c r="CF77" i="1"/>
  <c r="CF60" i="1"/>
  <c r="BD20" i="1"/>
  <c r="CF132" i="1"/>
  <c r="BG20" i="1"/>
  <c r="BF20" i="1"/>
  <c r="CE98" i="1"/>
  <c r="BJ20" i="1"/>
  <c r="BK20" i="1" s="1"/>
  <c r="BL20" i="1" s="1"/>
  <c r="BM20" i="1" s="1"/>
  <c r="BE20" i="1"/>
  <c r="BI20" i="1"/>
  <c r="AP165" i="1"/>
  <c r="AT98" i="1"/>
  <c r="AZ98" i="1" s="1"/>
  <c r="BC98" i="1" s="1"/>
  <c r="BD98" i="1" s="1"/>
  <c r="BH32" i="1"/>
  <c r="CI32" i="1" s="1"/>
  <c r="AR231" i="1"/>
  <c r="AS231" i="1"/>
  <c r="CH32" i="1"/>
  <c r="AS238" i="1"/>
  <c r="CF15" i="1"/>
  <c r="CF126" i="1"/>
  <c r="AZ126" i="1"/>
  <c r="BC126" i="1" s="1"/>
  <c r="AS254" i="1"/>
  <c r="BG74" i="1"/>
  <c r="AP238" i="1"/>
  <c r="AQ238" i="1"/>
  <c r="AR251" i="1"/>
  <c r="AP250" i="1"/>
  <c r="AR250" i="1"/>
  <c r="AP251" i="1"/>
  <c r="CE251" i="1" s="1"/>
  <c r="BD74" i="1"/>
  <c r="AS250" i="1"/>
  <c r="AR254" i="1"/>
  <c r="AP254" i="1"/>
  <c r="AP222" i="1"/>
  <c r="AT222" i="1" s="1"/>
  <c r="CF222" i="1" s="1"/>
  <c r="AR222" i="1"/>
  <c r="AQ222" i="1"/>
  <c r="BJ74" i="1"/>
  <c r="BK74" i="1" s="1"/>
  <c r="BL74" i="1" s="1"/>
  <c r="BM74" i="1" s="1"/>
  <c r="BF74" i="1"/>
  <c r="BE74" i="1"/>
  <c r="AP192" i="1"/>
  <c r="AQ236" i="1"/>
  <c r="AP236" i="1"/>
  <c r="AS236" i="1"/>
  <c r="AS253" i="1"/>
  <c r="BF36" i="1"/>
  <c r="BI36" i="1"/>
  <c r="BG36" i="1"/>
  <c r="BD36" i="1"/>
  <c r="CH36" i="1" s="1"/>
  <c r="BJ36" i="1"/>
  <c r="BK36" i="1" s="1"/>
  <c r="BL36" i="1" s="1"/>
  <c r="BM36" i="1" s="1"/>
  <c r="AP256" i="1"/>
  <c r="CE23" i="1"/>
  <c r="BH78" i="1"/>
  <c r="BN78" i="1" s="1"/>
  <c r="BG156" i="1"/>
  <c r="AY193" i="1"/>
  <c r="CH78" i="1"/>
  <c r="AP257" i="1"/>
  <c r="AP223" i="1"/>
  <c r="AR223" i="1"/>
  <c r="AS223" i="1"/>
  <c r="BH136" i="1"/>
  <c r="BN136" i="1" s="1"/>
  <c r="AT191" i="1"/>
  <c r="AX191" i="1"/>
  <c r="AZ100" i="1"/>
  <c r="BC100" i="1" s="1"/>
  <c r="BI100" i="1" s="1"/>
  <c r="AV191" i="1"/>
  <c r="AZ148" i="1"/>
  <c r="BC148" i="1" s="1"/>
  <c r="BF148" i="1" s="1"/>
  <c r="BJ202" i="1"/>
  <c r="BK202" i="1" s="1"/>
  <c r="BL202" i="1" s="1"/>
  <c r="BM202" i="1" s="1"/>
  <c r="BF202" i="1"/>
  <c r="BD202" i="1"/>
  <c r="CF13" i="1"/>
  <c r="AP231" i="1"/>
  <c r="AP181" i="1"/>
  <c r="AR177" i="1"/>
  <c r="CF87" i="1"/>
  <c r="AT246" i="1"/>
  <c r="CF246" i="1" s="1"/>
  <c r="BG202" i="1"/>
  <c r="AY191" i="1"/>
  <c r="BE202" i="1"/>
  <c r="CF94" i="1"/>
  <c r="AQ256" i="1"/>
  <c r="CH130" i="1"/>
  <c r="AS256" i="1"/>
  <c r="BJ221" i="1"/>
  <c r="BK221" i="1" s="1"/>
  <c r="BL221" i="1" s="1"/>
  <c r="BM221" i="1" s="1"/>
  <c r="BG221" i="1"/>
  <c r="AR261" i="1"/>
  <c r="BE156" i="1"/>
  <c r="BE70" i="1"/>
  <c r="AS261" i="1"/>
  <c r="AT261" i="1" s="1"/>
  <c r="BF156" i="1"/>
  <c r="BI156" i="1"/>
  <c r="BI70" i="1"/>
  <c r="BG80" i="1"/>
  <c r="AV193" i="1"/>
  <c r="AQ261" i="1"/>
  <c r="BD70" i="1"/>
  <c r="BJ156" i="1"/>
  <c r="BK156" i="1" s="1"/>
  <c r="BL156" i="1" s="1"/>
  <c r="BM156" i="1" s="1"/>
  <c r="AZ18" i="1"/>
  <c r="BC18" i="1" s="1"/>
  <c r="CG18" i="1" s="1"/>
  <c r="BF70" i="1"/>
  <c r="AX193" i="1"/>
  <c r="AR188" i="1"/>
  <c r="BG158" i="1"/>
  <c r="BD156" i="1"/>
  <c r="BJ70" i="1"/>
  <c r="BK70" i="1" s="1"/>
  <c r="BL70" i="1" s="1"/>
  <c r="BM70" i="1" s="1"/>
  <c r="AR165" i="1"/>
  <c r="AQ251" i="1"/>
  <c r="AS165" i="1"/>
  <c r="BH130" i="1"/>
  <c r="BN130" i="1" s="1"/>
  <c r="BO130" i="1" s="1"/>
  <c r="BP130" i="1" s="1"/>
  <c r="BQ130" i="1" s="1"/>
  <c r="BF28" i="1"/>
  <c r="BE146" i="1"/>
  <c r="CH146" i="1" s="1"/>
  <c r="BE61" i="1"/>
  <c r="BF61" i="1"/>
  <c r="BD28" i="1"/>
  <c r="BG28" i="1"/>
  <c r="BJ61" i="1"/>
  <c r="BK61" i="1" s="1"/>
  <c r="BL61" i="1" s="1"/>
  <c r="BM61" i="1" s="1"/>
  <c r="BE28" i="1"/>
  <c r="BG61" i="1"/>
  <c r="CH136" i="1"/>
  <c r="BD61" i="1"/>
  <c r="BI137" i="1"/>
  <c r="BG137" i="1"/>
  <c r="BJ28" i="1"/>
  <c r="BK28" i="1" s="1"/>
  <c r="BL28" i="1" s="1"/>
  <c r="BM28" i="1" s="1"/>
  <c r="BD137" i="1"/>
  <c r="CH137" i="1" s="1"/>
  <c r="AZ67" i="1"/>
  <c r="BC67" i="1" s="1"/>
  <c r="CG67" i="1" s="1"/>
  <c r="BI215" i="1"/>
  <c r="BI89" i="1"/>
  <c r="AP253" i="1"/>
  <c r="BI80" i="1"/>
  <c r="BD215" i="1"/>
  <c r="BE80" i="1"/>
  <c r="BF89" i="1"/>
  <c r="AQ253" i="1"/>
  <c r="BF80" i="1"/>
  <c r="AS192" i="1"/>
  <c r="BG89" i="1"/>
  <c r="BD80" i="1"/>
  <c r="BJ215" i="1"/>
  <c r="BK215" i="1" s="1"/>
  <c r="BL215" i="1" s="1"/>
  <c r="BM215" i="1" s="1"/>
  <c r="BJ89" i="1"/>
  <c r="BK89" i="1" s="1"/>
  <c r="BL89" i="1" s="1"/>
  <c r="BM89" i="1" s="1"/>
  <c r="AQ192" i="1"/>
  <c r="AZ37" i="1"/>
  <c r="BC37" i="1" s="1"/>
  <c r="BG37" i="1" s="1"/>
  <c r="AS234" i="1"/>
  <c r="BE89" i="1"/>
  <c r="BI79" i="1"/>
  <c r="BF215" i="1"/>
  <c r="BE215" i="1"/>
  <c r="BD89" i="1"/>
  <c r="AT229" i="1"/>
  <c r="BH141" i="1"/>
  <c r="CI141" i="1" s="1"/>
  <c r="AT197" i="1"/>
  <c r="BE221" i="1"/>
  <c r="CH221" i="1" s="1"/>
  <c r="BE123" i="1"/>
  <c r="AR228" i="1"/>
  <c r="BF221" i="1"/>
  <c r="AS228" i="1"/>
  <c r="CE228" i="1" s="1"/>
  <c r="BI221" i="1"/>
  <c r="CF221" i="1"/>
  <c r="AQ228" i="1"/>
  <c r="BI155" i="1"/>
  <c r="AT171" i="1"/>
  <c r="CE163" i="1"/>
  <c r="BF144" i="1"/>
  <c r="BI144" i="1"/>
  <c r="AZ27" i="1"/>
  <c r="BC27" i="1" s="1"/>
  <c r="BF27" i="1" s="1"/>
  <c r="BE144" i="1"/>
  <c r="CH144" i="1" s="1"/>
  <c r="AQ255" i="1"/>
  <c r="AP255" i="1"/>
  <c r="BE79" i="1"/>
  <c r="AS255" i="1"/>
  <c r="BG79" i="1"/>
  <c r="CE229" i="1"/>
  <c r="BG150" i="1"/>
  <c r="BF137" i="1"/>
  <c r="BG52" i="1"/>
  <c r="BF52" i="1"/>
  <c r="BI146" i="1"/>
  <c r="BE52" i="1"/>
  <c r="BJ146" i="1"/>
  <c r="BK146" i="1" s="1"/>
  <c r="BL146" i="1" s="1"/>
  <c r="BM146" i="1" s="1"/>
  <c r="BF150" i="1"/>
  <c r="BE155" i="1"/>
  <c r="BJ144" i="1"/>
  <c r="BK144" i="1" s="1"/>
  <c r="BL144" i="1" s="1"/>
  <c r="BM144" i="1" s="1"/>
  <c r="BG146" i="1"/>
  <c r="BF146" i="1"/>
  <c r="BI147" i="1"/>
  <c r="BD155" i="1"/>
  <c r="BJ155" i="1"/>
  <c r="BK155" i="1" s="1"/>
  <c r="BL155" i="1" s="1"/>
  <c r="BM155" i="1" s="1"/>
  <c r="AS237" i="1"/>
  <c r="AZ117" i="1"/>
  <c r="BC117" i="1" s="1"/>
  <c r="BG117" i="1" s="1"/>
  <c r="BJ137" i="1"/>
  <c r="BK137" i="1" s="1"/>
  <c r="BL137" i="1" s="1"/>
  <c r="BM137" i="1" s="1"/>
  <c r="BF155" i="1"/>
  <c r="BG155" i="1"/>
  <c r="BG144" i="1"/>
  <c r="CH44" i="1"/>
  <c r="AS230" i="1"/>
  <c r="AS186" i="1"/>
  <c r="AY174" i="1"/>
  <c r="AP177" i="1"/>
  <c r="BF158" i="1"/>
  <c r="AX174" i="1"/>
  <c r="CF118" i="1"/>
  <c r="CF145" i="1"/>
  <c r="BF79" i="1"/>
  <c r="AV174" i="1"/>
  <c r="BE158" i="1"/>
  <c r="AP186" i="1"/>
  <c r="AS177" i="1"/>
  <c r="BJ158" i="1"/>
  <c r="BK158" i="1" s="1"/>
  <c r="BL158" i="1" s="1"/>
  <c r="BM158" i="1" s="1"/>
  <c r="BD79" i="1"/>
  <c r="BI88" i="1"/>
  <c r="BJ147" i="1"/>
  <c r="BK147" i="1" s="1"/>
  <c r="BL147" i="1" s="1"/>
  <c r="BM147" i="1" s="1"/>
  <c r="BF48" i="1"/>
  <c r="BD52" i="1"/>
  <c r="BJ52" i="1"/>
  <c r="BK52" i="1" s="1"/>
  <c r="BL52" i="1" s="1"/>
  <c r="BM52" i="1" s="1"/>
  <c r="BD147" i="1"/>
  <c r="BF147" i="1"/>
  <c r="AP230" i="1"/>
  <c r="AR181" i="1"/>
  <c r="BE147" i="1"/>
  <c r="BI52" i="1"/>
  <c r="BD158" i="1"/>
  <c r="AR230" i="1"/>
  <c r="AR237" i="1"/>
  <c r="BI158" i="1"/>
  <c r="AS181" i="1"/>
  <c r="AQ247" i="1"/>
  <c r="AP258" i="1"/>
  <c r="BD83" i="1"/>
  <c r="CH83" i="1" s="1"/>
  <c r="BJ134" i="1"/>
  <c r="BK134" i="1" s="1"/>
  <c r="BL134" i="1" s="1"/>
  <c r="BM134" i="1" s="1"/>
  <c r="AP247" i="1"/>
  <c r="BI83" i="1"/>
  <c r="BJ35" i="1"/>
  <c r="BK35" i="1" s="1"/>
  <c r="BL35" i="1" s="1"/>
  <c r="BM35" i="1" s="1"/>
  <c r="BG134" i="1"/>
  <c r="AS247" i="1"/>
  <c r="AS244" i="1"/>
  <c r="BE134" i="1"/>
  <c r="BF114" i="1"/>
  <c r="BI134" i="1"/>
  <c r="BD134" i="1"/>
  <c r="AY172" i="1"/>
  <c r="AS188" i="1"/>
  <c r="AZ86" i="1"/>
  <c r="BC86" i="1" s="1"/>
  <c r="BG86" i="1" s="1"/>
  <c r="AS245" i="1"/>
  <c r="CE245" i="1" s="1"/>
  <c r="BD219" i="1"/>
  <c r="BJ88" i="1"/>
  <c r="BK88" i="1" s="1"/>
  <c r="BL88" i="1" s="1"/>
  <c r="BM88" i="1" s="1"/>
  <c r="BF35" i="1"/>
  <c r="AR186" i="1"/>
  <c r="CF59" i="1"/>
  <c r="AY197" i="1"/>
  <c r="BF88" i="1"/>
  <c r="AP188" i="1"/>
  <c r="BE88" i="1"/>
  <c r="BG88" i="1"/>
  <c r="BJ123" i="1"/>
  <c r="BK123" i="1" s="1"/>
  <c r="BL123" i="1" s="1"/>
  <c r="BM123" i="1" s="1"/>
  <c r="BE104" i="1"/>
  <c r="BI35" i="1"/>
  <c r="AP237" i="1"/>
  <c r="AX197" i="1"/>
  <c r="BD88" i="1"/>
  <c r="AZ131" i="1"/>
  <c r="BC131" i="1" s="1"/>
  <c r="BE48" i="1"/>
  <c r="BJ48" i="1"/>
  <c r="BK48" i="1" s="1"/>
  <c r="BL48" i="1" s="1"/>
  <c r="BM48" i="1" s="1"/>
  <c r="BI48" i="1"/>
  <c r="BD31" i="1"/>
  <c r="AZ97" i="1"/>
  <c r="BC97" i="1" s="1"/>
  <c r="BG97" i="1" s="1"/>
  <c r="BD123" i="1"/>
  <c r="CF116" i="1"/>
  <c r="BD48" i="1"/>
  <c r="AV197" i="1"/>
  <c r="CG68" i="1"/>
  <c r="BE68" i="1"/>
  <c r="BJ68" i="1"/>
  <c r="BK68" i="1" s="1"/>
  <c r="BL68" i="1" s="1"/>
  <c r="BM68" i="1" s="1"/>
  <c r="BD68" i="1"/>
  <c r="BG68" i="1"/>
  <c r="BD93" i="1"/>
  <c r="BJ114" i="1"/>
  <c r="BK114" i="1" s="1"/>
  <c r="BL114" i="1" s="1"/>
  <c r="BM114" i="1" s="1"/>
  <c r="CH141" i="1"/>
  <c r="AP241" i="1"/>
  <c r="BI93" i="1"/>
  <c r="BI114" i="1"/>
  <c r="CF68" i="1"/>
  <c r="CF57" i="1"/>
  <c r="AQ241" i="1"/>
  <c r="AS241" i="1"/>
  <c r="BG93" i="1"/>
  <c r="BD114" i="1"/>
  <c r="BE93" i="1"/>
  <c r="BE114" i="1"/>
  <c r="BF93" i="1"/>
  <c r="BJ93" i="1"/>
  <c r="BK93" i="1" s="1"/>
  <c r="BL93" i="1" s="1"/>
  <c r="BM93" i="1" s="1"/>
  <c r="CF142" i="1"/>
  <c r="BG114" i="1"/>
  <c r="BH44" i="1"/>
  <c r="BN44" i="1" s="1"/>
  <c r="AR260" i="1"/>
  <c r="BE150" i="1"/>
  <c r="CH150" i="1" s="1"/>
  <c r="BI101" i="1"/>
  <c r="BF95" i="1"/>
  <c r="AR243" i="1"/>
  <c r="CF51" i="1"/>
  <c r="AS260" i="1"/>
  <c r="BI150" i="1"/>
  <c r="BJ83" i="1"/>
  <c r="BK83" i="1" s="1"/>
  <c r="BL83" i="1" s="1"/>
  <c r="BM83" i="1" s="1"/>
  <c r="BI118" i="1"/>
  <c r="BJ31" i="1"/>
  <c r="BK31" i="1" s="1"/>
  <c r="BL31" i="1" s="1"/>
  <c r="BM31" i="1" s="1"/>
  <c r="AR244" i="1"/>
  <c r="AP260" i="1"/>
  <c r="BJ150" i="1"/>
  <c r="BK150" i="1" s="1"/>
  <c r="BL150" i="1" s="1"/>
  <c r="BM150" i="1" s="1"/>
  <c r="BG83" i="1"/>
  <c r="BI62" i="1"/>
  <c r="BG94" i="1"/>
  <c r="BE118" i="1"/>
  <c r="CH118" i="1" s="1"/>
  <c r="BE31" i="1"/>
  <c r="BJ219" i="1"/>
  <c r="BK219" i="1" s="1"/>
  <c r="BL219" i="1" s="1"/>
  <c r="BM219" i="1" s="1"/>
  <c r="AX229" i="1"/>
  <c r="AY229" i="1"/>
  <c r="BF219" i="1"/>
  <c r="BG31" i="1"/>
  <c r="BE219" i="1"/>
  <c r="BF83" i="1"/>
  <c r="BD92" i="1"/>
  <c r="CF127" i="1"/>
  <c r="BF31" i="1"/>
  <c r="BG219" i="1"/>
  <c r="AW229" i="1"/>
  <c r="BJ62" i="1"/>
  <c r="BK62" i="1" s="1"/>
  <c r="BL62" i="1" s="1"/>
  <c r="BM62" i="1" s="1"/>
  <c r="AP244" i="1"/>
  <c r="AZ128" i="1"/>
  <c r="BC128" i="1" s="1"/>
  <c r="BE128" i="1" s="1"/>
  <c r="AS258" i="1"/>
  <c r="AQ176" i="1"/>
  <c r="AQ258" i="1"/>
  <c r="BD13" i="1"/>
  <c r="AS190" i="1"/>
  <c r="AS227" i="1"/>
  <c r="BF104" i="1"/>
  <c r="BF68" i="1"/>
  <c r="BJ13" i="1"/>
  <c r="BK13" i="1" s="1"/>
  <c r="BL13" i="1" s="1"/>
  <c r="BM13" i="1" s="1"/>
  <c r="BE35" i="1"/>
  <c r="AW241" i="1"/>
  <c r="BH45" i="1"/>
  <c r="BN45" i="1" s="1"/>
  <c r="BO45" i="1" s="1"/>
  <c r="BR45" i="1" s="1"/>
  <c r="BE206" i="1"/>
  <c r="BI206" i="1"/>
  <c r="AP190" i="1"/>
  <c r="AP227" i="1"/>
  <c r="BI104" i="1"/>
  <c r="BI68" i="1"/>
  <c r="BF13" i="1"/>
  <c r="BD35" i="1"/>
  <c r="CF10" i="1"/>
  <c r="BF206" i="1"/>
  <c r="AR227" i="1"/>
  <c r="BI123" i="1"/>
  <c r="BG104" i="1"/>
  <c r="BI13" i="1"/>
  <c r="BD206" i="1"/>
  <c r="BE13" i="1"/>
  <c r="BD104" i="1"/>
  <c r="BJ104" i="1"/>
  <c r="BK104" i="1" s="1"/>
  <c r="BL104" i="1" s="1"/>
  <c r="BM104" i="1" s="1"/>
  <c r="AQ257" i="1"/>
  <c r="AR190" i="1"/>
  <c r="BG123" i="1"/>
  <c r="AR245" i="1"/>
  <c r="BG206" i="1"/>
  <c r="AQ245" i="1"/>
  <c r="AS257" i="1"/>
  <c r="BD87" i="1"/>
  <c r="BF123" i="1"/>
  <c r="AR168" i="1"/>
  <c r="AZ198" i="1"/>
  <c r="BC198" i="1" s="1"/>
  <c r="BI198" i="1" s="1"/>
  <c r="AZ129" i="1"/>
  <c r="BC129" i="1" s="1"/>
  <c r="BF129" i="1" s="1"/>
  <c r="AV171" i="1"/>
  <c r="AY171" i="1"/>
  <c r="AS168" i="1"/>
  <c r="BF62" i="1"/>
  <c r="BF103" i="1"/>
  <c r="BD111" i="1"/>
  <c r="BE213" i="1"/>
  <c r="BJ213" i="1"/>
  <c r="BK213" i="1" s="1"/>
  <c r="BL213" i="1" s="1"/>
  <c r="BM213" i="1" s="1"/>
  <c r="BG87" i="1"/>
  <c r="BG62" i="1"/>
  <c r="BE103" i="1"/>
  <c r="AZ112" i="1"/>
  <c r="BC112" i="1" s="1"/>
  <c r="CG112" i="1" s="1"/>
  <c r="AZ49" i="1"/>
  <c r="BC49" i="1" s="1"/>
  <c r="AZ143" i="1"/>
  <c r="BC143" i="1" s="1"/>
  <c r="CF143" i="1"/>
  <c r="BJ87" i="1"/>
  <c r="BK87" i="1" s="1"/>
  <c r="BL87" i="1" s="1"/>
  <c r="BM87" i="1" s="1"/>
  <c r="CH45" i="1"/>
  <c r="BG103" i="1"/>
  <c r="BF53" i="1"/>
  <c r="CF62" i="1"/>
  <c r="BJ103" i="1"/>
  <c r="BK103" i="1" s="1"/>
  <c r="BL103" i="1" s="1"/>
  <c r="BM103" i="1" s="1"/>
  <c r="BF65" i="1"/>
  <c r="BE53" i="1"/>
  <c r="BD53" i="1"/>
  <c r="BI53" i="1"/>
  <c r="AZ26" i="1"/>
  <c r="BC26" i="1" s="1"/>
  <c r="BG26" i="1" s="1"/>
  <c r="CF217" i="1"/>
  <c r="BF213" i="1"/>
  <c r="AS176" i="1"/>
  <c r="CE176" i="1" s="1"/>
  <c r="BE62" i="1"/>
  <c r="CH62" i="1" s="1"/>
  <c r="BD103" i="1"/>
  <c r="AX171" i="1"/>
  <c r="BG53" i="1"/>
  <c r="BJ53" i="1"/>
  <c r="BK53" i="1" s="1"/>
  <c r="BL53" i="1" s="1"/>
  <c r="BM53" i="1" s="1"/>
  <c r="AR176" i="1"/>
  <c r="AP185" i="1"/>
  <c r="BI103" i="1"/>
  <c r="AW171" i="1"/>
  <c r="AQ189" i="1"/>
  <c r="BI213" i="1"/>
  <c r="BD213" i="1"/>
  <c r="BG213" i="1"/>
  <c r="BE14" i="1"/>
  <c r="BF14" i="1"/>
  <c r="BJ14" i="1"/>
  <c r="BK14" i="1" s="1"/>
  <c r="BL14" i="1" s="1"/>
  <c r="BM14" i="1" s="1"/>
  <c r="BG14" i="1"/>
  <c r="BD14" i="1"/>
  <c r="BI14" i="1"/>
  <c r="AR248" i="1"/>
  <c r="BD101" i="1"/>
  <c r="AS248" i="1"/>
  <c r="BE101" i="1"/>
  <c r="AV162" i="1"/>
  <c r="AP248" i="1"/>
  <c r="BG101" i="1"/>
  <c r="AZ154" i="1"/>
  <c r="BC154" i="1" s="1"/>
  <c r="BE154" i="1" s="1"/>
  <c r="BJ101" i="1"/>
  <c r="BK101" i="1" s="1"/>
  <c r="BL101" i="1" s="1"/>
  <c r="BM101" i="1" s="1"/>
  <c r="BF101" i="1"/>
  <c r="AZ11" i="1"/>
  <c r="BC11" i="1" s="1"/>
  <c r="BE11" i="1" s="1"/>
  <c r="CG161" i="1"/>
  <c r="BG161" i="1"/>
  <c r="BE161" i="1"/>
  <c r="CG57" i="1"/>
  <c r="BG57" i="1"/>
  <c r="BD57" i="1"/>
  <c r="BJ57" i="1"/>
  <c r="BK57" i="1" s="1"/>
  <c r="BL57" i="1" s="1"/>
  <c r="BM57" i="1" s="1"/>
  <c r="BF57" i="1"/>
  <c r="BI57" i="1"/>
  <c r="BE57" i="1"/>
  <c r="AZ125" i="1"/>
  <c r="BC125" i="1" s="1"/>
  <c r="CG125" i="1" s="1"/>
  <c r="BI116" i="1"/>
  <c r="BG108" i="1"/>
  <c r="AW185" i="1"/>
  <c r="AR189" i="1"/>
  <c r="AZ216" i="1"/>
  <c r="BC216" i="1" s="1"/>
  <c r="BD216" i="1" s="1"/>
  <c r="BJ81" i="1"/>
  <c r="BK81" i="1" s="1"/>
  <c r="BL81" i="1" s="1"/>
  <c r="BM81" i="1" s="1"/>
  <c r="CF161" i="1"/>
  <c r="BG81" i="1"/>
  <c r="AP174" i="1"/>
  <c r="AY185" i="1"/>
  <c r="AW169" i="1"/>
  <c r="BE81" i="1"/>
  <c r="AS184" i="1"/>
  <c r="BF108" i="1"/>
  <c r="BD81" i="1"/>
  <c r="AZ71" i="1"/>
  <c r="BC71" i="1" s="1"/>
  <c r="BE71" i="1" s="1"/>
  <c r="AV185" i="1"/>
  <c r="AR174" i="1"/>
  <c r="AX169" i="1"/>
  <c r="BI81" i="1"/>
  <c r="AY169" i="1"/>
  <c r="BJ10" i="1"/>
  <c r="BK10" i="1" s="1"/>
  <c r="BL10" i="1" s="1"/>
  <c r="BM10" i="1" s="1"/>
  <c r="AP189" i="1"/>
  <c r="AT189" i="1" s="1"/>
  <c r="CF189" i="1" s="1"/>
  <c r="BJ30" i="1"/>
  <c r="BK30" i="1" s="1"/>
  <c r="BL30" i="1" s="1"/>
  <c r="BM30" i="1" s="1"/>
  <c r="CF218" i="1"/>
  <c r="AZ211" i="1"/>
  <c r="BC211" i="1" s="1"/>
  <c r="CF211" i="1"/>
  <c r="BG65" i="1"/>
  <c r="AZ25" i="1"/>
  <c r="BC25" i="1" s="1"/>
  <c r="BE25" i="1" s="1"/>
  <c r="AV241" i="1"/>
  <c r="AY234" i="1"/>
  <c r="BE41" i="1"/>
  <c r="BF116" i="1"/>
  <c r="BJ65" i="1"/>
  <c r="BK65" i="1" s="1"/>
  <c r="BL65" i="1" s="1"/>
  <c r="BM65" i="1" s="1"/>
  <c r="AW233" i="1"/>
  <c r="BG30" i="1"/>
  <c r="BE30" i="1"/>
  <c r="AQ183" i="1"/>
  <c r="AY241" i="1"/>
  <c r="BF41" i="1"/>
  <c r="BD116" i="1"/>
  <c r="CH116" i="1" s="1"/>
  <c r="BI65" i="1"/>
  <c r="BI30" i="1"/>
  <c r="CF73" i="1"/>
  <c r="AZ73" i="1"/>
  <c r="BC73" i="1" s="1"/>
  <c r="AS183" i="1"/>
  <c r="BG41" i="1"/>
  <c r="BJ116" i="1"/>
  <c r="BK116" i="1" s="1"/>
  <c r="BL116" i="1" s="1"/>
  <c r="BM116" i="1" s="1"/>
  <c r="BD65" i="1"/>
  <c r="BD30" i="1"/>
  <c r="AS185" i="1"/>
  <c r="AR185" i="1"/>
  <c r="AY233" i="1"/>
  <c r="AS178" i="1"/>
  <c r="AP183" i="1"/>
  <c r="AR178" i="1"/>
  <c r="BI41" i="1"/>
  <c r="BG116" i="1"/>
  <c r="CF140" i="1"/>
  <c r="BJ41" i="1"/>
  <c r="BK41" i="1" s="1"/>
  <c r="BL41" i="1" s="1"/>
  <c r="BM41" i="1" s="1"/>
  <c r="CF11" i="1"/>
  <c r="AY163" i="1"/>
  <c r="AV163" i="1"/>
  <c r="AW163" i="1"/>
  <c r="AV233" i="1"/>
  <c r="AT163" i="1"/>
  <c r="BG92" i="1"/>
  <c r="BE92" i="1"/>
  <c r="BD41" i="1"/>
  <c r="BE65" i="1"/>
  <c r="CG17" i="1"/>
  <c r="BD17" i="1"/>
  <c r="BJ17" i="1"/>
  <c r="BK17" i="1" s="1"/>
  <c r="BL17" i="1" s="1"/>
  <c r="BM17" i="1" s="1"/>
  <c r="BI17" i="1"/>
  <c r="BF17" i="1"/>
  <c r="BJ161" i="1"/>
  <c r="BK161" i="1" s="1"/>
  <c r="BL161" i="1" s="1"/>
  <c r="BM161" i="1" s="1"/>
  <c r="BI34" i="1"/>
  <c r="BF92" i="1"/>
  <c r="BI94" i="1"/>
  <c r="AP243" i="1"/>
  <c r="AT243" i="1" s="1"/>
  <c r="AZ243" i="1" s="1"/>
  <c r="BC243" i="1" s="1"/>
  <c r="CF17" i="1"/>
  <c r="BD220" i="1"/>
  <c r="BF220" i="1"/>
  <c r="BI220" i="1"/>
  <c r="BE220" i="1"/>
  <c r="BG220" i="1"/>
  <c r="BJ220" i="1"/>
  <c r="BK220" i="1" s="1"/>
  <c r="BL220" i="1" s="1"/>
  <c r="BM220" i="1" s="1"/>
  <c r="AS174" i="1"/>
  <c r="AY162" i="1"/>
  <c r="BI161" i="1"/>
  <c r="BF87" i="1"/>
  <c r="BI92" i="1"/>
  <c r="BG95" i="1"/>
  <c r="AR184" i="1"/>
  <c r="AP184" i="1"/>
  <c r="AW162" i="1"/>
  <c r="BD161" i="1"/>
  <c r="BI87" i="1"/>
  <c r="BI95" i="1"/>
  <c r="CF122" i="1"/>
  <c r="AZ160" i="1"/>
  <c r="BC160" i="1" s="1"/>
  <c r="CG160" i="1" s="1"/>
  <c r="AZ22" i="1"/>
  <c r="BC22" i="1" s="1"/>
  <c r="BG22" i="1" s="1"/>
  <c r="AQ167" i="1"/>
  <c r="AR167" i="1"/>
  <c r="AS167" i="1"/>
  <c r="AP167" i="1"/>
  <c r="AP178" i="1"/>
  <c r="AP168" i="1"/>
  <c r="BF161" i="1"/>
  <c r="BJ92" i="1"/>
  <c r="BK92" i="1" s="1"/>
  <c r="BL92" i="1" s="1"/>
  <c r="BM92" i="1" s="1"/>
  <c r="AQ243" i="1"/>
  <c r="BH205" i="1"/>
  <c r="CE240" i="1"/>
  <c r="AT240" i="1"/>
  <c r="BG111" i="1"/>
  <c r="BI149" i="1"/>
  <c r="BI10" i="1"/>
  <c r="BG58" i="1"/>
  <c r="BD149" i="1"/>
  <c r="CH149" i="1" s="1"/>
  <c r="BF149" i="1"/>
  <c r="AR169" i="1"/>
  <c r="BF10" i="1"/>
  <c r="BH56" i="1"/>
  <c r="BN56" i="1" s="1"/>
  <c r="AP172" i="1"/>
  <c r="BG10" i="1"/>
  <c r="BD15" i="1"/>
  <c r="AS169" i="1"/>
  <c r="AT169" i="1" s="1"/>
  <c r="AQ169" i="1"/>
  <c r="AS172" i="1"/>
  <c r="BE10" i="1"/>
  <c r="CH10" i="1" s="1"/>
  <c r="BG15" i="1"/>
  <c r="BH201" i="1"/>
  <c r="BN201" i="1" s="1"/>
  <c r="BO201" i="1" s="1"/>
  <c r="BR201" i="1" s="1"/>
  <c r="BJ149" i="1"/>
  <c r="BK149" i="1" s="1"/>
  <c r="BL149" i="1" s="1"/>
  <c r="BM149" i="1" s="1"/>
  <c r="AZ102" i="1"/>
  <c r="BC102" i="1" s="1"/>
  <c r="CG102" i="1" s="1"/>
  <c r="BI15" i="1"/>
  <c r="BG149" i="1"/>
  <c r="BE15" i="1"/>
  <c r="AR172" i="1"/>
  <c r="CG191" i="1"/>
  <c r="BF50" i="1"/>
  <c r="AZ85" i="1"/>
  <c r="BC85" i="1" s="1"/>
  <c r="BF85" i="1" s="1"/>
  <c r="BJ50" i="1"/>
  <c r="BK50" i="1" s="1"/>
  <c r="BL50" i="1" s="1"/>
  <c r="BM50" i="1" s="1"/>
  <c r="CF200" i="1"/>
  <c r="AZ200" i="1"/>
  <c r="BC200" i="1" s="1"/>
  <c r="BG50" i="1"/>
  <c r="BE50" i="1"/>
  <c r="BG17" i="1"/>
  <c r="BH75" i="1"/>
  <c r="BN75" i="1" s="1"/>
  <c r="BH139" i="1"/>
  <c r="BN139" i="1" s="1"/>
  <c r="BO139" i="1" s="1"/>
  <c r="BR139" i="1" s="1"/>
  <c r="BF66" i="1"/>
  <c r="BI50" i="1"/>
  <c r="AP239" i="1"/>
  <c r="BF51" i="1"/>
  <c r="CF214" i="1"/>
  <c r="AZ214" i="1"/>
  <c r="BC214" i="1" s="1"/>
  <c r="BG59" i="1"/>
  <c r="AR234" i="1"/>
  <c r="AS239" i="1"/>
  <c r="AZ105" i="1"/>
  <c r="BC105" i="1" s="1"/>
  <c r="CG105" i="1" s="1"/>
  <c r="BE51" i="1"/>
  <c r="BF34" i="1"/>
  <c r="BJ58" i="1"/>
  <c r="BK58" i="1" s="1"/>
  <c r="BL58" i="1" s="1"/>
  <c r="BM58" i="1" s="1"/>
  <c r="BF59" i="1"/>
  <c r="AZ124" i="1"/>
  <c r="BC124" i="1" s="1"/>
  <c r="CG124" i="1" s="1"/>
  <c r="BF135" i="1"/>
  <c r="BI135" i="1"/>
  <c r="BD135" i="1"/>
  <c r="BG135" i="1"/>
  <c r="BE135" i="1"/>
  <c r="BJ135" i="1"/>
  <c r="BK135" i="1" s="1"/>
  <c r="BL135" i="1" s="1"/>
  <c r="BM135" i="1" s="1"/>
  <c r="AZ133" i="1"/>
  <c r="BC133" i="1" s="1"/>
  <c r="CF133" i="1"/>
  <c r="BD51" i="1"/>
  <c r="BJ66" i="1"/>
  <c r="BK66" i="1" s="1"/>
  <c r="BL66" i="1" s="1"/>
  <c r="BM66" i="1" s="1"/>
  <c r="AQ239" i="1"/>
  <c r="BJ51" i="1"/>
  <c r="BK51" i="1" s="1"/>
  <c r="BL51" i="1" s="1"/>
  <c r="BM51" i="1" s="1"/>
  <c r="BD34" i="1"/>
  <c r="BD58" i="1"/>
  <c r="BI59" i="1"/>
  <c r="CH75" i="1"/>
  <c r="CH205" i="1"/>
  <c r="AZ29" i="1"/>
  <c r="BC29" i="1" s="1"/>
  <c r="CF29" i="1"/>
  <c r="BD140" i="1"/>
  <c r="BF140" i="1"/>
  <c r="BI140" i="1"/>
  <c r="BE140" i="1"/>
  <c r="BG140" i="1"/>
  <c r="BJ140" i="1"/>
  <c r="BK140" i="1" s="1"/>
  <c r="BL140" i="1" s="1"/>
  <c r="BM140" i="1" s="1"/>
  <c r="AZ203" i="1"/>
  <c r="BC203" i="1" s="1"/>
  <c r="CF203" i="1"/>
  <c r="CF209" i="1"/>
  <c r="AZ209" i="1"/>
  <c r="BC209" i="1" s="1"/>
  <c r="AP234" i="1"/>
  <c r="CF33" i="1"/>
  <c r="AZ33" i="1"/>
  <c r="BC33" i="1" s="1"/>
  <c r="AZ24" i="1"/>
  <c r="BC24" i="1" s="1"/>
  <c r="CF24" i="1"/>
  <c r="BG51" i="1"/>
  <c r="BG66" i="1"/>
  <c r="BJ34" i="1"/>
  <c r="BK34" i="1" s="1"/>
  <c r="BL34" i="1" s="1"/>
  <c r="BM34" i="1" s="1"/>
  <c r="BI58" i="1"/>
  <c r="BI111" i="1"/>
  <c r="CH56" i="1"/>
  <c r="CF138" i="1"/>
  <c r="AZ138" i="1"/>
  <c r="BC138" i="1" s="1"/>
  <c r="BF132" i="1"/>
  <c r="BD132" i="1"/>
  <c r="BI132" i="1"/>
  <c r="BE132" i="1"/>
  <c r="BG132" i="1"/>
  <c r="BJ132" i="1"/>
  <c r="BK132" i="1" s="1"/>
  <c r="BL132" i="1" s="1"/>
  <c r="BM132" i="1" s="1"/>
  <c r="BF212" i="1"/>
  <c r="BD212" i="1"/>
  <c r="BI212" i="1"/>
  <c r="BE212" i="1"/>
  <c r="BG212" i="1"/>
  <c r="BJ212" i="1"/>
  <c r="BK212" i="1" s="1"/>
  <c r="BL212" i="1" s="1"/>
  <c r="BM212" i="1" s="1"/>
  <c r="CH139" i="1"/>
  <c r="BI51" i="1"/>
  <c r="BD66" i="1"/>
  <c r="BG34" i="1"/>
  <c r="BE111" i="1"/>
  <c r="BI145" i="1"/>
  <c r="BD145" i="1"/>
  <c r="BF145" i="1"/>
  <c r="BG145" i="1"/>
  <c r="BE145" i="1"/>
  <c r="BJ145" i="1"/>
  <c r="BK145" i="1" s="1"/>
  <c r="BL145" i="1" s="1"/>
  <c r="BM145" i="1" s="1"/>
  <c r="BI127" i="1"/>
  <c r="BF127" i="1"/>
  <c r="BD127" i="1"/>
  <c r="BE127" i="1"/>
  <c r="BG127" i="1"/>
  <c r="BJ127" i="1"/>
  <c r="BK127" i="1" s="1"/>
  <c r="BL127" i="1" s="1"/>
  <c r="BM127" i="1" s="1"/>
  <c r="AZ204" i="1"/>
  <c r="BC204" i="1" s="1"/>
  <c r="CF204" i="1"/>
  <c r="BF199" i="1"/>
  <c r="BD199" i="1"/>
  <c r="BI199" i="1"/>
  <c r="BG199" i="1"/>
  <c r="BE199" i="1"/>
  <c r="BJ199" i="1"/>
  <c r="BK199" i="1" s="1"/>
  <c r="BL199" i="1" s="1"/>
  <c r="BM199" i="1" s="1"/>
  <c r="BE66" i="1"/>
  <c r="BJ111" i="1"/>
  <c r="BK111" i="1" s="1"/>
  <c r="BL111" i="1" s="1"/>
  <c r="BM111" i="1" s="1"/>
  <c r="CH201" i="1"/>
  <c r="CF82" i="1"/>
  <c r="AZ82" i="1"/>
  <c r="BC82" i="1" s="1"/>
  <c r="AZ76" i="1"/>
  <c r="BC76" i="1" s="1"/>
  <c r="CF76" i="1"/>
  <c r="CF207" i="1"/>
  <c r="AZ207" i="1"/>
  <c r="BC207" i="1" s="1"/>
  <c r="BE58" i="1"/>
  <c r="BI66" i="1"/>
  <c r="BF111" i="1"/>
  <c r="BF217" i="1"/>
  <c r="BD217" i="1"/>
  <c r="BI217" i="1"/>
  <c r="BG217" i="1"/>
  <c r="BE217" i="1"/>
  <c r="BJ217" i="1"/>
  <c r="BK217" i="1" s="1"/>
  <c r="BL217" i="1" s="1"/>
  <c r="BM217" i="1" s="1"/>
  <c r="BF142" i="1"/>
  <c r="BD142" i="1"/>
  <c r="BI142" i="1"/>
  <c r="BE142" i="1"/>
  <c r="BG142" i="1"/>
  <c r="BJ142" i="1"/>
  <c r="BK142" i="1" s="1"/>
  <c r="BL142" i="1" s="1"/>
  <c r="BM142" i="1" s="1"/>
  <c r="AZ23" i="1"/>
  <c r="BC23" i="1" s="1"/>
  <c r="CF23" i="1"/>
  <c r="BI218" i="1"/>
  <c r="BF218" i="1"/>
  <c r="BD218" i="1"/>
  <c r="BG218" i="1"/>
  <c r="BE218" i="1"/>
  <c r="BJ218" i="1"/>
  <c r="BK218" i="1" s="1"/>
  <c r="BL218" i="1" s="1"/>
  <c r="BM218" i="1" s="1"/>
  <c r="AZ63" i="1"/>
  <c r="BC63" i="1" s="1"/>
  <c r="CF63" i="1"/>
  <c r="BD59" i="1"/>
  <c r="BJ59" i="1"/>
  <c r="BK59" i="1" s="1"/>
  <c r="BL59" i="1" s="1"/>
  <c r="BM59" i="1" s="1"/>
  <c r="BD95" i="1"/>
  <c r="BD108" i="1"/>
  <c r="CH108" i="1" s="1"/>
  <c r="BJ118" i="1"/>
  <c r="BK118" i="1" s="1"/>
  <c r="BL118" i="1" s="1"/>
  <c r="BM118" i="1" s="1"/>
  <c r="BJ15" i="1"/>
  <c r="BK15" i="1" s="1"/>
  <c r="BL15" i="1" s="1"/>
  <c r="BM15" i="1" s="1"/>
  <c r="BF15" i="1"/>
  <c r="BJ94" i="1"/>
  <c r="BK94" i="1" s="1"/>
  <c r="BL94" i="1" s="1"/>
  <c r="BM94" i="1" s="1"/>
  <c r="BE95" i="1"/>
  <c r="BJ95" i="1"/>
  <c r="BK95" i="1" s="1"/>
  <c r="BL95" i="1" s="1"/>
  <c r="BM95" i="1" s="1"/>
  <c r="BI108" i="1"/>
  <c r="CF157" i="1"/>
  <c r="CF120" i="1"/>
  <c r="AZ120" i="1"/>
  <c r="BC120" i="1" s="1"/>
  <c r="BD122" i="1"/>
  <c r="CG157" i="1"/>
  <c r="BG157" i="1"/>
  <c r="BE157" i="1"/>
  <c r="BD157" i="1"/>
  <c r="BJ157" i="1"/>
  <c r="BK157" i="1" s="1"/>
  <c r="BL157" i="1" s="1"/>
  <c r="BM157" i="1" s="1"/>
  <c r="BI157" i="1"/>
  <c r="BF157" i="1"/>
  <c r="AZ152" i="1"/>
  <c r="BC152" i="1" s="1"/>
  <c r="BD152" i="1" s="1"/>
  <c r="BF94" i="1"/>
  <c r="BE94" i="1"/>
  <c r="CG108" i="1"/>
  <c r="BF118" i="1"/>
  <c r="BG118" i="1"/>
  <c r="BD94" i="1"/>
  <c r="BJ108" i="1"/>
  <c r="BK108" i="1" s="1"/>
  <c r="BL108" i="1" s="1"/>
  <c r="BM108" i="1" s="1"/>
  <c r="BJ122" i="1"/>
  <c r="BK122" i="1" s="1"/>
  <c r="BL122" i="1" s="1"/>
  <c r="BM122" i="1" s="1"/>
  <c r="BE17" i="1"/>
  <c r="CE193" i="1"/>
  <c r="CG86" i="1"/>
  <c r="BN55" i="1"/>
  <c r="BO55" i="1" s="1"/>
  <c r="BS55" i="1" s="1"/>
  <c r="CE259" i="1"/>
  <c r="BE122" i="1"/>
  <c r="BG122" i="1"/>
  <c r="BF122" i="1"/>
  <c r="BI122" i="1"/>
  <c r="AT193" i="1"/>
  <c r="CH84" i="1"/>
  <c r="CH159" i="1"/>
  <c r="BH159" i="1"/>
  <c r="AY239" i="1"/>
  <c r="AW239" i="1"/>
  <c r="AZ40" i="1"/>
  <c r="BC40" i="1" s="1"/>
  <c r="CG40" i="1" s="1"/>
  <c r="CE252" i="1"/>
  <c r="AT173" i="1"/>
  <c r="CF173" i="1" s="1"/>
  <c r="AQ182" i="1"/>
  <c r="CE233" i="1"/>
  <c r="CE249" i="1"/>
  <c r="CE173" i="1"/>
  <c r="AT226" i="1"/>
  <c r="CF226" i="1" s="1"/>
  <c r="CE194" i="1"/>
  <c r="CE225" i="1"/>
  <c r="AT162" i="1"/>
  <c r="AZ119" i="1"/>
  <c r="BC119" i="1" s="1"/>
  <c r="BF119" i="1" s="1"/>
  <c r="CF119" i="1"/>
  <c r="AZ42" i="1"/>
  <c r="BC42" i="1" s="1"/>
  <c r="CG42" i="1" s="1"/>
  <c r="CF42" i="1"/>
  <c r="AZ170" i="1"/>
  <c r="BC170" i="1" s="1"/>
  <c r="CG170" i="1" s="1"/>
  <c r="CF170" i="1"/>
  <c r="AZ115" i="1"/>
  <c r="BC115" i="1" s="1"/>
  <c r="CG115" i="1" s="1"/>
  <c r="CF115" i="1"/>
  <c r="AZ90" i="1"/>
  <c r="BC90" i="1" s="1"/>
  <c r="CG90" i="1" s="1"/>
  <c r="CF90" i="1"/>
  <c r="AZ16" i="1"/>
  <c r="BC16" i="1" s="1"/>
  <c r="CG16" i="1" s="1"/>
  <c r="CF16" i="1"/>
  <c r="AW172" i="1"/>
  <c r="AX172" i="1"/>
  <c r="BH84" i="1"/>
  <c r="AX177" i="1"/>
  <c r="AW177" i="1"/>
  <c r="AX178" i="1"/>
  <c r="AW178" i="1"/>
  <c r="CE162" i="1"/>
  <c r="AZ43" i="1"/>
  <c r="BC43" i="1" s="1"/>
  <c r="CG43" i="1" s="1"/>
  <c r="CF43" i="1"/>
  <c r="AZ64" i="1"/>
  <c r="BC64" i="1" s="1"/>
  <c r="CG64" i="1" s="1"/>
  <c r="CF64" i="1"/>
  <c r="AZ113" i="1"/>
  <c r="BC113" i="1" s="1"/>
  <c r="CG113" i="1" s="1"/>
  <c r="CF113" i="1"/>
  <c r="AZ47" i="1"/>
  <c r="BC47" i="1" s="1"/>
  <c r="BG47" i="1" s="1"/>
  <c r="CF47" i="1"/>
  <c r="AZ19" i="1"/>
  <c r="BC19" i="1" s="1"/>
  <c r="CG19" i="1" s="1"/>
  <c r="CF19" i="1"/>
  <c r="AZ153" i="1"/>
  <c r="BC153" i="1" s="1"/>
  <c r="CF153" i="1"/>
  <c r="AZ12" i="1"/>
  <c r="BC12" i="1" s="1"/>
  <c r="CG12" i="1" s="1"/>
  <c r="CF12" i="1"/>
  <c r="AZ110" i="1"/>
  <c r="BC110" i="1" s="1"/>
  <c r="CG110" i="1" s="1"/>
  <c r="CF110" i="1"/>
  <c r="AZ54" i="1"/>
  <c r="BC54" i="1" s="1"/>
  <c r="CG54" i="1" s="1"/>
  <c r="CF54" i="1"/>
  <c r="AZ69" i="1"/>
  <c r="BC69" i="1" s="1"/>
  <c r="CG69" i="1" s="1"/>
  <c r="CF69" i="1"/>
  <c r="BE121" i="1"/>
  <c r="BG121" i="1"/>
  <c r="BF121" i="1"/>
  <c r="BD121" i="1"/>
  <c r="BJ121" i="1"/>
  <c r="BK121" i="1" s="1"/>
  <c r="BL121" i="1" s="1"/>
  <c r="BM121" i="1" s="1"/>
  <c r="BI121" i="1"/>
  <c r="CH38" i="1"/>
  <c r="BH38" i="1"/>
  <c r="CG46" i="1"/>
  <c r="BF46" i="1"/>
  <c r="BE46" i="1"/>
  <c r="BD46" i="1"/>
  <c r="BJ46" i="1"/>
  <c r="BK46" i="1" s="1"/>
  <c r="BL46" i="1" s="1"/>
  <c r="BM46" i="1" s="1"/>
  <c r="BG46" i="1"/>
  <c r="BI46" i="1"/>
  <c r="AW244" i="1"/>
  <c r="AX244" i="1"/>
  <c r="AZ151" i="1"/>
  <c r="BC151" i="1" s="1"/>
  <c r="CF151" i="1"/>
  <c r="AZ99" i="1"/>
  <c r="BC99" i="1" s="1"/>
  <c r="CF99" i="1"/>
  <c r="CG98" i="1"/>
  <c r="BG21" i="1"/>
  <c r="BF21" i="1"/>
  <c r="BD21" i="1"/>
  <c r="BJ21" i="1"/>
  <c r="BK21" i="1" s="1"/>
  <c r="BL21" i="1" s="1"/>
  <c r="BM21" i="1" s="1"/>
  <c r="BI21" i="1"/>
  <c r="BE21" i="1"/>
  <c r="AX168" i="1"/>
  <c r="AW168" i="1"/>
  <c r="BD39" i="1"/>
  <c r="BF39" i="1"/>
  <c r="BJ39" i="1"/>
  <c r="BK39" i="1" s="1"/>
  <c r="BL39" i="1" s="1"/>
  <c r="BM39" i="1" s="1"/>
  <c r="BE39" i="1"/>
  <c r="BG39" i="1"/>
  <c r="BI39" i="1"/>
  <c r="AX234" i="1"/>
  <c r="AW234" i="1"/>
  <c r="CE226" i="1"/>
  <c r="AT225" i="1"/>
  <c r="AT259" i="1"/>
  <c r="AQ180" i="1"/>
  <c r="AT233" i="1"/>
  <c r="AW187" i="1"/>
  <c r="AX187" i="1"/>
  <c r="AX224" i="1"/>
  <c r="AW224" i="1"/>
  <c r="AS187" i="1"/>
  <c r="AR187" i="1"/>
  <c r="AP187" i="1"/>
  <c r="AQ187" i="1"/>
  <c r="AS242" i="1"/>
  <c r="AP242" i="1"/>
  <c r="AR242" i="1"/>
  <c r="AQ242" i="1"/>
  <c r="AP224" i="1"/>
  <c r="AR224" i="1"/>
  <c r="AS224" i="1"/>
  <c r="AQ224" i="1"/>
  <c r="CG85" i="1"/>
  <c r="CG119" i="1"/>
  <c r="CG154" i="1"/>
  <c r="CG189" i="1"/>
  <c r="CG222" i="1"/>
  <c r="AX195" i="1"/>
  <c r="AT249" i="1"/>
  <c r="AW182" i="1"/>
  <c r="AQ195" i="1"/>
  <c r="AT252" i="1"/>
  <c r="AX179" i="1"/>
  <c r="AW196" i="1"/>
  <c r="AT194" i="1"/>
  <c r="CF194" i="1" s="1"/>
  <c r="AV195" i="1"/>
  <c r="AY195" i="1"/>
  <c r="AW235" i="1"/>
  <c r="AV175" i="1"/>
  <c r="AY175" i="1"/>
  <c r="AV166" i="1"/>
  <c r="AY166" i="1"/>
  <c r="AW164" i="1"/>
  <c r="AP232" i="1"/>
  <c r="AS232" i="1"/>
  <c r="AQ232" i="1"/>
  <c r="AP182" i="1"/>
  <c r="AS182" i="1"/>
  <c r="AS235" i="1"/>
  <c r="AP235" i="1"/>
  <c r="AR235" i="1"/>
  <c r="AY180" i="1"/>
  <c r="AV180" i="1"/>
  <c r="AS164" i="1"/>
  <c r="AP164" i="1"/>
  <c r="AR164" i="1"/>
  <c r="AY179" i="1"/>
  <c r="AV179" i="1"/>
  <c r="AV182" i="1"/>
  <c r="AY182" i="1"/>
  <c r="AP195" i="1"/>
  <c r="AS195" i="1"/>
  <c r="AQ235" i="1"/>
  <c r="AR196" i="1"/>
  <c r="AS196" i="1"/>
  <c r="AP196" i="1"/>
  <c r="AQ196" i="1"/>
  <c r="AW180" i="1"/>
  <c r="AS166" i="1"/>
  <c r="AP166" i="1"/>
  <c r="AY232" i="1"/>
  <c r="AV232" i="1"/>
  <c r="AV235" i="1"/>
  <c r="AY235" i="1"/>
  <c r="AV196" i="1"/>
  <c r="AY196" i="1"/>
  <c r="AP180" i="1"/>
  <c r="AS180" i="1"/>
  <c r="AX180" i="1"/>
  <c r="AR175" i="1"/>
  <c r="AS175" i="1"/>
  <c r="AP175" i="1"/>
  <c r="AQ175" i="1"/>
  <c r="AR166" i="1"/>
  <c r="AQ164" i="1"/>
  <c r="AY164" i="1"/>
  <c r="AV164" i="1"/>
  <c r="AP179" i="1"/>
  <c r="AS179" i="1"/>
  <c r="AQ179" i="1"/>
  <c r="CH208" i="1" l="1"/>
  <c r="BH60" i="1"/>
  <c r="CH91" i="1"/>
  <c r="CI205" i="1"/>
  <c r="BN91" i="1"/>
  <c r="BO91" i="1" s="1"/>
  <c r="BR91" i="1" s="1"/>
  <c r="BJ107" i="1"/>
  <c r="BK107" i="1" s="1"/>
  <c r="BL107" i="1" s="1"/>
  <c r="BM107" i="1" s="1"/>
  <c r="BH208" i="1"/>
  <c r="BN208" i="1" s="1"/>
  <c r="BO208" i="1" s="1"/>
  <c r="BR208" i="1" s="1"/>
  <c r="BD109" i="1"/>
  <c r="CH109" i="1" s="1"/>
  <c r="BJ109" i="1"/>
  <c r="BK109" i="1" s="1"/>
  <c r="BL109" i="1" s="1"/>
  <c r="BM109" i="1" s="1"/>
  <c r="BF109" i="1"/>
  <c r="BJ72" i="1"/>
  <c r="BK72" i="1" s="1"/>
  <c r="BL72" i="1" s="1"/>
  <c r="BM72" i="1" s="1"/>
  <c r="BI109" i="1"/>
  <c r="BG109" i="1"/>
  <c r="BF72" i="1"/>
  <c r="BE72" i="1"/>
  <c r="BE96" i="1"/>
  <c r="CH96" i="1" s="1"/>
  <c r="BE107" i="1"/>
  <c r="BD107" i="1"/>
  <c r="BG107" i="1"/>
  <c r="BG72" i="1"/>
  <c r="BD72" i="1"/>
  <c r="BF107" i="1"/>
  <c r="BI107" i="1"/>
  <c r="BF96" i="1"/>
  <c r="BJ96" i="1"/>
  <c r="BK96" i="1" s="1"/>
  <c r="BL96" i="1" s="1"/>
  <c r="BM96" i="1" s="1"/>
  <c r="BI96" i="1"/>
  <c r="BG96" i="1"/>
  <c r="BH77" i="1"/>
  <c r="CI77" i="1" s="1"/>
  <c r="BI98" i="1"/>
  <c r="BH210" i="1"/>
  <c r="BN210" i="1" s="1"/>
  <c r="BO210" i="1" s="1"/>
  <c r="BR210" i="1" s="1"/>
  <c r="BE98" i="1"/>
  <c r="CH98" i="1" s="1"/>
  <c r="AZ106" i="1"/>
  <c r="BC106" i="1" s="1"/>
  <c r="BF106" i="1" s="1"/>
  <c r="CH20" i="1"/>
  <c r="BH20" i="1"/>
  <c r="BN20" i="1" s="1"/>
  <c r="BO20" i="1" s="1"/>
  <c r="BR20" i="1" s="1"/>
  <c r="BG98" i="1"/>
  <c r="BJ98" i="1"/>
  <c r="BK98" i="1" s="1"/>
  <c r="BL98" i="1" s="1"/>
  <c r="BM98" i="1" s="1"/>
  <c r="BF98" i="1"/>
  <c r="CE231" i="1"/>
  <c r="CI136" i="1"/>
  <c r="BN32" i="1"/>
  <c r="BO32" i="1" s="1"/>
  <c r="BR32" i="1" s="1"/>
  <c r="CE165" i="1"/>
  <c r="CF98" i="1"/>
  <c r="AT251" i="1"/>
  <c r="AZ251" i="1" s="1"/>
  <c r="BC251" i="1" s="1"/>
  <c r="CG251" i="1" s="1"/>
  <c r="CE254" i="1"/>
  <c r="CE238" i="1"/>
  <c r="CE256" i="1"/>
  <c r="AT254" i="1"/>
  <c r="AZ254" i="1" s="1"/>
  <c r="BC254" i="1" s="1"/>
  <c r="BI254" i="1" s="1"/>
  <c r="CE250" i="1"/>
  <c r="CH74" i="1"/>
  <c r="AT238" i="1"/>
  <c r="CF238" i="1" s="1"/>
  <c r="BI126" i="1"/>
  <c r="BD126" i="1"/>
  <c r="BG126" i="1"/>
  <c r="BF126" i="1"/>
  <c r="BE126" i="1"/>
  <c r="BJ126" i="1"/>
  <c r="BK126" i="1" s="1"/>
  <c r="BL126" i="1" s="1"/>
  <c r="BM126" i="1" s="1"/>
  <c r="AT250" i="1"/>
  <c r="AZ250" i="1" s="1"/>
  <c r="BC250" i="1" s="1"/>
  <c r="CG250" i="1" s="1"/>
  <c r="AZ222" i="1"/>
  <c r="BC222" i="1" s="1"/>
  <c r="CE222" i="1"/>
  <c r="CE236" i="1"/>
  <c r="CE192" i="1"/>
  <c r="AT236" i="1"/>
  <c r="AZ236" i="1" s="1"/>
  <c r="BC236" i="1" s="1"/>
  <c r="CG236" i="1" s="1"/>
  <c r="CH61" i="1"/>
  <c r="BH74" i="1"/>
  <c r="BN74" i="1" s="1"/>
  <c r="BO74" i="1" s="1"/>
  <c r="BP74" i="1" s="1"/>
  <c r="CH123" i="1"/>
  <c r="CE253" i="1"/>
  <c r="BH36" i="1"/>
  <c r="BN36" i="1" s="1"/>
  <c r="BO36" i="1" s="1"/>
  <c r="BR36" i="1" s="1"/>
  <c r="CI78" i="1"/>
  <c r="BO78" i="1"/>
  <c r="BR78" i="1" s="1"/>
  <c r="AT231" i="1"/>
  <c r="AZ231" i="1" s="1"/>
  <c r="BC231" i="1" s="1"/>
  <c r="CG231" i="1" s="1"/>
  <c r="CE261" i="1"/>
  <c r="BJ148" i="1"/>
  <c r="BK148" i="1" s="1"/>
  <c r="BL148" i="1" s="1"/>
  <c r="BM148" i="1" s="1"/>
  <c r="BE148" i="1"/>
  <c r="BG148" i="1"/>
  <c r="CF191" i="1"/>
  <c r="BI86" i="1"/>
  <c r="BD148" i="1"/>
  <c r="BI148" i="1"/>
  <c r="AT257" i="1"/>
  <c r="AZ257" i="1" s="1"/>
  <c r="BC257" i="1" s="1"/>
  <c r="CG257" i="1" s="1"/>
  <c r="CE223" i="1"/>
  <c r="BH215" i="1"/>
  <c r="CI215" i="1" s="1"/>
  <c r="AT223" i="1"/>
  <c r="AZ223" i="1" s="1"/>
  <c r="BC223" i="1" s="1"/>
  <c r="BE223" i="1" s="1"/>
  <c r="CH156" i="1"/>
  <c r="BH202" i="1"/>
  <c r="BN202" i="1" s="1"/>
  <c r="BO202" i="1" s="1"/>
  <c r="BR202" i="1" s="1"/>
  <c r="CH155" i="1"/>
  <c r="BJ100" i="1"/>
  <c r="BK100" i="1" s="1"/>
  <c r="BL100" i="1" s="1"/>
  <c r="BM100" i="1" s="1"/>
  <c r="BD100" i="1"/>
  <c r="CE181" i="1"/>
  <c r="AZ191" i="1"/>
  <c r="BC191" i="1" s="1"/>
  <c r="BE191" i="1" s="1"/>
  <c r="CH202" i="1"/>
  <c r="BF100" i="1"/>
  <c r="BE97" i="1"/>
  <c r="BE100" i="1"/>
  <c r="BG100" i="1"/>
  <c r="BJ97" i="1"/>
  <c r="BK97" i="1" s="1"/>
  <c r="BL97" i="1" s="1"/>
  <c r="BM97" i="1" s="1"/>
  <c r="CH95" i="1"/>
  <c r="AT165" i="1"/>
  <c r="CF165" i="1" s="1"/>
  <c r="BE67" i="1"/>
  <c r="BE18" i="1"/>
  <c r="BI18" i="1"/>
  <c r="BG67" i="1"/>
  <c r="BF67" i="1"/>
  <c r="BI67" i="1"/>
  <c r="BD67" i="1"/>
  <c r="BJ18" i="1"/>
  <c r="BK18" i="1" s="1"/>
  <c r="BL18" i="1" s="1"/>
  <c r="BM18" i="1" s="1"/>
  <c r="AT256" i="1"/>
  <c r="AZ256" i="1" s="1"/>
  <c r="BC256" i="1" s="1"/>
  <c r="CG256" i="1" s="1"/>
  <c r="BG18" i="1"/>
  <c r="BD18" i="1"/>
  <c r="BJ67" i="1"/>
  <c r="BK67" i="1" s="1"/>
  <c r="BL67" i="1" s="1"/>
  <c r="BM67" i="1" s="1"/>
  <c r="BF18" i="1"/>
  <c r="AZ246" i="1"/>
  <c r="BC246" i="1" s="1"/>
  <c r="CG246" i="1" s="1"/>
  <c r="CE255" i="1"/>
  <c r="BH70" i="1"/>
  <c r="BN70" i="1" s="1"/>
  <c r="BO70" i="1" s="1"/>
  <c r="BR70" i="1" s="1"/>
  <c r="BE37" i="1"/>
  <c r="BI37" i="1"/>
  <c r="BJ37" i="1"/>
  <c r="BK37" i="1" s="1"/>
  <c r="BL37" i="1" s="1"/>
  <c r="BM37" i="1" s="1"/>
  <c r="BH144" i="1"/>
  <c r="BN144" i="1" s="1"/>
  <c r="BO144" i="1" s="1"/>
  <c r="BR144" i="1" s="1"/>
  <c r="CH215" i="1"/>
  <c r="BD37" i="1"/>
  <c r="BF37" i="1"/>
  <c r="AT230" i="1"/>
  <c r="AZ230" i="1" s="1"/>
  <c r="BC230" i="1" s="1"/>
  <c r="CG230" i="1" s="1"/>
  <c r="CH70" i="1"/>
  <c r="AT253" i="1"/>
  <c r="AZ253" i="1" s="1"/>
  <c r="BC253" i="1" s="1"/>
  <c r="BG253" i="1" s="1"/>
  <c r="CH114" i="1"/>
  <c r="BH150" i="1"/>
  <c r="CI150" i="1" s="1"/>
  <c r="BH221" i="1"/>
  <c r="BN221" i="1" s="1"/>
  <c r="BO221" i="1" s="1"/>
  <c r="BR221" i="1" s="1"/>
  <c r="AT192" i="1"/>
  <c r="AZ192" i="1" s="1"/>
  <c r="BC192" i="1" s="1"/>
  <c r="CG192" i="1" s="1"/>
  <c r="BH156" i="1"/>
  <c r="CI156" i="1" s="1"/>
  <c r="CE234" i="1"/>
  <c r="CH88" i="1"/>
  <c r="CH219" i="1"/>
  <c r="CI130" i="1"/>
  <c r="CH89" i="1"/>
  <c r="BH137" i="1"/>
  <c r="BN137" i="1" s="1"/>
  <c r="BO137" i="1" s="1"/>
  <c r="BR137" i="1" s="1"/>
  <c r="BH28" i="1"/>
  <c r="BN28" i="1" s="1"/>
  <c r="BO28" i="1" s="1"/>
  <c r="BR28" i="1" s="1"/>
  <c r="BH146" i="1"/>
  <c r="CI146" i="1" s="1"/>
  <c r="BH123" i="1"/>
  <c r="BN123" i="1" s="1"/>
  <c r="BO123" i="1" s="1"/>
  <c r="BH87" i="1"/>
  <c r="CI87" i="1" s="1"/>
  <c r="AT168" i="1"/>
  <c r="AZ168" i="1" s="1"/>
  <c r="BC168" i="1" s="1"/>
  <c r="CG168" i="1" s="1"/>
  <c r="AT255" i="1"/>
  <c r="AZ255" i="1" s="1"/>
  <c r="BC255" i="1" s="1"/>
  <c r="BI255" i="1" s="1"/>
  <c r="BH52" i="1"/>
  <c r="CI52" i="1" s="1"/>
  <c r="BH219" i="1"/>
  <c r="BN219" i="1" s="1"/>
  <c r="BO219" i="1" s="1"/>
  <c r="BS219" i="1" s="1"/>
  <c r="AT245" i="1"/>
  <c r="CF245" i="1" s="1"/>
  <c r="BJ117" i="1"/>
  <c r="BK117" i="1" s="1"/>
  <c r="BL117" i="1" s="1"/>
  <c r="BM117" i="1" s="1"/>
  <c r="BI125" i="1"/>
  <c r="BI27" i="1"/>
  <c r="BD27" i="1"/>
  <c r="BE117" i="1"/>
  <c r="BG27" i="1"/>
  <c r="AT237" i="1"/>
  <c r="AZ237" i="1" s="1"/>
  <c r="BC237" i="1" s="1"/>
  <c r="CG237" i="1" s="1"/>
  <c r="CH158" i="1"/>
  <c r="CE186" i="1"/>
  <c r="BH155" i="1"/>
  <c r="CI155" i="1" s="1"/>
  <c r="CH87" i="1"/>
  <c r="CE257" i="1"/>
  <c r="BD117" i="1"/>
  <c r="BH80" i="1"/>
  <c r="BN80" i="1" s="1"/>
  <c r="BO80" i="1" s="1"/>
  <c r="BR80" i="1" s="1"/>
  <c r="BH61" i="1"/>
  <c r="CI61" i="1" s="1"/>
  <c r="CH28" i="1"/>
  <c r="BF117" i="1"/>
  <c r="CH206" i="1"/>
  <c r="BI117" i="1"/>
  <c r="BF97" i="1"/>
  <c r="BN141" i="1"/>
  <c r="BO141" i="1" s="1"/>
  <c r="BR141" i="1" s="1"/>
  <c r="AT260" i="1"/>
  <c r="AZ260" i="1" s="1"/>
  <c r="BC260" i="1" s="1"/>
  <c r="CG260" i="1" s="1"/>
  <c r="CI45" i="1"/>
  <c r="CE168" i="1"/>
  <c r="CH80" i="1"/>
  <c r="BH89" i="1"/>
  <c r="BN89" i="1" s="1"/>
  <c r="BO89" i="1" s="1"/>
  <c r="BR89" i="1" s="1"/>
  <c r="BS130" i="1"/>
  <c r="CJ130" i="1" s="1"/>
  <c r="CH93" i="1"/>
  <c r="CE188" i="1"/>
  <c r="CH52" i="1"/>
  <c r="BD124" i="1"/>
  <c r="BR130" i="1"/>
  <c r="AZ229" i="1"/>
  <c r="BC229" i="1" s="1"/>
  <c r="BI229" i="1" s="1"/>
  <c r="CE247" i="1"/>
  <c r="BH41" i="1"/>
  <c r="CI41" i="1" s="1"/>
  <c r="BF216" i="1"/>
  <c r="AT186" i="1"/>
  <c r="AZ186" i="1" s="1"/>
  <c r="BC186" i="1" s="1"/>
  <c r="BE186" i="1" s="1"/>
  <c r="BH147" i="1"/>
  <c r="BN147" i="1" s="1"/>
  <c r="BO147" i="1" s="1"/>
  <c r="BR147" i="1" s="1"/>
  <c r="CE177" i="1"/>
  <c r="CE258" i="1"/>
  <c r="AT228" i="1"/>
  <c r="AZ228" i="1" s="1"/>
  <c r="BC228" i="1" s="1"/>
  <c r="CG228" i="1" s="1"/>
  <c r="BI124" i="1"/>
  <c r="CE174" i="1"/>
  <c r="BG124" i="1"/>
  <c r="BJ129" i="1"/>
  <c r="BK129" i="1" s="1"/>
  <c r="BL129" i="1" s="1"/>
  <c r="BM129" i="1" s="1"/>
  <c r="AT177" i="1"/>
  <c r="AZ177" i="1" s="1"/>
  <c r="BC177" i="1" s="1"/>
  <c r="BF177" i="1" s="1"/>
  <c r="BJ216" i="1"/>
  <c r="BK216" i="1" s="1"/>
  <c r="BL216" i="1" s="1"/>
  <c r="BM216" i="1" s="1"/>
  <c r="CI44" i="1"/>
  <c r="BI216" i="1"/>
  <c r="BE26" i="1"/>
  <c r="CH15" i="1"/>
  <c r="BH158" i="1"/>
  <c r="BN158" i="1" s="1"/>
  <c r="BF124" i="1"/>
  <c r="BI26" i="1"/>
  <c r="BJ27" i="1"/>
  <c r="BK27" i="1" s="1"/>
  <c r="BL27" i="1" s="1"/>
  <c r="BM27" i="1" s="1"/>
  <c r="BE27" i="1"/>
  <c r="CE243" i="1"/>
  <c r="CI91" i="1"/>
  <c r="CF197" i="1"/>
  <c r="CH134" i="1"/>
  <c r="BH68" i="1"/>
  <c r="BN68" i="1" s="1"/>
  <c r="CE230" i="1"/>
  <c r="BH79" i="1"/>
  <c r="CI79" i="1" s="1"/>
  <c r="BE124" i="1"/>
  <c r="BJ124" i="1"/>
  <c r="BK124" i="1" s="1"/>
  <c r="BL124" i="1" s="1"/>
  <c r="BM124" i="1" s="1"/>
  <c r="AT241" i="1"/>
  <c r="AZ241" i="1" s="1"/>
  <c r="BC241" i="1" s="1"/>
  <c r="CG241" i="1" s="1"/>
  <c r="AT181" i="1"/>
  <c r="CF181" i="1" s="1"/>
  <c r="CE237" i="1"/>
  <c r="BG129" i="1"/>
  <c r="BH149" i="1"/>
  <c r="CI149" i="1" s="1"/>
  <c r="BF86" i="1"/>
  <c r="BE129" i="1"/>
  <c r="CF229" i="1"/>
  <c r="BD86" i="1"/>
  <c r="BI129" i="1"/>
  <c r="CH31" i="1"/>
  <c r="BH134" i="1"/>
  <c r="BN134" i="1" s="1"/>
  <c r="BJ86" i="1"/>
  <c r="BK86" i="1" s="1"/>
  <c r="BL86" i="1" s="1"/>
  <c r="BM86" i="1" s="1"/>
  <c r="BD129" i="1"/>
  <c r="BH13" i="1"/>
  <c r="CI13" i="1" s="1"/>
  <c r="BE86" i="1"/>
  <c r="BO44" i="1"/>
  <c r="BR44" i="1" s="1"/>
  <c r="BH83" i="1"/>
  <c r="CI83" i="1" s="1"/>
  <c r="AT188" i="1"/>
  <c r="CF188" i="1" s="1"/>
  <c r="BF26" i="1"/>
  <c r="BF128" i="1"/>
  <c r="BE22" i="1"/>
  <c r="CH147" i="1"/>
  <c r="CE244" i="1"/>
  <c r="CE241" i="1"/>
  <c r="BI128" i="1"/>
  <c r="AT247" i="1"/>
  <c r="AZ247" i="1" s="1"/>
  <c r="BC247" i="1" s="1"/>
  <c r="CG247" i="1" s="1"/>
  <c r="CH79" i="1"/>
  <c r="CH68" i="1"/>
  <c r="BJ26" i="1"/>
  <c r="BK26" i="1" s="1"/>
  <c r="BL26" i="1" s="1"/>
  <c r="BM26" i="1" s="1"/>
  <c r="BG71" i="1"/>
  <c r="BD26" i="1"/>
  <c r="BD154" i="1"/>
  <c r="CH154" i="1" s="1"/>
  <c r="BG125" i="1"/>
  <c r="BH57" i="1"/>
  <c r="BN57" i="1" s="1"/>
  <c r="BO57" i="1" s="1"/>
  <c r="BR57" i="1" s="1"/>
  <c r="BG216" i="1"/>
  <c r="BE216" i="1"/>
  <c r="CH216" i="1" s="1"/>
  <c r="AT184" i="1"/>
  <c r="AZ184" i="1" s="1"/>
  <c r="BC184" i="1" s="1"/>
  <c r="CG184" i="1" s="1"/>
  <c r="BD97" i="1"/>
  <c r="AT190" i="1"/>
  <c r="CF190" i="1" s="1"/>
  <c r="AT248" i="1"/>
  <c r="AZ248" i="1" s="1"/>
  <c r="BC248" i="1" s="1"/>
  <c r="CG248" i="1" s="1"/>
  <c r="BH48" i="1"/>
  <c r="BN48" i="1" s="1"/>
  <c r="BO48" i="1" s="1"/>
  <c r="BR48" i="1" s="1"/>
  <c r="BH88" i="1"/>
  <c r="CI88" i="1" s="1"/>
  <c r="CH48" i="1"/>
  <c r="CH13" i="1"/>
  <c r="BR55" i="1"/>
  <c r="CE227" i="1"/>
  <c r="BF25" i="1"/>
  <c r="BH114" i="1"/>
  <c r="BN114" i="1" s="1"/>
  <c r="BO114" i="1" s="1"/>
  <c r="BR114" i="1" s="1"/>
  <c r="BH93" i="1"/>
  <c r="CI93" i="1" s="1"/>
  <c r="AZ197" i="1"/>
  <c r="BC197" i="1" s="1"/>
  <c r="CG197" i="1" s="1"/>
  <c r="BF22" i="1"/>
  <c r="BF131" i="1"/>
  <c r="BG131" i="1"/>
  <c r="BE131" i="1"/>
  <c r="BJ131" i="1"/>
  <c r="BK131" i="1" s="1"/>
  <c r="BL131" i="1" s="1"/>
  <c r="BM131" i="1" s="1"/>
  <c r="BI131" i="1"/>
  <c r="BD131" i="1"/>
  <c r="AT244" i="1"/>
  <c r="CF244" i="1" s="1"/>
  <c r="CF171" i="1"/>
  <c r="BH118" i="1"/>
  <c r="CI118" i="1" s="1"/>
  <c r="BH31" i="1"/>
  <c r="CI31" i="1" s="1"/>
  <c r="BI97" i="1"/>
  <c r="BH104" i="1"/>
  <c r="CI104" i="1" s="1"/>
  <c r="AT174" i="1"/>
  <c r="AZ174" i="1" s="1"/>
  <c r="BC174" i="1" s="1"/>
  <c r="BH206" i="1"/>
  <c r="BN206" i="1" s="1"/>
  <c r="BO206" i="1" s="1"/>
  <c r="BR206" i="1" s="1"/>
  <c r="BJ85" i="1"/>
  <c r="BK85" i="1" s="1"/>
  <c r="BL85" i="1" s="1"/>
  <c r="BM85" i="1" s="1"/>
  <c r="CE260" i="1"/>
  <c r="BD128" i="1"/>
  <c r="CH128" i="1" s="1"/>
  <c r="BF198" i="1"/>
  <c r="AZ171" i="1"/>
  <c r="BC171" i="1" s="1"/>
  <c r="BG171" i="1" s="1"/>
  <c r="BH103" i="1"/>
  <c r="BN103" i="1" s="1"/>
  <c r="BO103" i="1" s="1"/>
  <c r="AT258" i="1"/>
  <c r="AZ258" i="1" s="1"/>
  <c r="BC258" i="1" s="1"/>
  <c r="CG258" i="1" s="1"/>
  <c r="CF169" i="1"/>
  <c r="CH92" i="1"/>
  <c r="BJ128" i="1"/>
  <c r="BK128" i="1" s="1"/>
  <c r="BL128" i="1" s="1"/>
  <c r="BM128" i="1" s="1"/>
  <c r="BG128" i="1"/>
  <c r="CH104" i="1"/>
  <c r="BF160" i="1"/>
  <c r="CH101" i="1"/>
  <c r="CE178" i="1"/>
  <c r="BH62" i="1"/>
  <c r="CI62" i="1" s="1"/>
  <c r="CH53" i="1"/>
  <c r="BF71" i="1"/>
  <c r="CH41" i="1"/>
  <c r="BH157" i="1"/>
  <c r="BN157" i="1" s="1"/>
  <c r="AT176" i="1"/>
  <c r="CF176" i="1" s="1"/>
  <c r="BH101" i="1"/>
  <c r="BN101" i="1" s="1"/>
  <c r="BO101" i="1" s="1"/>
  <c r="CE248" i="1"/>
  <c r="CH35" i="1"/>
  <c r="BH59" i="1"/>
  <c r="CI59" i="1" s="1"/>
  <c r="BG112" i="1"/>
  <c r="BI71" i="1"/>
  <c r="BH53" i="1"/>
  <c r="BN53" i="1" s="1"/>
  <c r="BO53" i="1" s="1"/>
  <c r="BH213" i="1"/>
  <c r="BN213" i="1" s="1"/>
  <c r="BO213" i="1" s="1"/>
  <c r="BR213" i="1" s="1"/>
  <c r="BD71" i="1"/>
  <c r="CE183" i="1"/>
  <c r="AT227" i="1"/>
  <c r="CF227" i="1" s="1"/>
  <c r="BD112" i="1"/>
  <c r="BH35" i="1"/>
  <c r="CI35" i="1" s="1"/>
  <c r="CE190" i="1"/>
  <c r="BI112" i="1"/>
  <c r="BJ198" i="1"/>
  <c r="BK198" i="1" s="1"/>
  <c r="BL198" i="1" s="1"/>
  <c r="BM198" i="1" s="1"/>
  <c r="AT178" i="1"/>
  <c r="AZ178" i="1" s="1"/>
  <c r="BC178" i="1" s="1"/>
  <c r="AT185" i="1"/>
  <c r="CF185" i="1" s="1"/>
  <c r="BH14" i="1"/>
  <c r="BN14" i="1" s="1"/>
  <c r="BO14" i="1" s="1"/>
  <c r="BP14" i="1" s="1"/>
  <c r="BD198" i="1"/>
  <c r="CH57" i="1"/>
  <c r="BF112" i="1"/>
  <c r="BE198" i="1"/>
  <c r="BJ112" i="1"/>
  <c r="BK112" i="1" s="1"/>
  <c r="BL112" i="1" s="1"/>
  <c r="BM112" i="1" s="1"/>
  <c r="BH92" i="1"/>
  <c r="CI92" i="1" s="1"/>
  <c r="BJ71" i="1"/>
  <c r="BK71" i="1" s="1"/>
  <c r="BL71" i="1" s="1"/>
  <c r="BM71" i="1" s="1"/>
  <c r="BE112" i="1"/>
  <c r="BG198" i="1"/>
  <c r="CH157" i="1"/>
  <c r="CH111" i="1"/>
  <c r="BF105" i="1"/>
  <c r="CH103" i="1"/>
  <c r="BE125" i="1"/>
  <c r="BJ40" i="1"/>
  <c r="BK40" i="1" s="1"/>
  <c r="BL40" i="1" s="1"/>
  <c r="BM40" i="1" s="1"/>
  <c r="CE185" i="1"/>
  <c r="AT183" i="1"/>
  <c r="AZ183" i="1" s="1"/>
  <c r="BC183" i="1" s="1"/>
  <c r="CG183" i="1" s="1"/>
  <c r="BJ143" i="1"/>
  <c r="BK143" i="1" s="1"/>
  <c r="BL143" i="1" s="1"/>
  <c r="BM143" i="1" s="1"/>
  <c r="BD143" i="1"/>
  <c r="BI143" i="1"/>
  <c r="BE143" i="1"/>
  <c r="BF143" i="1"/>
  <c r="BG143" i="1"/>
  <c r="BG40" i="1"/>
  <c r="BE160" i="1"/>
  <c r="AT239" i="1"/>
  <c r="AZ239" i="1" s="1"/>
  <c r="BC239" i="1" s="1"/>
  <c r="CG239" i="1" s="1"/>
  <c r="BH30" i="1"/>
  <c r="BN30" i="1" s="1"/>
  <c r="BE49" i="1"/>
  <c r="BG49" i="1"/>
  <c r="BF49" i="1"/>
  <c r="BJ49" i="1"/>
  <c r="BK49" i="1" s="1"/>
  <c r="BL49" i="1" s="1"/>
  <c r="BM49" i="1" s="1"/>
  <c r="BI49" i="1"/>
  <c r="BD49" i="1"/>
  <c r="CE184" i="1"/>
  <c r="AZ189" i="1"/>
  <c r="BC189" i="1" s="1"/>
  <c r="BF189" i="1" s="1"/>
  <c r="BN205" i="1"/>
  <c r="BO205" i="1" s="1"/>
  <c r="CH30" i="1"/>
  <c r="BG160" i="1"/>
  <c r="CE189" i="1"/>
  <c r="BJ160" i="1"/>
  <c r="BK160" i="1" s="1"/>
  <c r="BL160" i="1" s="1"/>
  <c r="BM160" i="1" s="1"/>
  <c r="BJ125" i="1"/>
  <c r="BK125" i="1" s="1"/>
  <c r="BL125" i="1" s="1"/>
  <c r="BM125" i="1" s="1"/>
  <c r="BF125" i="1"/>
  <c r="CI56" i="1"/>
  <c r="BD160" i="1"/>
  <c r="BH161" i="1"/>
  <c r="CI161" i="1" s="1"/>
  <c r="CH213" i="1"/>
  <c r="CH14" i="1"/>
  <c r="BD125" i="1"/>
  <c r="BI160" i="1"/>
  <c r="AT172" i="1"/>
  <c r="CF172" i="1" s="1"/>
  <c r="BH116" i="1"/>
  <c r="CI116" i="1" s="1"/>
  <c r="BG154" i="1"/>
  <c r="BH65" i="1"/>
  <c r="BN65" i="1" s="1"/>
  <c r="BO65" i="1" s="1"/>
  <c r="BG102" i="1"/>
  <c r="BH81" i="1"/>
  <c r="BI154" i="1"/>
  <c r="BJ154" i="1"/>
  <c r="BK154" i="1" s="1"/>
  <c r="BL154" i="1" s="1"/>
  <c r="BM154" i="1" s="1"/>
  <c r="CF233" i="1"/>
  <c r="BH51" i="1"/>
  <c r="CI51" i="1" s="1"/>
  <c r="BF154" i="1"/>
  <c r="BF11" i="1"/>
  <c r="BD11" i="1"/>
  <c r="BI11" i="1"/>
  <c r="BJ11" i="1"/>
  <c r="BK11" i="1" s="1"/>
  <c r="BL11" i="1" s="1"/>
  <c r="BM11" i="1" s="1"/>
  <c r="BG11" i="1"/>
  <c r="BE211" i="1"/>
  <c r="BJ211" i="1"/>
  <c r="BK211" i="1" s="1"/>
  <c r="BL211" i="1" s="1"/>
  <c r="BM211" i="1" s="1"/>
  <c r="BF211" i="1"/>
  <c r="BD211" i="1"/>
  <c r="BI211" i="1"/>
  <c r="BG211" i="1"/>
  <c r="CE169" i="1"/>
  <c r="AZ163" i="1"/>
  <c r="BC163" i="1" s="1"/>
  <c r="BI163" i="1" s="1"/>
  <c r="CH81" i="1"/>
  <c r="CI201" i="1"/>
  <c r="BH50" i="1"/>
  <c r="BN50" i="1" s="1"/>
  <c r="BO50" i="1" s="1"/>
  <c r="CH65" i="1"/>
  <c r="AZ226" i="1"/>
  <c r="BC226" i="1" s="1"/>
  <c r="CG226" i="1" s="1"/>
  <c r="BG25" i="1"/>
  <c r="BI85" i="1"/>
  <c r="BI22" i="1"/>
  <c r="BI25" i="1"/>
  <c r="BG105" i="1"/>
  <c r="CE172" i="1"/>
  <c r="BD22" i="1"/>
  <c r="BD25" i="1"/>
  <c r="CH25" i="1" s="1"/>
  <c r="BG85" i="1"/>
  <c r="BJ105" i="1"/>
  <c r="BK105" i="1" s="1"/>
  <c r="BL105" i="1" s="1"/>
  <c r="BM105" i="1" s="1"/>
  <c r="CH50" i="1"/>
  <c r="CG229" i="1"/>
  <c r="BD85" i="1"/>
  <c r="BE105" i="1"/>
  <c r="AZ173" i="1"/>
  <c r="BC173" i="1" s="1"/>
  <c r="CG173" i="1" s="1"/>
  <c r="AT234" i="1"/>
  <c r="AZ234" i="1" s="1"/>
  <c r="BC234" i="1" s="1"/>
  <c r="BD234" i="1" s="1"/>
  <c r="BE85" i="1"/>
  <c r="CF163" i="1"/>
  <c r="BJ22" i="1"/>
  <c r="BK22" i="1" s="1"/>
  <c r="BL22" i="1" s="1"/>
  <c r="BM22" i="1" s="1"/>
  <c r="BJ25" i="1"/>
  <c r="BK25" i="1" s="1"/>
  <c r="BL25" i="1" s="1"/>
  <c r="BM25" i="1" s="1"/>
  <c r="BD105" i="1"/>
  <c r="BI105" i="1"/>
  <c r="CH17" i="1"/>
  <c r="BE73" i="1"/>
  <c r="BG73" i="1"/>
  <c r="BJ73" i="1"/>
  <c r="BK73" i="1" s="1"/>
  <c r="BL73" i="1" s="1"/>
  <c r="BM73" i="1" s="1"/>
  <c r="BI73" i="1"/>
  <c r="BD73" i="1"/>
  <c r="BF73" i="1"/>
  <c r="BH15" i="1"/>
  <c r="BN15" i="1" s="1"/>
  <c r="BO15" i="1" s="1"/>
  <c r="CH220" i="1"/>
  <c r="BH135" i="1"/>
  <c r="BN135" i="1" s="1"/>
  <c r="CH66" i="1"/>
  <c r="CE167" i="1"/>
  <c r="AT167" i="1"/>
  <c r="CF162" i="1"/>
  <c r="CH161" i="1"/>
  <c r="CH199" i="1"/>
  <c r="CH217" i="1"/>
  <c r="BI42" i="1"/>
  <c r="BJ42" i="1"/>
  <c r="BK42" i="1" s="1"/>
  <c r="BL42" i="1" s="1"/>
  <c r="BM42" i="1" s="1"/>
  <c r="CH135" i="1"/>
  <c r="BH220" i="1"/>
  <c r="BI102" i="1"/>
  <c r="BH145" i="1"/>
  <c r="BN145" i="1" s="1"/>
  <c r="BO145" i="1" s="1"/>
  <c r="BE102" i="1"/>
  <c r="BF102" i="1"/>
  <c r="CE239" i="1"/>
  <c r="CH59" i="1"/>
  <c r="BJ102" i="1"/>
  <c r="BK102" i="1" s="1"/>
  <c r="BL102" i="1" s="1"/>
  <c r="BM102" i="1" s="1"/>
  <c r="BH10" i="1"/>
  <c r="CI10" i="1" s="1"/>
  <c r="BH58" i="1"/>
  <c r="BN58" i="1" s="1"/>
  <c r="BO58" i="1" s="1"/>
  <c r="BR58" i="1" s="1"/>
  <c r="CF240" i="1"/>
  <c r="AZ240" i="1"/>
  <c r="BC240" i="1" s="1"/>
  <c r="BH218" i="1"/>
  <c r="BN218" i="1" s="1"/>
  <c r="BO218" i="1" s="1"/>
  <c r="BR218" i="1" s="1"/>
  <c r="BH66" i="1"/>
  <c r="BN66" i="1" s="1"/>
  <c r="BO66" i="1" s="1"/>
  <c r="BR66" i="1" s="1"/>
  <c r="CI139" i="1"/>
  <c r="BH95" i="1"/>
  <c r="CI95" i="1" s="1"/>
  <c r="BH127" i="1"/>
  <c r="CI127" i="1" s="1"/>
  <c r="CH51" i="1"/>
  <c r="BD102" i="1"/>
  <c r="BE64" i="1"/>
  <c r="CH94" i="1"/>
  <c r="BH217" i="1"/>
  <c r="BN217" i="1" s="1"/>
  <c r="BO217" i="1" s="1"/>
  <c r="CH145" i="1"/>
  <c r="BF152" i="1"/>
  <c r="BH140" i="1"/>
  <c r="BN140" i="1" s="1"/>
  <c r="BO140" i="1" s="1"/>
  <c r="BH34" i="1"/>
  <c r="CI34" i="1" s="1"/>
  <c r="CI75" i="1"/>
  <c r="CH58" i="1"/>
  <c r="BH111" i="1"/>
  <c r="BN111" i="1" s="1"/>
  <c r="BO111" i="1" s="1"/>
  <c r="BE200" i="1"/>
  <c r="BJ200" i="1"/>
  <c r="BK200" i="1" s="1"/>
  <c r="BL200" i="1" s="1"/>
  <c r="BM200" i="1" s="1"/>
  <c r="BG200" i="1"/>
  <c r="BD200" i="1"/>
  <c r="BF200" i="1"/>
  <c r="BI200" i="1"/>
  <c r="BH132" i="1"/>
  <c r="BN132" i="1" s="1"/>
  <c r="BO132" i="1" s="1"/>
  <c r="BH142" i="1"/>
  <c r="BN142" i="1" s="1"/>
  <c r="BH212" i="1"/>
  <c r="BN212" i="1" s="1"/>
  <c r="BO212" i="1" s="1"/>
  <c r="CH34" i="1"/>
  <c r="BJ64" i="1"/>
  <c r="BK64" i="1" s="1"/>
  <c r="BL64" i="1" s="1"/>
  <c r="BM64" i="1" s="1"/>
  <c r="BE40" i="1"/>
  <c r="BF76" i="1"/>
  <c r="BI76" i="1"/>
  <c r="BD76" i="1"/>
  <c r="BG76" i="1"/>
  <c r="BE76" i="1"/>
  <c r="BJ76" i="1"/>
  <c r="BK76" i="1" s="1"/>
  <c r="BL76" i="1" s="1"/>
  <c r="BM76" i="1" s="1"/>
  <c r="BF204" i="1"/>
  <c r="BI204" i="1"/>
  <c r="BD204" i="1"/>
  <c r="BE204" i="1"/>
  <c r="BG204" i="1"/>
  <c r="BJ204" i="1"/>
  <c r="BK204" i="1" s="1"/>
  <c r="BL204" i="1" s="1"/>
  <c r="BM204" i="1" s="1"/>
  <c r="BG119" i="1"/>
  <c r="BG64" i="1"/>
  <c r="BI152" i="1"/>
  <c r="CH218" i="1"/>
  <c r="BH199" i="1"/>
  <c r="BN199" i="1" s="1"/>
  <c r="BD33" i="1"/>
  <c r="BI33" i="1"/>
  <c r="BF33" i="1"/>
  <c r="BG33" i="1"/>
  <c r="BE33" i="1"/>
  <c r="BJ33" i="1"/>
  <c r="BK33" i="1" s="1"/>
  <c r="BL33" i="1" s="1"/>
  <c r="BM33" i="1" s="1"/>
  <c r="BF29" i="1"/>
  <c r="BI29" i="1"/>
  <c r="BD29" i="1"/>
  <c r="BE29" i="1"/>
  <c r="BG29" i="1"/>
  <c r="BJ29" i="1"/>
  <c r="BK29" i="1" s="1"/>
  <c r="BL29" i="1" s="1"/>
  <c r="BM29" i="1" s="1"/>
  <c r="BI214" i="1"/>
  <c r="BF214" i="1"/>
  <c r="BD214" i="1"/>
  <c r="BG214" i="1"/>
  <c r="BE214" i="1"/>
  <c r="BJ214" i="1"/>
  <c r="BK214" i="1" s="1"/>
  <c r="BL214" i="1" s="1"/>
  <c r="BM214" i="1" s="1"/>
  <c r="BP201" i="1"/>
  <c r="BS201" i="1"/>
  <c r="BS139" i="1"/>
  <c r="BP139" i="1"/>
  <c r="AZ169" i="1"/>
  <c r="BC169" i="1" s="1"/>
  <c r="CG169" i="1" s="1"/>
  <c r="BI119" i="1"/>
  <c r="BF64" i="1"/>
  <c r="BH108" i="1"/>
  <c r="BJ152" i="1"/>
  <c r="BK152" i="1" s="1"/>
  <c r="BL152" i="1" s="1"/>
  <c r="BM152" i="1" s="1"/>
  <c r="BI82" i="1"/>
  <c r="BF82" i="1"/>
  <c r="BD82" i="1"/>
  <c r="BE82" i="1"/>
  <c r="BG82" i="1"/>
  <c r="BJ82" i="1"/>
  <c r="BK82" i="1" s="1"/>
  <c r="BL82" i="1" s="1"/>
  <c r="BM82" i="1" s="1"/>
  <c r="BD138" i="1"/>
  <c r="BI138" i="1"/>
  <c r="BF138" i="1"/>
  <c r="BG138" i="1"/>
  <c r="BE138" i="1"/>
  <c r="BJ138" i="1"/>
  <c r="BK138" i="1" s="1"/>
  <c r="BL138" i="1" s="1"/>
  <c r="BM138" i="1" s="1"/>
  <c r="BI133" i="1"/>
  <c r="BF133" i="1"/>
  <c r="BD133" i="1"/>
  <c r="BE133" i="1"/>
  <c r="BG133" i="1"/>
  <c r="BJ133" i="1"/>
  <c r="BK133" i="1" s="1"/>
  <c r="BL133" i="1" s="1"/>
  <c r="BM133" i="1" s="1"/>
  <c r="BD64" i="1"/>
  <c r="BF209" i="1"/>
  <c r="BI209" i="1"/>
  <c r="BD209" i="1"/>
  <c r="BE209" i="1"/>
  <c r="BG209" i="1"/>
  <c r="BJ209" i="1"/>
  <c r="BK209" i="1" s="1"/>
  <c r="BL209" i="1" s="1"/>
  <c r="BM209" i="1" s="1"/>
  <c r="BE119" i="1"/>
  <c r="BF40" i="1"/>
  <c r="CH140" i="1"/>
  <c r="BF24" i="1"/>
  <c r="BD24" i="1"/>
  <c r="BI24" i="1"/>
  <c r="BG24" i="1"/>
  <c r="BE24" i="1"/>
  <c r="BJ24" i="1"/>
  <c r="BK24" i="1" s="1"/>
  <c r="BL24" i="1" s="1"/>
  <c r="BM24" i="1" s="1"/>
  <c r="BF203" i="1"/>
  <c r="BD203" i="1"/>
  <c r="BI203" i="1"/>
  <c r="BG203" i="1"/>
  <c r="BE203" i="1"/>
  <c r="BJ203" i="1"/>
  <c r="BK203" i="1" s="1"/>
  <c r="BL203" i="1" s="1"/>
  <c r="BM203" i="1" s="1"/>
  <c r="BD40" i="1"/>
  <c r="BI23" i="1"/>
  <c r="BD23" i="1"/>
  <c r="BF23" i="1"/>
  <c r="BE23" i="1"/>
  <c r="BG23" i="1"/>
  <c r="BJ23" i="1"/>
  <c r="BK23" i="1" s="1"/>
  <c r="BL23" i="1" s="1"/>
  <c r="BM23" i="1" s="1"/>
  <c r="CH127" i="1"/>
  <c r="CH132" i="1"/>
  <c r="BO136" i="1"/>
  <c r="BI64" i="1"/>
  <c r="BI40" i="1"/>
  <c r="CH142" i="1"/>
  <c r="BF207" i="1"/>
  <c r="BD207" i="1"/>
  <c r="BI207" i="1"/>
  <c r="BG207" i="1"/>
  <c r="BE207" i="1"/>
  <c r="BJ207" i="1"/>
  <c r="BK207" i="1" s="1"/>
  <c r="BL207" i="1" s="1"/>
  <c r="BM207" i="1" s="1"/>
  <c r="CH212" i="1"/>
  <c r="BO75" i="1"/>
  <c r="BR75" i="1" s="1"/>
  <c r="CG63" i="1"/>
  <c r="BI63" i="1"/>
  <c r="BD63" i="1"/>
  <c r="BF63" i="1"/>
  <c r="BE63" i="1"/>
  <c r="BJ63" i="1"/>
  <c r="BK63" i="1" s="1"/>
  <c r="BL63" i="1" s="1"/>
  <c r="BM63" i="1" s="1"/>
  <c r="BG63" i="1"/>
  <c r="BE115" i="1"/>
  <c r="CG120" i="1"/>
  <c r="BG120" i="1"/>
  <c r="BE120" i="1"/>
  <c r="BI120" i="1"/>
  <c r="BF120" i="1"/>
  <c r="BJ120" i="1"/>
  <c r="BK120" i="1" s="1"/>
  <c r="BL120" i="1" s="1"/>
  <c r="BM120" i="1" s="1"/>
  <c r="BD120" i="1"/>
  <c r="CH122" i="1"/>
  <c r="BE152" i="1"/>
  <c r="CG152" i="1"/>
  <c r="BG152" i="1"/>
  <c r="BH94" i="1"/>
  <c r="BN94" i="1" s="1"/>
  <c r="BO94" i="1" s="1"/>
  <c r="BR94" i="1" s="1"/>
  <c r="BD42" i="1"/>
  <c r="BD115" i="1"/>
  <c r="BG42" i="1"/>
  <c r="BE42" i="1"/>
  <c r="BH17" i="1"/>
  <c r="BN17" i="1" s="1"/>
  <c r="BO17" i="1" s="1"/>
  <c r="BR17" i="1" s="1"/>
  <c r="BD19" i="1"/>
  <c r="BF115" i="1"/>
  <c r="BD90" i="1"/>
  <c r="BP55" i="1"/>
  <c r="BT55" i="1" s="1"/>
  <c r="BF42" i="1"/>
  <c r="BJ47" i="1"/>
  <c r="BK47" i="1" s="1"/>
  <c r="BL47" i="1" s="1"/>
  <c r="BM47" i="1" s="1"/>
  <c r="BF113" i="1"/>
  <c r="CG245" i="1"/>
  <c r="BJ115" i="1"/>
  <c r="BK115" i="1" s="1"/>
  <c r="BL115" i="1" s="1"/>
  <c r="BM115" i="1" s="1"/>
  <c r="BE47" i="1"/>
  <c r="BG115" i="1"/>
  <c r="BI115" i="1"/>
  <c r="BE19" i="1"/>
  <c r="CF243" i="1"/>
  <c r="AZ233" i="1"/>
  <c r="BC233" i="1" s="1"/>
  <c r="BE233" i="1" s="1"/>
  <c r="BD119" i="1"/>
  <c r="BI47" i="1"/>
  <c r="BD113" i="1"/>
  <c r="BJ113" i="1"/>
  <c r="BK113" i="1" s="1"/>
  <c r="BL113" i="1" s="1"/>
  <c r="BM113" i="1" s="1"/>
  <c r="CE187" i="1"/>
  <c r="BD47" i="1"/>
  <c r="CG47" i="1"/>
  <c r="BG113" i="1"/>
  <c r="CG163" i="1"/>
  <c r="BJ119" i="1"/>
  <c r="BK119" i="1" s="1"/>
  <c r="BL119" i="1" s="1"/>
  <c r="BM119" i="1" s="1"/>
  <c r="BG43" i="1"/>
  <c r="BF47" i="1"/>
  <c r="BI113" i="1"/>
  <c r="BE113" i="1"/>
  <c r="BG243" i="1"/>
  <c r="BD243" i="1"/>
  <c r="BI243" i="1"/>
  <c r="CG243" i="1"/>
  <c r="BE243" i="1"/>
  <c r="BJ243" i="1"/>
  <c r="BK243" i="1" s="1"/>
  <c r="BL243" i="1" s="1"/>
  <c r="BM243" i="1" s="1"/>
  <c r="BF243" i="1"/>
  <c r="BH122" i="1"/>
  <c r="BF43" i="1"/>
  <c r="BD170" i="1"/>
  <c r="BF12" i="1"/>
  <c r="BE43" i="1"/>
  <c r="BI12" i="1"/>
  <c r="CF193" i="1"/>
  <c r="AZ193" i="1"/>
  <c r="BC193" i="1" s="1"/>
  <c r="AZ194" i="1"/>
  <c r="BC194" i="1" s="1"/>
  <c r="CG194" i="1" s="1"/>
  <c r="CI159" i="1"/>
  <c r="BN159" i="1"/>
  <c r="BG12" i="1"/>
  <c r="BJ12" i="1"/>
  <c r="BK12" i="1" s="1"/>
  <c r="BL12" i="1" s="1"/>
  <c r="BM12" i="1" s="1"/>
  <c r="CG253" i="1"/>
  <c r="AT187" i="1"/>
  <c r="AZ187" i="1" s="1"/>
  <c r="BC187" i="1" s="1"/>
  <c r="AZ162" i="1"/>
  <c r="BC162" i="1" s="1"/>
  <c r="BE162" i="1" s="1"/>
  <c r="BD43" i="1"/>
  <c r="BI43" i="1"/>
  <c r="BJ43" i="1"/>
  <c r="BK43" i="1" s="1"/>
  <c r="BL43" i="1" s="1"/>
  <c r="BM43" i="1" s="1"/>
  <c r="BJ170" i="1"/>
  <c r="BK170" i="1" s="1"/>
  <c r="BL170" i="1" s="1"/>
  <c r="BM170" i="1" s="1"/>
  <c r="CH21" i="1"/>
  <c r="AT235" i="1"/>
  <c r="CF235" i="1" s="1"/>
  <c r="CE175" i="1"/>
  <c r="BE12" i="1"/>
  <c r="BD12" i="1"/>
  <c r="CE166" i="1"/>
  <c r="CE196" i="1"/>
  <c r="CE195" i="1"/>
  <c r="CE242" i="1"/>
  <c r="CH39" i="1"/>
  <c r="BH46" i="1"/>
  <c r="BN46" i="1" s="1"/>
  <c r="BO46" i="1" s="1"/>
  <c r="BH121" i="1"/>
  <c r="BN121" i="1" s="1"/>
  <c r="BO121" i="1" s="1"/>
  <c r="CE179" i="1"/>
  <c r="CE180" i="1"/>
  <c r="CE164" i="1"/>
  <c r="CE182" i="1"/>
  <c r="CE232" i="1"/>
  <c r="CE224" i="1"/>
  <c r="AZ261" i="1"/>
  <c r="BC261" i="1" s="1"/>
  <c r="CG261" i="1" s="1"/>
  <c r="CF261" i="1"/>
  <c r="BH39" i="1"/>
  <c r="CH46" i="1"/>
  <c r="CH121" i="1"/>
  <c r="BE69" i="1"/>
  <c r="BI69" i="1"/>
  <c r="BJ69" i="1"/>
  <c r="BK69" i="1" s="1"/>
  <c r="BL69" i="1" s="1"/>
  <c r="BM69" i="1" s="1"/>
  <c r="BF69" i="1"/>
  <c r="BD69" i="1"/>
  <c r="BG69" i="1"/>
  <c r="BD54" i="1"/>
  <c r="BF54" i="1"/>
  <c r="BE54" i="1"/>
  <c r="BJ54" i="1"/>
  <c r="BK54" i="1" s="1"/>
  <c r="BL54" i="1" s="1"/>
  <c r="BM54" i="1" s="1"/>
  <c r="BG54" i="1"/>
  <c r="BI54" i="1"/>
  <c r="BD110" i="1"/>
  <c r="BI110" i="1"/>
  <c r="BJ110" i="1"/>
  <c r="BK110" i="1" s="1"/>
  <c r="BL110" i="1" s="1"/>
  <c r="BM110" i="1" s="1"/>
  <c r="BE110" i="1"/>
  <c r="BF110" i="1"/>
  <c r="BG110" i="1"/>
  <c r="CG153" i="1"/>
  <c r="BF153" i="1"/>
  <c r="BI153" i="1"/>
  <c r="BD153" i="1"/>
  <c r="BG153" i="1"/>
  <c r="BE153" i="1"/>
  <c r="BJ153" i="1"/>
  <c r="BK153" i="1" s="1"/>
  <c r="BL153" i="1" s="1"/>
  <c r="BM153" i="1" s="1"/>
  <c r="BJ19" i="1"/>
  <c r="BK19" i="1" s="1"/>
  <c r="BL19" i="1" s="1"/>
  <c r="BM19" i="1" s="1"/>
  <c r="BI19" i="1"/>
  <c r="BF19" i="1"/>
  <c r="BG19" i="1"/>
  <c r="CI60" i="1"/>
  <c r="BN60" i="1"/>
  <c r="BG16" i="1"/>
  <c r="BD16" i="1"/>
  <c r="BJ16" i="1"/>
  <c r="BK16" i="1" s="1"/>
  <c r="BL16" i="1" s="1"/>
  <c r="BM16" i="1" s="1"/>
  <c r="BF16" i="1"/>
  <c r="BI16" i="1"/>
  <c r="BE16" i="1"/>
  <c r="BF90" i="1"/>
  <c r="BE90" i="1"/>
  <c r="BJ90" i="1"/>
  <c r="BK90" i="1" s="1"/>
  <c r="BL90" i="1" s="1"/>
  <c r="BM90" i="1" s="1"/>
  <c r="BG90" i="1"/>
  <c r="BI90" i="1"/>
  <c r="AT166" i="1"/>
  <c r="CF166" i="1" s="1"/>
  <c r="AZ252" i="1"/>
  <c r="BC252" i="1" s="1"/>
  <c r="BE252" i="1" s="1"/>
  <c r="CF252" i="1"/>
  <c r="AZ249" i="1"/>
  <c r="BC249" i="1" s="1"/>
  <c r="CG249" i="1" s="1"/>
  <c r="CF249" i="1"/>
  <c r="AZ259" i="1"/>
  <c r="BC259" i="1" s="1"/>
  <c r="CG259" i="1" s="1"/>
  <c r="CF259" i="1"/>
  <c r="AZ225" i="1"/>
  <c r="BC225" i="1" s="1"/>
  <c r="CF225" i="1"/>
  <c r="BH21" i="1"/>
  <c r="CG99" i="1"/>
  <c r="BG99" i="1"/>
  <c r="BI99" i="1"/>
  <c r="BF99" i="1"/>
  <c r="BJ99" i="1"/>
  <c r="BK99" i="1" s="1"/>
  <c r="BL99" i="1" s="1"/>
  <c r="BM99" i="1" s="1"/>
  <c r="BD99" i="1"/>
  <c r="BE99" i="1"/>
  <c r="BE151" i="1"/>
  <c r="BG151" i="1"/>
  <c r="BJ151" i="1"/>
  <c r="BK151" i="1" s="1"/>
  <c r="BL151" i="1" s="1"/>
  <c r="BM151" i="1" s="1"/>
  <c r="CG151" i="1"/>
  <c r="BI151" i="1"/>
  <c r="BF151" i="1"/>
  <c r="BD151" i="1"/>
  <c r="CI38" i="1"/>
  <c r="BN38" i="1"/>
  <c r="BO38" i="1" s="1"/>
  <c r="BR38" i="1" s="1"/>
  <c r="BN84" i="1"/>
  <c r="CI84" i="1"/>
  <c r="BI170" i="1"/>
  <c r="BF170" i="1"/>
  <c r="BG170" i="1"/>
  <c r="BE170" i="1"/>
  <c r="CE235" i="1"/>
  <c r="AT164" i="1"/>
  <c r="CF164" i="1" s="1"/>
  <c r="AT182" i="1"/>
  <c r="CF182" i="1" s="1"/>
  <c r="AT180" i="1"/>
  <c r="CF180" i="1" s="1"/>
  <c r="AT242" i="1"/>
  <c r="AT179" i="1"/>
  <c r="CF179" i="1" s="1"/>
  <c r="AT232" i="1"/>
  <c r="CF232" i="1" s="1"/>
  <c r="AT224" i="1"/>
  <c r="BS91" i="1"/>
  <c r="BP91" i="1"/>
  <c r="BQ91" i="1" s="1"/>
  <c r="BO56" i="1"/>
  <c r="BP45" i="1"/>
  <c r="BS45" i="1"/>
  <c r="CG255" i="1"/>
  <c r="CG188" i="1"/>
  <c r="CG176" i="1"/>
  <c r="CG234" i="1"/>
  <c r="CG165" i="1"/>
  <c r="CG244" i="1"/>
  <c r="CG162" i="1"/>
  <c r="CG190" i="1"/>
  <c r="CG177" i="1"/>
  <c r="CG233" i="1"/>
  <c r="AT196" i="1"/>
  <c r="CF196" i="1" s="1"/>
  <c r="AT175" i="1"/>
  <c r="AT195" i="1"/>
  <c r="CI208" i="1" l="1"/>
  <c r="BH109" i="1"/>
  <c r="CI109" i="1" s="1"/>
  <c r="BH72" i="1"/>
  <c r="BN72" i="1" s="1"/>
  <c r="BO72" i="1" s="1"/>
  <c r="BR72" i="1" s="1"/>
  <c r="BH98" i="1"/>
  <c r="BH107" i="1"/>
  <c r="CI107" i="1" s="1"/>
  <c r="CH107" i="1"/>
  <c r="CH72" i="1"/>
  <c r="BH96" i="1"/>
  <c r="CI96" i="1" s="1"/>
  <c r="BN77" i="1"/>
  <c r="BO77" i="1" s="1"/>
  <c r="BR77" i="1" s="1"/>
  <c r="CI210" i="1"/>
  <c r="BS210" i="1"/>
  <c r="BP210" i="1"/>
  <c r="BQ210" i="1" s="1"/>
  <c r="CI202" i="1"/>
  <c r="BD106" i="1"/>
  <c r="BG106" i="1"/>
  <c r="BI106" i="1"/>
  <c r="BE106" i="1"/>
  <c r="BJ106" i="1"/>
  <c r="BK106" i="1" s="1"/>
  <c r="BL106" i="1" s="1"/>
  <c r="BM106" i="1" s="1"/>
  <c r="CI20" i="1"/>
  <c r="BS32" i="1"/>
  <c r="BP32" i="1"/>
  <c r="BQ32" i="1" s="1"/>
  <c r="CF237" i="1"/>
  <c r="CF251" i="1"/>
  <c r="CF254" i="1"/>
  <c r="CF250" i="1"/>
  <c r="AZ238" i="1"/>
  <c r="BC238" i="1" s="1"/>
  <c r="CG238" i="1" s="1"/>
  <c r="BP36" i="1"/>
  <c r="BQ36" i="1" s="1"/>
  <c r="BS36" i="1"/>
  <c r="BS74" i="1"/>
  <c r="CJ74" i="1" s="1"/>
  <c r="BR74" i="1"/>
  <c r="CH126" i="1"/>
  <c r="BH126" i="1"/>
  <c r="CF236" i="1"/>
  <c r="BN61" i="1"/>
  <c r="BO61" i="1" s="1"/>
  <c r="BS61" i="1" s="1"/>
  <c r="CI36" i="1"/>
  <c r="CF257" i="1"/>
  <c r="BE222" i="1"/>
  <c r="BI222" i="1"/>
  <c r="BJ222" i="1"/>
  <c r="BK222" i="1" s="1"/>
  <c r="BL222" i="1" s="1"/>
  <c r="BM222" i="1" s="1"/>
  <c r="BD222" i="1"/>
  <c r="BG222" i="1"/>
  <c r="BF222" i="1"/>
  <c r="CF231" i="1"/>
  <c r="CI74" i="1"/>
  <c r="BI253" i="1"/>
  <c r="BE253" i="1"/>
  <c r="CH148" i="1"/>
  <c r="BN146" i="1"/>
  <c r="BO146" i="1" s="1"/>
  <c r="BP146" i="1" s="1"/>
  <c r="BQ146" i="1" s="1"/>
  <c r="BD253" i="1"/>
  <c r="CF253" i="1"/>
  <c r="BF253" i="1"/>
  <c r="BJ253" i="1"/>
  <c r="BK253" i="1" s="1"/>
  <c r="BL253" i="1" s="1"/>
  <c r="BM253" i="1" s="1"/>
  <c r="CF223" i="1"/>
  <c r="AZ165" i="1"/>
  <c r="BC165" i="1" s="1"/>
  <c r="BI165" i="1" s="1"/>
  <c r="BN215" i="1"/>
  <c r="BO215" i="1" s="1"/>
  <c r="BR215" i="1" s="1"/>
  <c r="BH100" i="1"/>
  <c r="BN100" i="1" s="1"/>
  <c r="BO100" i="1" s="1"/>
  <c r="BR100" i="1" s="1"/>
  <c r="BH148" i="1"/>
  <c r="BN148" i="1" s="1"/>
  <c r="BO148" i="1" s="1"/>
  <c r="BP78" i="1"/>
  <c r="BS78" i="1"/>
  <c r="CH100" i="1"/>
  <c r="BN87" i="1"/>
  <c r="BO87" i="1" s="1"/>
  <c r="BP87" i="1" s="1"/>
  <c r="BF191" i="1"/>
  <c r="BI191" i="1"/>
  <c r="CI114" i="1"/>
  <c r="BJ246" i="1"/>
  <c r="BK246" i="1" s="1"/>
  <c r="BL246" i="1" s="1"/>
  <c r="BM246" i="1" s="1"/>
  <c r="BJ191" i="1"/>
  <c r="BK191" i="1" s="1"/>
  <c r="BL191" i="1" s="1"/>
  <c r="BM191" i="1" s="1"/>
  <c r="CF255" i="1"/>
  <c r="BD191" i="1"/>
  <c r="CH191" i="1" s="1"/>
  <c r="BG191" i="1"/>
  <c r="BN41" i="1"/>
  <c r="BO41" i="1" s="1"/>
  <c r="BR41" i="1" s="1"/>
  <c r="CI221" i="1"/>
  <c r="CI219" i="1"/>
  <c r="BP137" i="1"/>
  <c r="BH18" i="1"/>
  <c r="BN18" i="1" s="1"/>
  <c r="BS137" i="1"/>
  <c r="CH112" i="1"/>
  <c r="CI123" i="1"/>
  <c r="BH97" i="1"/>
  <c r="BN97" i="1" s="1"/>
  <c r="BO97" i="1" s="1"/>
  <c r="BS97" i="1" s="1"/>
  <c r="CI137" i="1"/>
  <c r="CH67" i="1"/>
  <c r="CF256" i="1"/>
  <c r="BE246" i="1"/>
  <c r="BH67" i="1"/>
  <c r="BN67" i="1" s="1"/>
  <c r="BO67" i="1" s="1"/>
  <c r="BS67" i="1" s="1"/>
  <c r="BD246" i="1"/>
  <c r="BG246" i="1"/>
  <c r="BF246" i="1"/>
  <c r="BI246" i="1"/>
  <c r="CI70" i="1"/>
  <c r="BH117" i="1"/>
  <c r="CI117" i="1" s="1"/>
  <c r="CF230" i="1"/>
  <c r="CH18" i="1"/>
  <c r="BN35" i="1"/>
  <c r="BO35" i="1" s="1"/>
  <c r="CF168" i="1"/>
  <c r="CF177" i="1"/>
  <c r="BE197" i="1"/>
  <c r="BN155" i="1"/>
  <c r="BO155" i="1" s="1"/>
  <c r="BS155" i="1" s="1"/>
  <c r="CH124" i="1"/>
  <c r="CI144" i="1"/>
  <c r="BN150" i="1"/>
  <c r="BO150" i="1" s="1"/>
  <c r="BP150" i="1" s="1"/>
  <c r="BQ150" i="1" s="1"/>
  <c r="CH27" i="1"/>
  <c r="CF241" i="1"/>
  <c r="BH27" i="1"/>
  <c r="BN27" i="1" s="1"/>
  <c r="BO27" i="1" s="1"/>
  <c r="CH37" i="1"/>
  <c r="CI89" i="1"/>
  <c r="AZ181" i="1"/>
  <c r="BC181" i="1" s="1"/>
  <c r="CG181" i="1" s="1"/>
  <c r="CF192" i="1"/>
  <c r="BH37" i="1"/>
  <c r="BN37" i="1" s="1"/>
  <c r="BO37" i="1" s="1"/>
  <c r="BR37" i="1" s="1"/>
  <c r="CI28" i="1"/>
  <c r="BN52" i="1"/>
  <c r="BO52" i="1" s="1"/>
  <c r="BS52" i="1" s="1"/>
  <c r="CF174" i="1"/>
  <c r="CH117" i="1"/>
  <c r="BN156" i="1"/>
  <c r="BO156" i="1" s="1"/>
  <c r="BR156" i="1" s="1"/>
  <c r="BE229" i="1"/>
  <c r="BT130" i="1"/>
  <c r="BV130" i="1" s="1"/>
  <c r="BU130" i="1" s="1"/>
  <c r="BG229" i="1"/>
  <c r="AZ245" i="1"/>
  <c r="BC245" i="1" s="1"/>
  <c r="BJ245" i="1" s="1"/>
  <c r="BK245" i="1" s="1"/>
  <c r="BL245" i="1" s="1"/>
  <c r="BM245" i="1" s="1"/>
  <c r="BF229" i="1"/>
  <c r="BJ229" i="1"/>
  <c r="BK229" i="1" s="1"/>
  <c r="BL229" i="1" s="1"/>
  <c r="BM229" i="1" s="1"/>
  <c r="CI157" i="1"/>
  <c r="BD229" i="1"/>
  <c r="CI80" i="1"/>
  <c r="CF184" i="1"/>
  <c r="CF260" i="1"/>
  <c r="BJ171" i="1"/>
  <c r="BK171" i="1" s="1"/>
  <c r="BL171" i="1" s="1"/>
  <c r="BM171" i="1" s="1"/>
  <c r="CF247" i="1"/>
  <c r="BS141" i="1"/>
  <c r="BH154" i="1"/>
  <c r="CI154" i="1" s="1"/>
  <c r="CI68" i="1"/>
  <c r="BP141" i="1"/>
  <c r="BI197" i="1"/>
  <c r="CI53" i="1"/>
  <c r="BJ163" i="1"/>
  <c r="BK163" i="1" s="1"/>
  <c r="BL163" i="1" s="1"/>
  <c r="BM163" i="1" s="1"/>
  <c r="CF258" i="1"/>
  <c r="BN118" i="1"/>
  <c r="BO118" i="1" s="1"/>
  <c r="BR118" i="1" s="1"/>
  <c r="CH115" i="1"/>
  <c r="CF186" i="1"/>
  <c r="AZ190" i="1"/>
  <c r="BC190" i="1" s="1"/>
  <c r="BI190" i="1" s="1"/>
  <c r="BN149" i="1"/>
  <c r="BO149" i="1" s="1"/>
  <c r="BR149" i="1" s="1"/>
  <c r="CI147" i="1"/>
  <c r="CF248" i="1"/>
  <c r="CI158" i="1"/>
  <c r="BN93" i="1"/>
  <c r="BO93" i="1" s="1"/>
  <c r="BS93" i="1" s="1"/>
  <c r="AZ188" i="1"/>
  <c r="BC188" i="1" s="1"/>
  <c r="BJ188" i="1" s="1"/>
  <c r="BK188" i="1" s="1"/>
  <c r="BL188" i="1" s="1"/>
  <c r="BM188" i="1" s="1"/>
  <c r="CF228" i="1"/>
  <c r="CH86" i="1"/>
  <c r="BH26" i="1"/>
  <c r="CI26" i="1" s="1"/>
  <c r="CH160" i="1"/>
  <c r="BN104" i="1"/>
  <c r="BO104" i="1" s="1"/>
  <c r="BG163" i="1"/>
  <c r="BH86" i="1"/>
  <c r="BN86" i="1" s="1"/>
  <c r="BO86" i="1" s="1"/>
  <c r="BR86" i="1" s="1"/>
  <c r="CI134" i="1"/>
  <c r="BP219" i="1"/>
  <c r="CJ219" i="1" s="1"/>
  <c r="BN95" i="1"/>
  <c r="BO95" i="1" s="1"/>
  <c r="BR95" i="1" s="1"/>
  <c r="CH26" i="1"/>
  <c r="BH124" i="1"/>
  <c r="CI124" i="1" s="1"/>
  <c r="BH160" i="1"/>
  <c r="CI160" i="1" s="1"/>
  <c r="BN13" i="1"/>
  <c r="BO13" i="1" s="1"/>
  <c r="BR13" i="1" s="1"/>
  <c r="CH97" i="1"/>
  <c r="BF183" i="1"/>
  <c r="AZ244" i="1"/>
  <c r="BC244" i="1" s="1"/>
  <c r="BG244" i="1" s="1"/>
  <c r="BN79" i="1"/>
  <c r="BO79" i="1" s="1"/>
  <c r="BS79" i="1" s="1"/>
  <c r="BH129" i="1"/>
  <c r="BN129" i="1" s="1"/>
  <c r="BO129" i="1" s="1"/>
  <c r="BR129" i="1" s="1"/>
  <c r="BS202" i="1"/>
  <c r="CI66" i="1"/>
  <c r="BF171" i="1"/>
  <c r="BH112" i="1"/>
  <c r="BN112" i="1" s="1"/>
  <c r="BO112" i="1" s="1"/>
  <c r="BS112" i="1" s="1"/>
  <c r="BH216" i="1"/>
  <c r="BN216" i="1" s="1"/>
  <c r="BO216" i="1" s="1"/>
  <c r="BP216" i="1" s="1"/>
  <c r="BQ216" i="1" s="1"/>
  <c r="BP202" i="1"/>
  <c r="BQ202" i="1" s="1"/>
  <c r="CI213" i="1"/>
  <c r="CI218" i="1"/>
  <c r="BR219" i="1"/>
  <c r="BF197" i="1"/>
  <c r="CF187" i="1"/>
  <c r="CH129" i="1"/>
  <c r="BN83" i="1"/>
  <c r="BO83" i="1" s="1"/>
  <c r="BR83" i="1" s="1"/>
  <c r="BG197" i="1"/>
  <c r="BD171" i="1"/>
  <c r="CH198" i="1"/>
  <c r="BH71" i="1"/>
  <c r="BN71" i="1" s="1"/>
  <c r="BO71" i="1" s="1"/>
  <c r="BR71" i="1" s="1"/>
  <c r="BD197" i="1"/>
  <c r="BJ197" i="1"/>
  <c r="BK197" i="1" s="1"/>
  <c r="BL197" i="1" s="1"/>
  <c r="BM197" i="1" s="1"/>
  <c r="BE171" i="1"/>
  <c r="BP213" i="1"/>
  <c r="BQ213" i="1" s="1"/>
  <c r="BP48" i="1"/>
  <c r="BQ48" i="1" s="1"/>
  <c r="BS48" i="1"/>
  <c r="CI57" i="1"/>
  <c r="BD183" i="1"/>
  <c r="BN62" i="1"/>
  <c r="BO62" i="1" s="1"/>
  <c r="BR62" i="1" s="1"/>
  <c r="BP144" i="1"/>
  <c r="CI206" i="1"/>
  <c r="BS144" i="1"/>
  <c r="CH22" i="1"/>
  <c r="CI48" i="1"/>
  <c r="BP44" i="1"/>
  <c r="BS44" i="1"/>
  <c r="BN88" i="1"/>
  <c r="CH131" i="1"/>
  <c r="BI183" i="1"/>
  <c r="BQ55" i="1"/>
  <c r="BS206" i="1"/>
  <c r="BH128" i="1"/>
  <c r="BN128" i="1" s="1"/>
  <c r="BO128" i="1" s="1"/>
  <c r="BP128" i="1" s="1"/>
  <c r="BD189" i="1"/>
  <c r="BJ183" i="1"/>
  <c r="BK183" i="1" s="1"/>
  <c r="BL183" i="1" s="1"/>
  <c r="BM183" i="1" s="1"/>
  <c r="CF178" i="1"/>
  <c r="BP206" i="1"/>
  <c r="BQ206" i="1" s="1"/>
  <c r="AZ185" i="1"/>
  <c r="BC185" i="1" s="1"/>
  <c r="BF185" i="1" s="1"/>
  <c r="BN92" i="1"/>
  <c r="BO92" i="1" s="1"/>
  <c r="BN59" i="1"/>
  <c r="BO59" i="1" s="1"/>
  <c r="BR59" i="1" s="1"/>
  <c r="BN31" i="1"/>
  <c r="BO31" i="1" s="1"/>
  <c r="BR31" i="1" s="1"/>
  <c r="BI189" i="1"/>
  <c r="BG183" i="1"/>
  <c r="BE183" i="1"/>
  <c r="AZ227" i="1"/>
  <c r="BC227" i="1" s="1"/>
  <c r="BF227" i="1" s="1"/>
  <c r="BH131" i="1"/>
  <c r="CF239" i="1"/>
  <c r="CI103" i="1"/>
  <c r="BH125" i="1"/>
  <c r="BN125" i="1" s="1"/>
  <c r="BO125" i="1" s="1"/>
  <c r="BR125" i="1" s="1"/>
  <c r="CH105" i="1"/>
  <c r="BS213" i="1"/>
  <c r="CF234" i="1"/>
  <c r="CG171" i="1"/>
  <c r="BI171" i="1"/>
  <c r="CI15" i="1"/>
  <c r="CI101" i="1"/>
  <c r="CH71" i="1"/>
  <c r="BD255" i="1"/>
  <c r="AZ176" i="1"/>
  <c r="BC176" i="1" s="1"/>
  <c r="BJ176" i="1" s="1"/>
  <c r="BK176" i="1" s="1"/>
  <c r="BL176" i="1" s="1"/>
  <c r="BM176" i="1" s="1"/>
  <c r="BG231" i="1"/>
  <c r="CI14" i="1"/>
  <c r="BN10" i="1"/>
  <c r="BO10" i="1" s="1"/>
  <c r="BR10" i="1" s="1"/>
  <c r="BH198" i="1"/>
  <c r="BN198" i="1" s="1"/>
  <c r="BO198" i="1" s="1"/>
  <c r="BS198" i="1" s="1"/>
  <c r="BS14" i="1"/>
  <c r="CJ14" i="1" s="1"/>
  <c r="BN161" i="1"/>
  <c r="BO161" i="1" s="1"/>
  <c r="BR14" i="1"/>
  <c r="AZ172" i="1"/>
  <c r="BC172" i="1" s="1"/>
  <c r="BH105" i="1"/>
  <c r="CI105" i="1" s="1"/>
  <c r="BF233" i="1"/>
  <c r="BI239" i="1"/>
  <c r="BI173" i="1"/>
  <c r="BJ226" i="1"/>
  <c r="BK226" i="1" s="1"/>
  <c r="BL226" i="1" s="1"/>
  <c r="BM226" i="1" s="1"/>
  <c r="BI231" i="1"/>
  <c r="BF239" i="1"/>
  <c r="BN127" i="1"/>
  <c r="BO127" i="1" s="1"/>
  <c r="BR127" i="1" s="1"/>
  <c r="CI30" i="1"/>
  <c r="BD233" i="1"/>
  <c r="CH233" i="1" s="1"/>
  <c r="BE239" i="1"/>
  <c r="BD231" i="1"/>
  <c r="CH125" i="1"/>
  <c r="CH49" i="1"/>
  <c r="CI65" i="1"/>
  <c r="BJ231" i="1"/>
  <c r="BK231" i="1" s="1"/>
  <c r="BL231" i="1" s="1"/>
  <c r="BM231" i="1" s="1"/>
  <c r="BN51" i="1"/>
  <c r="BO51" i="1" s="1"/>
  <c r="BR51" i="1" s="1"/>
  <c r="BE163" i="1"/>
  <c r="CH64" i="1"/>
  <c r="CH85" i="1"/>
  <c r="CH143" i="1"/>
  <c r="BD163" i="1"/>
  <c r="BN116" i="1"/>
  <c r="BO116" i="1" s="1"/>
  <c r="BP116" i="1" s="1"/>
  <c r="BQ116" i="1" s="1"/>
  <c r="CI132" i="1"/>
  <c r="BJ189" i="1"/>
  <c r="BK189" i="1" s="1"/>
  <c r="BL189" i="1" s="1"/>
  <c r="BM189" i="1" s="1"/>
  <c r="BG189" i="1"/>
  <c r="BH49" i="1"/>
  <c r="BE189" i="1"/>
  <c r="BH11" i="1"/>
  <c r="BN11" i="1" s="1"/>
  <c r="BH143" i="1"/>
  <c r="BF230" i="1"/>
  <c r="BE231" i="1"/>
  <c r="CF183" i="1"/>
  <c r="CI212" i="1"/>
  <c r="BH211" i="1"/>
  <c r="BF231" i="1"/>
  <c r="BD177" i="1"/>
  <c r="BF256" i="1"/>
  <c r="BF163" i="1"/>
  <c r="BI226" i="1"/>
  <c r="BF226" i="1"/>
  <c r="CI81" i="1"/>
  <c r="BN81" i="1"/>
  <c r="BO81" i="1" s="1"/>
  <c r="BR81" i="1" s="1"/>
  <c r="BJ162" i="1"/>
  <c r="BK162" i="1" s="1"/>
  <c r="BL162" i="1" s="1"/>
  <c r="BM162" i="1" s="1"/>
  <c r="BI162" i="1"/>
  <c r="BG162" i="1"/>
  <c r="CH11" i="1"/>
  <c r="BJ239" i="1"/>
  <c r="BK239" i="1" s="1"/>
  <c r="BL239" i="1" s="1"/>
  <c r="BM239" i="1" s="1"/>
  <c r="BF223" i="1"/>
  <c r="BD226" i="1"/>
  <c r="BH64" i="1"/>
  <c r="BN64" i="1" s="1"/>
  <c r="BO64" i="1" s="1"/>
  <c r="BR64" i="1" s="1"/>
  <c r="CI142" i="1"/>
  <c r="BH25" i="1"/>
  <c r="BN25" i="1" s="1"/>
  <c r="BO25" i="1" s="1"/>
  <c r="BG239" i="1"/>
  <c r="BG226" i="1"/>
  <c r="CI50" i="1"/>
  <c r="BH40" i="1"/>
  <c r="CI40" i="1" s="1"/>
  <c r="BH22" i="1"/>
  <c r="CI22" i="1" s="1"/>
  <c r="BE226" i="1"/>
  <c r="BS28" i="1"/>
  <c r="BP28" i="1"/>
  <c r="BH73" i="1"/>
  <c r="BN73" i="1" s="1"/>
  <c r="BO73" i="1" s="1"/>
  <c r="BR73" i="1" s="1"/>
  <c r="BH85" i="1"/>
  <c r="CI85" i="1" s="1"/>
  <c r="BJ234" i="1"/>
  <c r="BK234" i="1" s="1"/>
  <c r="BL234" i="1" s="1"/>
  <c r="BM234" i="1" s="1"/>
  <c r="CH211" i="1"/>
  <c r="BJ173" i="1"/>
  <c r="BK173" i="1" s="1"/>
  <c r="BL173" i="1" s="1"/>
  <c r="BM173" i="1" s="1"/>
  <c r="CI58" i="1"/>
  <c r="BD173" i="1"/>
  <c r="BG173" i="1"/>
  <c r="CH73" i="1"/>
  <c r="BE173" i="1"/>
  <c r="BF173" i="1"/>
  <c r="CI135" i="1"/>
  <c r="CI145" i="1"/>
  <c r="BH115" i="1"/>
  <c r="CI115" i="1" s="1"/>
  <c r="CH42" i="1"/>
  <c r="BH102" i="1"/>
  <c r="BN102" i="1" s="1"/>
  <c r="BO102" i="1" s="1"/>
  <c r="BR102" i="1" s="1"/>
  <c r="CH40" i="1"/>
  <c r="CI111" i="1"/>
  <c r="BD230" i="1"/>
  <c r="BI233" i="1"/>
  <c r="BJ233" i="1"/>
  <c r="BK233" i="1" s="1"/>
  <c r="BL233" i="1" s="1"/>
  <c r="BM233" i="1" s="1"/>
  <c r="BD239" i="1"/>
  <c r="BF255" i="1"/>
  <c r="BH209" i="1"/>
  <c r="BN209" i="1" s="1"/>
  <c r="BO209" i="1" s="1"/>
  <c r="CH200" i="1"/>
  <c r="BN220" i="1"/>
  <c r="BO220" i="1" s="1"/>
  <c r="CI220" i="1"/>
  <c r="AZ167" i="1"/>
  <c r="BC167" i="1" s="1"/>
  <c r="CF167" i="1"/>
  <c r="BG233" i="1"/>
  <c r="CH102" i="1"/>
  <c r="CH119" i="1"/>
  <c r="CH29" i="1"/>
  <c r="BN34" i="1"/>
  <c r="BO34" i="1" s="1"/>
  <c r="BR34" i="1" s="1"/>
  <c r="CH23" i="1"/>
  <c r="CJ139" i="1"/>
  <c r="BR132" i="1"/>
  <c r="CG240" i="1"/>
  <c r="BJ240" i="1"/>
  <c r="BK240" i="1" s="1"/>
  <c r="BL240" i="1" s="1"/>
  <c r="BM240" i="1" s="1"/>
  <c r="BG240" i="1"/>
  <c r="BE240" i="1"/>
  <c r="BD240" i="1"/>
  <c r="BF240" i="1"/>
  <c r="BI240" i="1"/>
  <c r="BD169" i="1"/>
  <c r="CI217" i="1"/>
  <c r="BH207" i="1"/>
  <c r="BN207" i="1" s="1"/>
  <c r="BO207" i="1" s="1"/>
  <c r="BH23" i="1"/>
  <c r="CI23" i="1" s="1"/>
  <c r="BH133" i="1"/>
  <c r="BN133" i="1" s="1"/>
  <c r="BO133" i="1" s="1"/>
  <c r="BH138" i="1"/>
  <c r="BN138" i="1" s="1"/>
  <c r="BO138" i="1" s="1"/>
  <c r="BR138" i="1" s="1"/>
  <c r="BH82" i="1"/>
  <c r="BN82" i="1" s="1"/>
  <c r="BH42" i="1"/>
  <c r="CI42" i="1" s="1"/>
  <c r="BJ250" i="1"/>
  <c r="BK250" i="1" s="1"/>
  <c r="BL250" i="1" s="1"/>
  <c r="BM250" i="1" s="1"/>
  <c r="BF162" i="1"/>
  <c r="BD162" i="1"/>
  <c r="CH162" i="1" s="1"/>
  <c r="BH76" i="1"/>
  <c r="CI76" i="1" s="1"/>
  <c r="CJ55" i="1"/>
  <c r="BF248" i="1"/>
  <c r="CH214" i="1"/>
  <c r="BE177" i="1"/>
  <c r="BI234" i="1"/>
  <c r="BG194" i="1"/>
  <c r="BH29" i="1"/>
  <c r="CI29" i="1" s="1"/>
  <c r="BH33" i="1"/>
  <c r="CI33" i="1" s="1"/>
  <c r="BE234" i="1"/>
  <c r="CH234" i="1" s="1"/>
  <c r="CI140" i="1"/>
  <c r="BJ177" i="1"/>
  <c r="BK177" i="1" s="1"/>
  <c r="BL177" i="1" s="1"/>
  <c r="BM177" i="1" s="1"/>
  <c r="BI177" i="1"/>
  <c r="BG234" i="1"/>
  <c r="CI121" i="1"/>
  <c r="BH200" i="1"/>
  <c r="BF234" i="1"/>
  <c r="BS17" i="1"/>
  <c r="BG177" i="1"/>
  <c r="CH207" i="1"/>
  <c r="BH203" i="1"/>
  <c r="CI203" i="1" s="1"/>
  <c r="CH24" i="1"/>
  <c r="CH133" i="1"/>
  <c r="BR145" i="1"/>
  <c r="CH204" i="1"/>
  <c r="CH76" i="1"/>
  <c r="BO199" i="1"/>
  <c r="BR199" i="1" s="1"/>
  <c r="BH204" i="1"/>
  <c r="BP212" i="1"/>
  <c r="BQ212" i="1" s="1"/>
  <c r="BS212" i="1"/>
  <c r="AZ232" i="1"/>
  <c r="BC232" i="1" s="1"/>
  <c r="BG232" i="1" s="1"/>
  <c r="BE250" i="1"/>
  <c r="BE248" i="1"/>
  <c r="BE194" i="1"/>
  <c r="BE169" i="1"/>
  <c r="BQ74" i="1"/>
  <c r="CH82" i="1"/>
  <c r="BQ201" i="1"/>
  <c r="BT201" i="1"/>
  <c r="BR217" i="1"/>
  <c r="BS217" i="1"/>
  <c r="BP217" i="1"/>
  <c r="BF192" i="1"/>
  <c r="BR136" i="1"/>
  <c r="BS136" i="1"/>
  <c r="BP136" i="1"/>
  <c r="BH24" i="1"/>
  <c r="CH209" i="1"/>
  <c r="BH214" i="1"/>
  <c r="BO135" i="1"/>
  <c r="BR135" i="1" s="1"/>
  <c r="BS218" i="1"/>
  <c r="BP218" i="1"/>
  <c r="BQ218" i="1" s="1"/>
  <c r="BJ169" i="1"/>
  <c r="BK169" i="1" s="1"/>
  <c r="BL169" i="1" s="1"/>
  <c r="BM169" i="1" s="1"/>
  <c r="BD236" i="1"/>
  <c r="BO134" i="1"/>
  <c r="BR134" i="1" s="1"/>
  <c r="BS70" i="1"/>
  <c r="BP70" i="1"/>
  <c r="CH138" i="1"/>
  <c r="CI108" i="1"/>
  <c r="BN108" i="1"/>
  <c r="BO108" i="1" s="1"/>
  <c r="BR108" i="1" s="1"/>
  <c r="BP132" i="1"/>
  <c r="BS132" i="1"/>
  <c r="AZ235" i="1"/>
  <c r="BC235" i="1" s="1"/>
  <c r="BG235" i="1" s="1"/>
  <c r="BF250" i="1"/>
  <c r="BD250" i="1"/>
  <c r="BG248" i="1"/>
  <c r="BI194" i="1"/>
  <c r="BI169" i="1"/>
  <c r="BG236" i="1"/>
  <c r="BP80" i="1"/>
  <c r="BQ80" i="1" s="1"/>
  <c r="BS80" i="1"/>
  <c r="BQ139" i="1"/>
  <c r="BT139" i="1"/>
  <c r="BP221" i="1"/>
  <c r="BS221" i="1"/>
  <c r="BR140" i="1"/>
  <c r="BP140" i="1"/>
  <c r="BS140" i="1"/>
  <c r="BO142" i="1"/>
  <c r="BR142" i="1" s="1"/>
  <c r="BR205" i="1"/>
  <c r="BP205" i="1"/>
  <c r="BQ205" i="1" s="1"/>
  <c r="BS205" i="1"/>
  <c r="BI248" i="1"/>
  <c r="BD248" i="1"/>
  <c r="BJ194" i="1"/>
  <c r="BK194" i="1" s="1"/>
  <c r="BL194" i="1" s="1"/>
  <c r="BM194" i="1" s="1"/>
  <c r="BI250" i="1"/>
  <c r="BJ248" i="1"/>
  <c r="BK248" i="1" s="1"/>
  <c r="BL248" i="1" s="1"/>
  <c r="BM248" i="1" s="1"/>
  <c r="BF194" i="1"/>
  <c r="BG169" i="1"/>
  <c r="BJ236" i="1"/>
  <c r="BK236" i="1" s="1"/>
  <c r="BL236" i="1" s="1"/>
  <c r="BM236" i="1" s="1"/>
  <c r="BO30" i="1"/>
  <c r="CH33" i="1"/>
  <c r="CI199" i="1"/>
  <c r="BP208" i="1"/>
  <c r="BS208" i="1"/>
  <c r="BP147" i="1"/>
  <c r="BS147" i="1"/>
  <c r="BG250" i="1"/>
  <c r="BD194" i="1"/>
  <c r="BF169" i="1"/>
  <c r="CH16" i="1"/>
  <c r="BP75" i="1"/>
  <c r="BS75" i="1"/>
  <c r="CH203" i="1"/>
  <c r="CJ201" i="1"/>
  <c r="BR212" i="1"/>
  <c r="BP145" i="1"/>
  <c r="BS145" i="1"/>
  <c r="BH63" i="1"/>
  <c r="CH63" i="1"/>
  <c r="BH120" i="1"/>
  <c r="BN120" i="1" s="1"/>
  <c r="BF236" i="1"/>
  <c r="BG255" i="1"/>
  <c r="BJ255" i="1"/>
  <c r="BK255" i="1" s="1"/>
  <c r="BL255" i="1" s="1"/>
  <c r="BM255" i="1" s="1"/>
  <c r="BJ230" i="1"/>
  <c r="BK230" i="1" s="1"/>
  <c r="BL230" i="1" s="1"/>
  <c r="BM230" i="1" s="1"/>
  <c r="BI236" i="1"/>
  <c r="BG252" i="1"/>
  <c r="BE255" i="1"/>
  <c r="CI17" i="1"/>
  <c r="CH120" i="1"/>
  <c r="CH19" i="1"/>
  <c r="CH47" i="1"/>
  <c r="CH152" i="1"/>
  <c r="BH152" i="1"/>
  <c r="CI94" i="1"/>
  <c r="BE236" i="1"/>
  <c r="BE257" i="1"/>
  <c r="BH12" i="1"/>
  <c r="CI12" i="1" s="1"/>
  <c r="BI186" i="1"/>
  <c r="BH47" i="1"/>
  <c r="CI47" i="1" s="1"/>
  <c r="CG186" i="1"/>
  <c r="BI192" i="1"/>
  <c r="BJ223" i="1"/>
  <c r="BK223" i="1" s="1"/>
  <c r="BL223" i="1" s="1"/>
  <c r="BM223" i="1" s="1"/>
  <c r="BG247" i="1"/>
  <c r="BP38" i="1"/>
  <c r="BQ38" i="1" s="1"/>
  <c r="BJ186" i="1"/>
  <c r="BK186" i="1" s="1"/>
  <c r="BL186" i="1" s="1"/>
  <c r="BM186" i="1" s="1"/>
  <c r="CG254" i="1"/>
  <c r="BD192" i="1"/>
  <c r="BI223" i="1"/>
  <c r="BJ256" i="1"/>
  <c r="BK256" i="1" s="1"/>
  <c r="BL256" i="1" s="1"/>
  <c r="BM256" i="1" s="1"/>
  <c r="BI168" i="1"/>
  <c r="BF257" i="1"/>
  <c r="BF260" i="1"/>
  <c r="CH43" i="1"/>
  <c r="BJ192" i="1"/>
  <c r="BK192" i="1" s="1"/>
  <c r="BL192" i="1" s="1"/>
  <c r="BM192" i="1" s="1"/>
  <c r="BD223" i="1"/>
  <c r="CH223" i="1" s="1"/>
  <c r="BH19" i="1"/>
  <c r="CI19" i="1" s="1"/>
  <c r="BG186" i="1"/>
  <c r="BD186" i="1"/>
  <c r="CH186" i="1" s="1"/>
  <c r="BJ254" i="1"/>
  <c r="BK254" i="1" s="1"/>
  <c r="BL254" i="1" s="1"/>
  <c r="BM254" i="1" s="1"/>
  <c r="BE192" i="1"/>
  <c r="CG223" i="1"/>
  <c r="BG223" i="1"/>
  <c r="BG256" i="1"/>
  <c r="BD256" i="1"/>
  <c r="BJ168" i="1"/>
  <c r="BK168" i="1" s="1"/>
  <c r="BL168" i="1" s="1"/>
  <c r="BM168" i="1" s="1"/>
  <c r="BJ257" i="1"/>
  <c r="BK257" i="1" s="1"/>
  <c r="BL257" i="1" s="1"/>
  <c r="BM257" i="1" s="1"/>
  <c r="BD257" i="1"/>
  <c r="BD258" i="1"/>
  <c r="BI247" i="1"/>
  <c r="BD247" i="1"/>
  <c r="BF186" i="1"/>
  <c r="BI256" i="1"/>
  <c r="BJ247" i="1"/>
  <c r="BK247" i="1" s="1"/>
  <c r="BL247" i="1" s="1"/>
  <c r="BM247" i="1" s="1"/>
  <c r="BF247" i="1"/>
  <c r="BP17" i="1"/>
  <c r="BQ17" i="1" s="1"/>
  <c r="BD249" i="1"/>
  <c r="BG192" i="1"/>
  <c r="BE256" i="1"/>
  <c r="BI257" i="1"/>
  <c r="BG257" i="1"/>
  <c r="BE247" i="1"/>
  <c r="BJ252" i="1"/>
  <c r="BK252" i="1" s="1"/>
  <c r="BL252" i="1" s="1"/>
  <c r="BM252" i="1" s="1"/>
  <c r="BS38" i="1"/>
  <c r="BH113" i="1"/>
  <c r="CI113" i="1" s="1"/>
  <c r="BR121" i="1"/>
  <c r="BP121" i="1"/>
  <c r="BQ121" i="1" s="1"/>
  <c r="BS121" i="1"/>
  <c r="BJ249" i="1"/>
  <c r="BK249" i="1" s="1"/>
  <c r="BL249" i="1" s="1"/>
  <c r="BM249" i="1" s="1"/>
  <c r="BD168" i="1"/>
  <c r="BE258" i="1"/>
  <c r="BH119" i="1"/>
  <c r="BN119" i="1" s="1"/>
  <c r="BO119" i="1" s="1"/>
  <c r="BG249" i="1"/>
  <c r="BG254" i="1"/>
  <c r="BI258" i="1"/>
  <c r="BI252" i="1"/>
  <c r="BD260" i="1"/>
  <c r="BH43" i="1"/>
  <c r="BE249" i="1"/>
  <c r="BD254" i="1"/>
  <c r="BF254" i="1"/>
  <c r="BG168" i="1"/>
  <c r="BJ258" i="1"/>
  <c r="BK258" i="1" s="1"/>
  <c r="BL258" i="1" s="1"/>
  <c r="BM258" i="1" s="1"/>
  <c r="BG258" i="1"/>
  <c r="BF252" i="1"/>
  <c r="BI260" i="1"/>
  <c r="AZ166" i="1"/>
  <c r="BC166" i="1" s="1"/>
  <c r="BJ166" i="1" s="1"/>
  <c r="BK166" i="1" s="1"/>
  <c r="BL166" i="1" s="1"/>
  <c r="BM166" i="1" s="1"/>
  <c r="BI249" i="1"/>
  <c r="AZ164" i="1"/>
  <c r="BC164" i="1" s="1"/>
  <c r="BE164" i="1" s="1"/>
  <c r="BF249" i="1"/>
  <c r="BE254" i="1"/>
  <c r="BF168" i="1"/>
  <c r="BE168" i="1"/>
  <c r="BF258" i="1"/>
  <c r="BD252" i="1"/>
  <c r="CH252" i="1" s="1"/>
  <c r="BG260" i="1"/>
  <c r="CH113" i="1"/>
  <c r="CH170" i="1"/>
  <c r="CH243" i="1"/>
  <c r="AZ182" i="1"/>
  <c r="BC182" i="1" s="1"/>
  <c r="CG182" i="1" s="1"/>
  <c r="CG252" i="1"/>
  <c r="BE260" i="1"/>
  <c r="BJ260" i="1"/>
  <c r="BK260" i="1" s="1"/>
  <c r="BL260" i="1" s="1"/>
  <c r="BM260" i="1" s="1"/>
  <c r="AZ179" i="1"/>
  <c r="BC179" i="1" s="1"/>
  <c r="CG179" i="1" s="1"/>
  <c r="BN122" i="1"/>
  <c r="CI122" i="1"/>
  <c r="CG193" i="1"/>
  <c r="BF193" i="1"/>
  <c r="BI193" i="1"/>
  <c r="BE193" i="1"/>
  <c r="BJ193" i="1"/>
  <c r="BK193" i="1" s="1"/>
  <c r="BL193" i="1" s="1"/>
  <c r="BM193" i="1" s="1"/>
  <c r="BG193" i="1"/>
  <c r="BD193" i="1"/>
  <c r="CI46" i="1"/>
  <c r="BO159" i="1"/>
  <c r="BR159" i="1" s="1"/>
  <c r="BR46" i="1"/>
  <c r="BS46" i="1"/>
  <c r="BP46" i="1"/>
  <c r="BQ46" i="1" s="1"/>
  <c r="CH12" i="1"/>
  <c r="CH54" i="1"/>
  <c r="CH153" i="1"/>
  <c r="BT91" i="1"/>
  <c r="AZ196" i="1"/>
  <c r="BC196" i="1" s="1"/>
  <c r="CG196" i="1" s="1"/>
  <c r="BP57" i="1"/>
  <c r="BS57" i="1"/>
  <c r="CH99" i="1"/>
  <c r="BH69" i="1"/>
  <c r="CH110" i="1"/>
  <c r="AZ180" i="1"/>
  <c r="BC180" i="1" s="1"/>
  <c r="CG180" i="1" s="1"/>
  <c r="BH151" i="1"/>
  <c r="BN151" i="1" s="1"/>
  <c r="BO151" i="1" s="1"/>
  <c r="AZ195" i="1"/>
  <c r="BC195" i="1" s="1"/>
  <c r="CG195" i="1" s="1"/>
  <c r="CF195" i="1"/>
  <c r="AZ175" i="1"/>
  <c r="BC175" i="1" s="1"/>
  <c r="BJ175" i="1" s="1"/>
  <c r="BK175" i="1" s="1"/>
  <c r="BL175" i="1" s="1"/>
  <c r="BM175" i="1" s="1"/>
  <c r="CF175" i="1"/>
  <c r="AZ224" i="1"/>
  <c r="BC224" i="1" s="1"/>
  <c r="CG224" i="1" s="1"/>
  <c r="CF224" i="1"/>
  <c r="BF178" i="1"/>
  <c r="CG178" i="1"/>
  <c r="BD178" i="1"/>
  <c r="BJ178" i="1"/>
  <c r="BK178" i="1" s="1"/>
  <c r="BL178" i="1" s="1"/>
  <c r="BM178" i="1" s="1"/>
  <c r="BE178" i="1"/>
  <c r="BG178" i="1"/>
  <c r="BI178" i="1"/>
  <c r="BD184" i="1"/>
  <c r="BE184" i="1"/>
  <c r="BJ184" i="1"/>
  <c r="BK184" i="1" s="1"/>
  <c r="BL184" i="1" s="1"/>
  <c r="BM184" i="1" s="1"/>
  <c r="BF184" i="1"/>
  <c r="BG184" i="1"/>
  <c r="BI184" i="1"/>
  <c r="BI187" i="1"/>
  <c r="BF187" i="1"/>
  <c r="BE187" i="1"/>
  <c r="BG187" i="1"/>
  <c r="BD187" i="1"/>
  <c r="CG187" i="1"/>
  <c r="BJ187" i="1"/>
  <c r="BK187" i="1" s="1"/>
  <c r="BL187" i="1" s="1"/>
  <c r="BM187" i="1" s="1"/>
  <c r="BH110" i="1"/>
  <c r="BH54" i="1"/>
  <c r="CH69" i="1"/>
  <c r="CI39" i="1"/>
  <c r="BN39" i="1"/>
  <c r="BO39" i="1" s="1"/>
  <c r="BJ261" i="1"/>
  <c r="BK261" i="1" s="1"/>
  <c r="BL261" i="1" s="1"/>
  <c r="BM261" i="1" s="1"/>
  <c r="BG261" i="1"/>
  <c r="BI261" i="1"/>
  <c r="BF261" i="1"/>
  <c r="BE261" i="1"/>
  <c r="BD261" i="1"/>
  <c r="AZ242" i="1"/>
  <c r="BC242" i="1" s="1"/>
  <c r="CF242" i="1"/>
  <c r="BE228" i="1"/>
  <c r="BF228" i="1"/>
  <c r="BI228" i="1"/>
  <c r="BJ228" i="1"/>
  <c r="BK228" i="1" s="1"/>
  <c r="BL228" i="1" s="1"/>
  <c r="BM228" i="1" s="1"/>
  <c r="BD228" i="1"/>
  <c r="BG228" i="1"/>
  <c r="BF251" i="1"/>
  <c r="BE251" i="1"/>
  <c r="BJ251" i="1"/>
  <c r="BK251" i="1" s="1"/>
  <c r="BL251" i="1" s="1"/>
  <c r="BM251" i="1" s="1"/>
  <c r="BG251" i="1"/>
  <c r="BD251" i="1"/>
  <c r="BI251" i="1"/>
  <c r="BO84" i="1"/>
  <c r="BR84" i="1" s="1"/>
  <c r="CH151" i="1"/>
  <c r="BH99" i="1"/>
  <c r="BN98" i="1"/>
  <c r="BO98" i="1" s="1"/>
  <c r="CI98" i="1"/>
  <c r="CI21" i="1"/>
  <c r="BN21" i="1"/>
  <c r="BO21" i="1" s="1"/>
  <c r="BI225" i="1"/>
  <c r="BF225" i="1"/>
  <c r="BG225" i="1"/>
  <c r="BE225" i="1"/>
  <c r="BD225" i="1"/>
  <c r="CG225" i="1"/>
  <c r="BJ225" i="1"/>
  <c r="BK225" i="1" s="1"/>
  <c r="BL225" i="1" s="1"/>
  <c r="BM225" i="1" s="1"/>
  <c r="BF259" i="1"/>
  <c r="BG259" i="1"/>
  <c r="BD259" i="1"/>
  <c r="BJ259" i="1"/>
  <c r="BK259" i="1" s="1"/>
  <c r="BL259" i="1" s="1"/>
  <c r="BM259" i="1" s="1"/>
  <c r="BE259" i="1"/>
  <c r="BI259" i="1"/>
  <c r="BE237" i="1"/>
  <c r="BD237" i="1"/>
  <c r="BJ237" i="1"/>
  <c r="BK237" i="1" s="1"/>
  <c r="BL237" i="1" s="1"/>
  <c r="BM237" i="1" s="1"/>
  <c r="BF237" i="1"/>
  <c r="BG237" i="1"/>
  <c r="BI237" i="1"/>
  <c r="BH90" i="1"/>
  <c r="BH16" i="1"/>
  <c r="BO60" i="1"/>
  <c r="BR60" i="1" s="1"/>
  <c r="BH153" i="1"/>
  <c r="BJ241" i="1"/>
  <c r="BK241" i="1" s="1"/>
  <c r="BL241" i="1" s="1"/>
  <c r="BM241" i="1" s="1"/>
  <c r="BD241" i="1"/>
  <c r="BE241" i="1"/>
  <c r="BI241" i="1"/>
  <c r="BF241" i="1"/>
  <c r="BG241" i="1"/>
  <c r="CH90" i="1"/>
  <c r="BG174" i="1"/>
  <c r="BF174" i="1"/>
  <c r="BI174" i="1"/>
  <c r="CG174" i="1"/>
  <c r="BD174" i="1"/>
  <c r="BE174" i="1"/>
  <c r="BJ174" i="1"/>
  <c r="BK174" i="1" s="1"/>
  <c r="BL174" i="1" s="1"/>
  <c r="BM174" i="1" s="1"/>
  <c r="BG230" i="1"/>
  <c r="BE230" i="1"/>
  <c r="BI230" i="1"/>
  <c r="BV55" i="1"/>
  <c r="BW55" i="1" s="1"/>
  <c r="CJ91" i="1"/>
  <c r="BT45" i="1"/>
  <c r="BR53" i="1"/>
  <c r="BP53" i="1"/>
  <c r="BQ53" i="1" s="1"/>
  <c r="BS53" i="1"/>
  <c r="BP101" i="1"/>
  <c r="BQ101" i="1" s="1"/>
  <c r="BS101" i="1"/>
  <c r="BR103" i="1"/>
  <c r="BP103" i="1"/>
  <c r="BQ103" i="1" s="1"/>
  <c r="BS103" i="1"/>
  <c r="BP50" i="1"/>
  <c r="BQ50" i="1" s="1"/>
  <c r="BS50" i="1"/>
  <c r="BS20" i="1"/>
  <c r="BP20" i="1"/>
  <c r="BQ20" i="1" s="1"/>
  <c r="BR15" i="1"/>
  <c r="BS15" i="1"/>
  <c r="BP15" i="1"/>
  <c r="CJ45" i="1"/>
  <c r="BQ45" i="1"/>
  <c r="BS58" i="1"/>
  <c r="BP58" i="1"/>
  <c r="BQ58" i="1" s="1"/>
  <c r="BR65" i="1"/>
  <c r="BS65" i="1"/>
  <c r="BP65" i="1"/>
  <c r="BQ14" i="1"/>
  <c r="BR111" i="1"/>
  <c r="BS111" i="1"/>
  <c r="BP111" i="1"/>
  <c r="BP94" i="1"/>
  <c r="BQ94" i="1" s="1"/>
  <c r="BS94" i="1"/>
  <c r="BO68" i="1"/>
  <c r="BS66" i="1"/>
  <c r="BP66" i="1"/>
  <c r="BS114" i="1"/>
  <c r="BP114" i="1"/>
  <c r="BR101" i="1"/>
  <c r="BS89" i="1"/>
  <c r="BP89" i="1"/>
  <c r="BQ89" i="1" s="1"/>
  <c r="BR50" i="1"/>
  <c r="BR123" i="1"/>
  <c r="BS123" i="1"/>
  <c r="BP123" i="1"/>
  <c r="BQ123" i="1" s="1"/>
  <c r="BR56" i="1"/>
  <c r="BS56" i="1"/>
  <c r="BP56" i="1"/>
  <c r="CG235" i="1"/>
  <c r="BO158" i="1"/>
  <c r="CG164" i="1"/>
  <c r="CG175" i="1"/>
  <c r="CG166" i="1"/>
  <c r="CG232" i="1"/>
  <c r="BO157" i="1"/>
  <c r="BR157" i="1" s="1"/>
  <c r="BH243" i="1"/>
  <c r="B9" i="5"/>
  <c r="B10" i="5"/>
  <c r="B11" i="5"/>
  <c r="B12" i="5"/>
  <c r="B13" i="5"/>
  <c r="B14" i="5"/>
  <c r="B15" i="5"/>
  <c r="B16" i="5"/>
  <c r="B17" i="5"/>
  <c r="B19" i="5"/>
  <c r="B20" i="5"/>
  <c r="B21" i="5"/>
  <c r="B22" i="5"/>
  <c r="B23" i="5"/>
  <c r="B24" i="5"/>
  <c r="B25" i="5"/>
  <c r="B26" i="5"/>
  <c r="B28" i="5"/>
  <c r="B29" i="5"/>
  <c r="B30" i="5"/>
  <c r="B31" i="5"/>
  <c r="B32" i="5"/>
  <c r="B33" i="5"/>
  <c r="B34" i="5"/>
  <c r="B35" i="5"/>
  <c r="B36" i="5"/>
  <c r="B37" i="5"/>
  <c r="Q9" i="5"/>
  <c r="P9" i="5" s="1"/>
  <c r="Q10" i="5"/>
  <c r="P10" i="5" s="1"/>
  <c r="Q11" i="5"/>
  <c r="P11" i="5" s="1"/>
  <c r="Q12" i="5"/>
  <c r="P12" i="5" s="1"/>
  <c r="Q13" i="5"/>
  <c r="P13" i="5" s="1"/>
  <c r="Q14" i="5"/>
  <c r="P14" i="5" s="1"/>
  <c r="Q15" i="5"/>
  <c r="P15" i="5" s="1"/>
  <c r="Q16" i="5"/>
  <c r="P16" i="5" s="1"/>
  <c r="Q17" i="5"/>
  <c r="P17" i="5" s="1"/>
  <c r="Y9" i="5"/>
  <c r="AU9" i="5" s="1"/>
  <c r="Y10" i="5"/>
  <c r="AU10" i="5" s="1"/>
  <c r="Y11" i="5"/>
  <c r="AU11" i="5" s="1"/>
  <c r="Y12" i="5"/>
  <c r="AU12" i="5" s="1"/>
  <c r="Y13" i="5"/>
  <c r="AU13" i="5" s="1"/>
  <c r="Y14" i="5"/>
  <c r="Y15" i="5"/>
  <c r="Y16" i="5"/>
  <c r="AU16" i="5" s="1"/>
  <c r="Y17" i="5"/>
  <c r="Y19" i="5"/>
  <c r="Y20" i="5"/>
  <c r="Y21" i="5"/>
  <c r="AU21" i="5" s="1"/>
  <c r="Y22" i="5"/>
  <c r="AU22" i="5" s="1"/>
  <c r="Y23" i="5"/>
  <c r="AU23" i="5" s="1"/>
  <c r="Y24" i="5"/>
  <c r="Y25" i="5"/>
  <c r="AU25" i="5" s="1"/>
  <c r="Y26" i="5"/>
  <c r="AU26" i="5" s="1"/>
  <c r="Z9" i="5"/>
  <c r="AI9" i="5"/>
  <c r="AM9" i="5"/>
  <c r="AS9" i="5"/>
  <c r="Z10" i="5"/>
  <c r="AI10" i="5"/>
  <c r="AM10" i="5"/>
  <c r="AS10" i="5"/>
  <c r="Z11" i="5"/>
  <c r="AI11" i="5"/>
  <c r="AM11" i="5"/>
  <c r="AS11" i="5"/>
  <c r="Z12" i="5"/>
  <c r="AI12" i="5"/>
  <c r="AM12" i="5"/>
  <c r="AS12" i="5"/>
  <c r="Z13" i="5"/>
  <c r="AI13" i="5"/>
  <c r="AM13" i="5"/>
  <c r="AS13" i="5"/>
  <c r="AU14" i="5"/>
  <c r="Z14" i="5"/>
  <c r="AI14" i="5"/>
  <c r="AM14" i="5"/>
  <c r="AS14" i="5"/>
  <c r="U15" i="5"/>
  <c r="X15" i="5" s="1"/>
  <c r="AC15" i="5" s="1"/>
  <c r="Z15" i="5"/>
  <c r="AI15" i="5"/>
  <c r="AM15" i="5"/>
  <c r="AS15" i="5"/>
  <c r="AU15" i="5"/>
  <c r="U16" i="5"/>
  <c r="X16" i="5" s="1"/>
  <c r="AA16" i="5" s="1"/>
  <c r="W16" i="5"/>
  <c r="Z16" i="5"/>
  <c r="AI16" i="5"/>
  <c r="AM16" i="5"/>
  <c r="AS16" i="5"/>
  <c r="AT16" i="5"/>
  <c r="Z17" i="5"/>
  <c r="AI17" i="5"/>
  <c r="AM17" i="5"/>
  <c r="AS17" i="5"/>
  <c r="AU17" i="5"/>
  <c r="Q19" i="5"/>
  <c r="U19" i="5" s="1"/>
  <c r="X19" i="5" s="1"/>
  <c r="Z19" i="5"/>
  <c r="AI19" i="5"/>
  <c r="AM19" i="5"/>
  <c r="AS19" i="5"/>
  <c r="AU19" i="5"/>
  <c r="Q20" i="5"/>
  <c r="U20" i="5" s="1"/>
  <c r="X20" i="5" s="1"/>
  <c r="AU20" i="5"/>
  <c r="Z20" i="5"/>
  <c r="AI20" i="5"/>
  <c r="AM20" i="5"/>
  <c r="AS20" i="5"/>
  <c r="Q21" i="5"/>
  <c r="U21" i="5" s="1"/>
  <c r="X21" i="5" s="1"/>
  <c r="Z21" i="5"/>
  <c r="AI21" i="5"/>
  <c r="AM21" i="5"/>
  <c r="AS21" i="5"/>
  <c r="Q22" i="5"/>
  <c r="U22" i="5" s="1"/>
  <c r="X22" i="5" s="1"/>
  <c r="Z22" i="5"/>
  <c r="AI22" i="5"/>
  <c r="AM22" i="5"/>
  <c r="AS22" i="5"/>
  <c r="Q23" i="5"/>
  <c r="U23" i="5" s="1"/>
  <c r="X23" i="5" s="1"/>
  <c r="Z23" i="5"/>
  <c r="AI23" i="5"/>
  <c r="AM23" i="5"/>
  <c r="AS23" i="5"/>
  <c r="Q24" i="5"/>
  <c r="AU24" i="5"/>
  <c r="Z24" i="5"/>
  <c r="AI24" i="5"/>
  <c r="AM24" i="5"/>
  <c r="AS24" i="5"/>
  <c r="Q25" i="5"/>
  <c r="Z25" i="5"/>
  <c r="AI25" i="5"/>
  <c r="AM25" i="5"/>
  <c r="AS25" i="5"/>
  <c r="Q26" i="5"/>
  <c r="Z26" i="5"/>
  <c r="AI26" i="5"/>
  <c r="AM26" i="5"/>
  <c r="AS26" i="5"/>
  <c r="Q28" i="5"/>
  <c r="U28" i="5" s="1"/>
  <c r="X28" i="5" s="1"/>
  <c r="Z28" i="5"/>
  <c r="AI28" i="5"/>
  <c r="AM28" i="5"/>
  <c r="AS28" i="5"/>
  <c r="Q29" i="5"/>
  <c r="Y29" i="5" s="1"/>
  <c r="AU29" i="5" s="1"/>
  <c r="Z29" i="5"/>
  <c r="AI29" i="5"/>
  <c r="AM29" i="5"/>
  <c r="AS29" i="5"/>
  <c r="Q30" i="5"/>
  <c r="U30" i="5" s="1"/>
  <c r="X30" i="5" s="1"/>
  <c r="Z30" i="5"/>
  <c r="AI30" i="5"/>
  <c r="AM30" i="5"/>
  <c r="AS30" i="5"/>
  <c r="Q31" i="5"/>
  <c r="Y31" i="5" s="1"/>
  <c r="AU31" i="5" s="1"/>
  <c r="Z31" i="5"/>
  <c r="AI31" i="5"/>
  <c r="AM31" i="5"/>
  <c r="AS31" i="5"/>
  <c r="Q32" i="5"/>
  <c r="U32" i="5" s="1"/>
  <c r="X32" i="5" s="1"/>
  <c r="Z32" i="5"/>
  <c r="AI32" i="5"/>
  <c r="AM32" i="5"/>
  <c r="AS32" i="5"/>
  <c r="AT32" i="5"/>
  <c r="Q33" i="5"/>
  <c r="Y33" i="5" s="1"/>
  <c r="AU33" i="5" s="1"/>
  <c r="Z33" i="5"/>
  <c r="AI33" i="5"/>
  <c r="AM33" i="5"/>
  <c r="AS33" i="5"/>
  <c r="Q34" i="5"/>
  <c r="Y34" i="5" s="1"/>
  <c r="AU34" i="5" s="1"/>
  <c r="Z34" i="5"/>
  <c r="AI34" i="5"/>
  <c r="AM34" i="5"/>
  <c r="AS34" i="5"/>
  <c r="Q35" i="5"/>
  <c r="Z35" i="5"/>
  <c r="AI35" i="5"/>
  <c r="AM35" i="5"/>
  <c r="AS35" i="5"/>
  <c r="Q36" i="5"/>
  <c r="U36" i="5" s="1"/>
  <c r="X36" i="5" s="1"/>
  <c r="Z36" i="5"/>
  <c r="AI36" i="5"/>
  <c r="AM36" i="5"/>
  <c r="AS36" i="5"/>
  <c r="Q37" i="5"/>
  <c r="W37" i="5" s="1"/>
  <c r="Z37" i="5"/>
  <c r="AI37" i="5"/>
  <c r="AM37" i="5"/>
  <c r="AS37" i="5"/>
  <c r="B50" i="5"/>
  <c r="B51" i="5"/>
  <c r="B52" i="5"/>
  <c r="B53" i="5"/>
  <c r="B54" i="5"/>
  <c r="B55" i="5"/>
  <c r="B56" i="5"/>
  <c r="B57" i="5"/>
  <c r="B58" i="5"/>
  <c r="B79" i="5"/>
  <c r="B61" i="5"/>
  <c r="B62" i="5"/>
  <c r="B63" i="5"/>
  <c r="B64" i="5"/>
  <c r="B65" i="5"/>
  <c r="B66" i="5"/>
  <c r="B67" i="5"/>
  <c r="B68" i="5"/>
  <c r="B70" i="5"/>
  <c r="B71" i="5"/>
  <c r="B72" i="5"/>
  <c r="B73" i="5"/>
  <c r="B74" i="5"/>
  <c r="B75" i="5"/>
  <c r="B76" i="5"/>
  <c r="B77" i="5"/>
  <c r="B78" i="5"/>
  <c r="B81" i="5"/>
  <c r="B82" i="5"/>
  <c r="B83" i="5"/>
  <c r="B84" i="5"/>
  <c r="B85" i="5"/>
  <c r="B86" i="5"/>
  <c r="B87" i="5"/>
  <c r="B88" i="5"/>
  <c r="B89" i="5"/>
  <c r="B60" i="5"/>
  <c r="AR68" i="5"/>
  <c r="AM68" i="5"/>
  <c r="AI68" i="5"/>
  <c r="Z68" i="5"/>
  <c r="Y68" i="5"/>
  <c r="AU68" i="5" s="1"/>
  <c r="Q68" i="5"/>
  <c r="AT68" i="5" s="1"/>
  <c r="Y82" i="4"/>
  <c r="AE82" i="4"/>
  <c r="Y83" i="4"/>
  <c r="AE83" i="4"/>
  <c r="Y84" i="4"/>
  <c r="AE84" i="4"/>
  <c r="Y85" i="4"/>
  <c r="AE85" i="4"/>
  <c r="Y86" i="4"/>
  <c r="AE86" i="4"/>
  <c r="Y87" i="4"/>
  <c r="AE87" i="4"/>
  <c r="Y88" i="4"/>
  <c r="AE88" i="4"/>
  <c r="Y89" i="4"/>
  <c r="AE89" i="4"/>
  <c r="Y90" i="4"/>
  <c r="AE90" i="4"/>
  <c r="Y91" i="4"/>
  <c r="AE91" i="4"/>
  <c r="Y92" i="4"/>
  <c r="AE92" i="4"/>
  <c r="S41" i="4"/>
  <c r="S54" i="4"/>
  <c r="S67" i="4"/>
  <c r="S80" i="4"/>
  <c r="S81" i="4"/>
  <c r="S101" i="4"/>
  <c r="S118" i="4"/>
  <c r="S137" i="4"/>
  <c r="S148" i="4"/>
  <c r="S28" i="4"/>
  <c r="Q28" i="4"/>
  <c r="Q41" i="4"/>
  <c r="Q54" i="4"/>
  <c r="Q67" i="4"/>
  <c r="Q80" i="4"/>
  <c r="Q81" i="4"/>
  <c r="Q101" i="4"/>
  <c r="Q118" i="4"/>
  <c r="Q137" i="4"/>
  <c r="Q148" i="4"/>
  <c r="M82" i="4"/>
  <c r="L82" i="4" s="1"/>
  <c r="N82" i="4" s="1"/>
  <c r="U82" i="4"/>
  <c r="M83" i="4"/>
  <c r="O83" i="4" s="1"/>
  <c r="U83" i="4"/>
  <c r="M84" i="4"/>
  <c r="O84" i="4" s="1"/>
  <c r="U84" i="4"/>
  <c r="M85" i="4"/>
  <c r="U85" i="4"/>
  <c r="M86" i="4"/>
  <c r="O86" i="4" s="1"/>
  <c r="P86" i="4" s="1"/>
  <c r="S86" i="4" s="1"/>
  <c r="U86" i="4"/>
  <c r="M87" i="4"/>
  <c r="O87" i="4" s="1"/>
  <c r="U87" i="4"/>
  <c r="M88" i="4"/>
  <c r="O88" i="4" s="1"/>
  <c r="U88" i="4"/>
  <c r="M89" i="4"/>
  <c r="U89" i="4"/>
  <c r="M90" i="4"/>
  <c r="O90" i="4" s="1"/>
  <c r="P90" i="4" s="1"/>
  <c r="S90" i="4" s="1"/>
  <c r="U90" i="4"/>
  <c r="M91" i="4"/>
  <c r="O91" i="4" s="1"/>
  <c r="U91" i="4"/>
  <c r="M92" i="4"/>
  <c r="O92" i="4" s="1"/>
  <c r="U92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N109" i="1" l="1"/>
  <c r="BO109" i="1" s="1"/>
  <c r="BP109" i="1" s="1"/>
  <c r="BP72" i="1"/>
  <c r="BQ72" i="1" s="1"/>
  <c r="BS72" i="1"/>
  <c r="BS77" i="1"/>
  <c r="BN96" i="1"/>
  <c r="BO96" i="1" s="1"/>
  <c r="BR96" i="1" s="1"/>
  <c r="CI72" i="1"/>
  <c r="BN107" i="1"/>
  <c r="BO107" i="1" s="1"/>
  <c r="BP107" i="1" s="1"/>
  <c r="BQ107" i="1" s="1"/>
  <c r="BP77" i="1"/>
  <c r="CJ77" i="1" s="1"/>
  <c r="CJ210" i="1"/>
  <c r="BT210" i="1"/>
  <c r="BV210" i="1" s="1"/>
  <c r="BU210" i="1" s="1"/>
  <c r="BH106" i="1"/>
  <c r="BN106" i="1" s="1"/>
  <c r="BO106" i="1" s="1"/>
  <c r="BP106" i="1" s="1"/>
  <c r="BQ106" i="1" s="1"/>
  <c r="CH106" i="1"/>
  <c r="BR87" i="1"/>
  <c r="BT32" i="1"/>
  <c r="BV32" i="1" s="1"/>
  <c r="BU32" i="1" s="1"/>
  <c r="CJ32" i="1"/>
  <c r="CJ36" i="1"/>
  <c r="BP61" i="1"/>
  <c r="BQ61" i="1" s="1"/>
  <c r="BI238" i="1"/>
  <c r="BT36" i="1"/>
  <c r="BV36" i="1" s="1"/>
  <c r="CK36" i="1" s="1"/>
  <c r="CL36" i="1" s="1"/>
  <c r="BT74" i="1"/>
  <c r="BV74" i="1" s="1"/>
  <c r="BU74" i="1" s="1"/>
  <c r="BJ238" i="1"/>
  <c r="BK238" i="1" s="1"/>
  <c r="BL238" i="1" s="1"/>
  <c r="BM238" i="1" s="1"/>
  <c r="BG238" i="1"/>
  <c r="BD238" i="1"/>
  <c r="BE238" i="1"/>
  <c r="BF238" i="1"/>
  <c r="BR146" i="1"/>
  <c r="BR61" i="1"/>
  <c r="BN126" i="1"/>
  <c r="CI126" i="1"/>
  <c r="CH253" i="1"/>
  <c r="CH222" i="1"/>
  <c r="BH222" i="1"/>
  <c r="BS146" i="1"/>
  <c r="CJ146" i="1" s="1"/>
  <c r="BH253" i="1"/>
  <c r="BN253" i="1" s="1"/>
  <c r="BO253" i="1" s="1"/>
  <c r="BR253" i="1" s="1"/>
  <c r="CI148" i="1"/>
  <c r="CI18" i="1"/>
  <c r="BF165" i="1"/>
  <c r="BJ165" i="1"/>
  <c r="BK165" i="1" s="1"/>
  <c r="BL165" i="1" s="1"/>
  <c r="BM165" i="1" s="1"/>
  <c r="BE165" i="1"/>
  <c r="BS87" i="1"/>
  <c r="BT87" i="1" s="1"/>
  <c r="BG165" i="1"/>
  <c r="BD165" i="1"/>
  <c r="BP215" i="1"/>
  <c r="BQ215" i="1" s="1"/>
  <c r="CI100" i="1"/>
  <c r="BP93" i="1"/>
  <c r="CJ93" i="1" s="1"/>
  <c r="BS215" i="1"/>
  <c r="BP100" i="1"/>
  <c r="BQ100" i="1" s="1"/>
  <c r="BS100" i="1"/>
  <c r="CJ137" i="1"/>
  <c r="BR67" i="1"/>
  <c r="BS150" i="1"/>
  <c r="BT150" i="1" s="1"/>
  <c r="BV150" i="1" s="1"/>
  <c r="CK150" i="1" s="1"/>
  <c r="CL150" i="1" s="1"/>
  <c r="BR150" i="1"/>
  <c r="BQ78" i="1"/>
  <c r="BT78" i="1"/>
  <c r="CJ78" i="1"/>
  <c r="BS37" i="1"/>
  <c r="BP37" i="1"/>
  <c r="BQ37" i="1" s="1"/>
  <c r="BT137" i="1"/>
  <c r="BV137" i="1" s="1"/>
  <c r="BU137" i="1" s="1"/>
  <c r="BE190" i="1"/>
  <c r="BQ137" i="1"/>
  <c r="BR155" i="1"/>
  <c r="BO18" i="1"/>
  <c r="BR18" i="1" s="1"/>
  <c r="CI97" i="1"/>
  <c r="BP155" i="1"/>
  <c r="BQ155" i="1" s="1"/>
  <c r="BP156" i="1"/>
  <c r="BQ156" i="1" s="1"/>
  <c r="BN117" i="1"/>
  <c r="BO117" i="1" s="1"/>
  <c r="BR117" i="1" s="1"/>
  <c r="CH246" i="1"/>
  <c r="BJ181" i="1"/>
  <c r="BK181" i="1" s="1"/>
  <c r="BL181" i="1" s="1"/>
  <c r="BM181" i="1" s="1"/>
  <c r="BF181" i="1"/>
  <c r="BP67" i="1"/>
  <c r="CJ67" i="1" s="1"/>
  <c r="BI181" i="1"/>
  <c r="BE181" i="1"/>
  <c r="BD181" i="1"/>
  <c r="BG181" i="1"/>
  <c r="BJ190" i="1"/>
  <c r="BK190" i="1" s="1"/>
  <c r="BL190" i="1" s="1"/>
  <c r="BM190" i="1" s="1"/>
  <c r="BS156" i="1"/>
  <c r="CI67" i="1"/>
  <c r="CH197" i="1"/>
  <c r="CI37" i="1"/>
  <c r="BP52" i="1"/>
  <c r="BT52" i="1" s="1"/>
  <c r="BV52" i="1" s="1"/>
  <c r="BW52" i="1" s="1"/>
  <c r="BR27" i="1"/>
  <c r="BS27" i="1"/>
  <c r="BP27" i="1"/>
  <c r="CI27" i="1"/>
  <c r="BS109" i="1"/>
  <c r="CJ109" i="1" s="1"/>
  <c r="CI216" i="1"/>
  <c r="BN154" i="1"/>
  <c r="BO154" i="1" s="1"/>
  <c r="BR154" i="1" s="1"/>
  <c r="BS216" i="1"/>
  <c r="CJ216" i="1" s="1"/>
  <c r="CJ141" i="1"/>
  <c r="BR116" i="1"/>
  <c r="BR52" i="1"/>
  <c r="CH229" i="1"/>
  <c r="BR93" i="1"/>
  <c r="BD245" i="1"/>
  <c r="BR216" i="1"/>
  <c r="BE245" i="1"/>
  <c r="BG245" i="1"/>
  <c r="BF245" i="1"/>
  <c r="BI245" i="1"/>
  <c r="BT141" i="1"/>
  <c r="BV141" i="1" s="1"/>
  <c r="BU141" i="1" s="1"/>
  <c r="BQ141" i="1"/>
  <c r="BP118" i="1"/>
  <c r="BQ118" i="1" s="1"/>
  <c r="BS118" i="1"/>
  <c r="BT219" i="1"/>
  <c r="BV219" i="1" s="1"/>
  <c r="BU219" i="1" s="1"/>
  <c r="BQ219" i="1"/>
  <c r="CI71" i="1"/>
  <c r="CI112" i="1"/>
  <c r="CJ213" i="1"/>
  <c r="BR97" i="1"/>
  <c r="BG190" i="1"/>
  <c r="BS128" i="1"/>
  <c r="CJ128" i="1" s="1"/>
  <c r="BF190" i="1"/>
  <c r="BP97" i="1"/>
  <c r="BQ97" i="1" s="1"/>
  <c r="BI188" i="1"/>
  <c r="BD190" i="1"/>
  <c r="BP79" i="1"/>
  <c r="BT79" i="1" s="1"/>
  <c r="BR128" i="1"/>
  <c r="BD188" i="1"/>
  <c r="BN160" i="1"/>
  <c r="BO160" i="1" s="1"/>
  <c r="BR160" i="1" s="1"/>
  <c r="BS13" i="1"/>
  <c r="BS31" i="1"/>
  <c r="BI176" i="1"/>
  <c r="BF188" i="1"/>
  <c r="BP31" i="1"/>
  <c r="BQ31" i="1" s="1"/>
  <c r="BE176" i="1"/>
  <c r="BG176" i="1"/>
  <c r="BE188" i="1"/>
  <c r="BT48" i="1"/>
  <c r="BV48" i="1" s="1"/>
  <c r="CK48" i="1" s="1"/>
  <c r="CL48" i="1" s="1"/>
  <c r="BP13" i="1"/>
  <c r="BQ13" i="1" s="1"/>
  <c r="CI86" i="1"/>
  <c r="BG188" i="1"/>
  <c r="CI125" i="1"/>
  <c r="BN124" i="1"/>
  <c r="BO124" i="1" s="1"/>
  <c r="BR124" i="1" s="1"/>
  <c r="BN26" i="1"/>
  <c r="BO26" i="1" s="1"/>
  <c r="BP26" i="1" s="1"/>
  <c r="BT213" i="1"/>
  <c r="BV213" i="1" s="1"/>
  <c r="BU213" i="1" s="1"/>
  <c r="BT144" i="1"/>
  <c r="BV144" i="1" s="1"/>
  <c r="BU144" i="1" s="1"/>
  <c r="BR79" i="1"/>
  <c r="BI244" i="1"/>
  <c r="CJ144" i="1"/>
  <c r="CJ48" i="1"/>
  <c r="BD244" i="1"/>
  <c r="BE244" i="1"/>
  <c r="CH163" i="1"/>
  <c r="BS83" i="1"/>
  <c r="BT206" i="1"/>
  <c r="BV206" i="1" s="1"/>
  <c r="BU206" i="1" s="1"/>
  <c r="CH171" i="1"/>
  <c r="CJ202" i="1"/>
  <c r="BP83" i="1"/>
  <c r="BQ83" i="1" s="1"/>
  <c r="BF244" i="1"/>
  <c r="BJ244" i="1"/>
  <c r="BK244" i="1" s="1"/>
  <c r="BL244" i="1" s="1"/>
  <c r="BM244" i="1" s="1"/>
  <c r="CH183" i="1"/>
  <c r="BQ144" i="1"/>
  <c r="CI129" i="1"/>
  <c r="BJ185" i="1"/>
  <c r="BK185" i="1" s="1"/>
  <c r="BL185" i="1" s="1"/>
  <c r="BM185" i="1" s="1"/>
  <c r="BG185" i="1"/>
  <c r="BD185" i="1"/>
  <c r="BT202" i="1"/>
  <c r="BV202" i="1" s="1"/>
  <c r="BU202" i="1" s="1"/>
  <c r="AT36" i="5"/>
  <c r="AT28" i="5"/>
  <c r="W22" i="5"/>
  <c r="W23" i="5"/>
  <c r="CJ206" i="1"/>
  <c r="BP108" i="1"/>
  <c r="BQ108" i="1" s="1"/>
  <c r="CH255" i="1"/>
  <c r="BS81" i="1"/>
  <c r="BP81" i="1"/>
  <c r="BQ81" i="1" s="1"/>
  <c r="BR198" i="1"/>
  <c r="BJ232" i="1"/>
  <c r="BK232" i="1" s="1"/>
  <c r="BL232" i="1" s="1"/>
  <c r="BM232" i="1" s="1"/>
  <c r="BP198" i="1"/>
  <c r="BQ198" i="1" s="1"/>
  <c r="BH233" i="1"/>
  <c r="BN233" i="1" s="1"/>
  <c r="BO233" i="1" s="1"/>
  <c r="BR233" i="1" s="1"/>
  <c r="BE185" i="1"/>
  <c r="CI198" i="1"/>
  <c r="BQ44" i="1"/>
  <c r="CJ44" i="1"/>
  <c r="BT44" i="1"/>
  <c r="BV44" i="1" s="1"/>
  <c r="BW44" i="1" s="1"/>
  <c r="BO88" i="1"/>
  <c r="BR88" i="1" s="1"/>
  <c r="CH173" i="1"/>
  <c r="BF196" i="1"/>
  <c r="CH239" i="1"/>
  <c r="CI131" i="1"/>
  <c r="BN131" i="1"/>
  <c r="CH189" i="1"/>
  <c r="CG227" i="1"/>
  <c r="BD227" i="1"/>
  <c r="BS59" i="1"/>
  <c r="BN76" i="1"/>
  <c r="BO76" i="1" s="1"/>
  <c r="BE227" i="1"/>
  <c r="BI227" i="1"/>
  <c r="BT14" i="1"/>
  <c r="BV14" i="1" s="1"/>
  <c r="BW14" i="1" s="1"/>
  <c r="BG227" i="1"/>
  <c r="CG185" i="1"/>
  <c r="BI185" i="1"/>
  <c r="BP59" i="1"/>
  <c r="BQ59" i="1" s="1"/>
  <c r="BJ227" i="1"/>
  <c r="BK227" i="1" s="1"/>
  <c r="BL227" i="1" s="1"/>
  <c r="BM227" i="1" s="1"/>
  <c r="CI128" i="1"/>
  <c r="CH194" i="1"/>
  <c r="CI102" i="1"/>
  <c r="BF164" i="1"/>
  <c r="BS10" i="1"/>
  <c r="BN22" i="1"/>
  <c r="BO22" i="1" s="1"/>
  <c r="BR22" i="1" s="1"/>
  <c r="BF235" i="1"/>
  <c r="BN42" i="1"/>
  <c r="BO42" i="1" s="1"/>
  <c r="BP42" i="1" s="1"/>
  <c r="BS73" i="1"/>
  <c r="BD235" i="1"/>
  <c r="BP10" i="1"/>
  <c r="BQ10" i="1" s="1"/>
  <c r="BE166" i="1"/>
  <c r="CH230" i="1"/>
  <c r="BF176" i="1"/>
  <c r="BD176" i="1"/>
  <c r="CH226" i="1"/>
  <c r="CI11" i="1"/>
  <c r="CH231" i="1"/>
  <c r="BS116" i="1"/>
  <c r="BT116" i="1" s="1"/>
  <c r="CJ28" i="1"/>
  <c r="CH177" i="1"/>
  <c r="CG172" i="1"/>
  <c r="BG172" i="1"/>
  <c r="BI172" i="1"/>
  <c r="BE172" i="1"/>
  <c r="BJ172" i="1"/>
  <c r="BK172" i="1" s="1"/>
  <c r="BL172" i="1" s="1"/>
  <c r="BM172" i="1" s="1"/>
  <c r="BD172" i="1"/>
  <c r="BF172" i="1"/>
  <c r="BI164" i="1"/>
  <c r="BN85" i="1"/>
  <c r="BO85" i="1" s="1"/>
  <c r="BR85" i="1" s="1"/>
  <c r="BP112" i="1"/>
  <c r="BQ112" i="1" s="1"/>
  <c r="BP73" i="1"/>
  <c r="BQ73" i="1" s="1"/>
  <c r="BN105" i="1"/>
  <c r="BO105" i="1" s="1"/>
  <c r="BP105" i="1" s="1"/>
  <c r="BQ105" i="1" s="1"/>
  <c r="BG196" i="1"/>
  <c r="BE235" i="1"/>
  <c r="BI235" i="1"/>
  <c r="CI73" i="1"/>
  <c r="BN115" i="1"/>
  <c r="BO115" i="1" s="1"/>
  <c r="BS115" i="1" s="1"/>
  <c r="BI182" i="1"/>
  <c r="BJ235" i="1"/>
  <c r="BK235" i="1" s="1"/>
  <c r="BL235" i="1" s="1"/>
  <c r="BM235" i="1" s="1"/>
  <c r="BR112" i="1"/>
  <c r="BJ164" i="1"/>
  <c r="BK164" i="1" s="1"/>
  <c r="BL164" i="1" s="1"/>
  <c r="BM164" i="1" s="1"/>
  <c r="BE182" i="1"/>
  <c r="BF182" i="1"/>
  <c r="BS34" i="1"/>
  <c r="BT28" i="1"/>
  <c r="BV28" i="1" s="1"/>
  <c r="BU28" i="1" s="1"/>
  <c r="BN143" i="1"/>
  <c r="BO143" i="1" s="1"/>
  <c r="CI143" i="1"/>
  <c r="BP34" i="1"/>
  <c r="BQ34" i="1" s="1"/>
  <c r="BQ28" i="1"/>
  <c r="CI64" i="1"/>
  <c r="BN211" i="1"/>
  <c r="CI211" i="1"/>
  <c r="BJ182" i="1"/>
  <c r="BK182" i="1" s="1"/>
  <c r="BL182" i="1" s="1"/>
  <c r="BM182" i="1" s="1"/>
  <c r="BN40" i="1"/>
  <c r="BO40" i="1" s="1"/>
  <c r="BP40" i="1" s="1"/>
  <c r="BQ40" i="1" s="1"/>
  <c r="BN49" i="1"/>
  <c r="BO49" i="1" s="1"/>
  <c r="CI49" i="1"/>
  <c r="BD182" i="1"/>
  <c r="BG182" i="1"/>
  <c r="BN23" i="1"/>
  <c r="BO23" i="1" s="1"/>
  <c r="BO11" i="1"/>
  <c r="BR11" i="1" s="1"/>
  <c r="BN33" i="1"/>
  <c r="BO33" i="1" s="1"/>
  <c r="CH250" i="1"/>
  <c r="CI82" i="1"/>
  <c r="CI25" i="1"/>
  <c r="CJ212" i="1"/>
  <c r="CH236" i="1"/>
  <c r="CI138" i="1"/>
  <c r="BH162" i="1"/>
  <c r="BN162" i="1" s="1"/>
  <c r="BO162" i="1" s="1"/>
  <c r="BR162" i="1" s="1"/>
  <c r="BI232" i="1"/>
  <c r="BE232" i="1"/>
  <c r="BG175" i="1"/>
  <c r="BN12" i="1"/>
  <c r="BO12" i="1" s="1"/>
  <c r="BF232" i="1"/>
  <c r="BR209" i="1"/>
  <c r="BN203" i="1"/>
  <c r="BO203" i="1" s="1"/>
  <c r="BD232" i="1"/>
  <c r="CH249" i="1"/>
  <c r="CJ38" i="1"/>
  <c r="CH169" i="1"/>
  <c r="BH223" i="1"/>
  <c r="BN223" i="1" s="1"/>
  <c r="BO223" i="1" s="1"/>
  <c r="BR223" i="1" s="1"/>
  <c r="BG179" i="1"/>
  <c r="BE175" i="1"/>
  <c r="BD196" i="1"/>
  <c r="CH247" i="1"/>
  <c r="CI133" i="1"/>
  <c r="CH248" i="1"/>
  <c r="BI179" i="1"/>
  <c r="BG164" i="1"/>
  <c r="BE196" i="1"/>
  <c r="CJ217" i="1"/>
  <c r="BI166" i="1"/>
  <c r="CG167" i="1"/>
  <c r="BG167" i="1"/>
  <c r="BE167" i="1"/>
  <c r="BI167" i="1"/>
  <c r="BJ167" i="1"/>
  <c r="BK167" i="1" s="1"/>
  <c r="BL167" i="1" s="1"/>
  <c r="BM167" i="1" s="1"/>
  <c r="BF167" i="1"/>
  <c r="BD167" i="1"/>
  <c r="BD164" i="1"/>
  <c r="CH164" i="1" s="1"/>
  <c r="BI196" i="1"/>
  <c r="BE195" i="1"/>
  <c r="CI120" i="1"/>
  <c r="CI209" i="1"/>
  <c r="CJ140" i="1"/>
  <c r="BN29" i="1"/>
  <c r="BO29" i="1" s="1"/>
  <c r="BR220" i="1"/>
  <c r="BP220" i="1"/>
  <c r="BS220" i="1"/>
  <c r="BI175" i="1"/>
  <c r="BJ196" i="1"/>
  <c r="BK196" i="1" s="1"/>
  <c r="BL196" i="1" s="1"/>
  <c r="BM196" i="1" s="1"/>
  <c r="CI207" i="1"/>
  <c r="CH168" i="1"/>
  <c r="CJ221" i="1"/>
  <c r="CH240" i="1"/>
  <c r="BI224" i="1"/>
  <c r="CJ70" i="1"/>
  <c r="BF224" i="1"/>
  <c r="CJ132" i="1"/>
  <c r="CJ205" i="1"/>
  <c r="CJ72" i="1"/>
  <c r="CJ208" i="1"/>
  <c r="BW130" i="1"/>
  <c r="CJ136" i="1"/>
  <c r="BN200" i="1"/>
  <c r="CI200" i="1"/>
  <c r="BS108" i="1"/>
  <c r="BT38" i="1"/>
  <c r="BV38" i="1" s="1"/>
  <c r="BW38" i="1" s="1"/>
  <c r="CJ80" i="1"/>
  <c r="BF166" i="1"/>
  <c r="BQ147" i="1"/>
  <c r="BT147" i="1"/>
  <c r="BT212" i="1"/>
  <c r="BS30" i="1"/>
  <c r="BP30" i="1"/>
  <c r="BQ30" i="1" s="1"/>
  <c r="U14" i="5"/>
  <c r="X14" i="5" s="1"/>
  <c r="AD14" i="5" s="1"/>
  <c r="O82" i="4"/>
  <c r="P82" i="4" s="1"/>
  <c r="S82" i="4" s="1"/>
  <c r="AI82" i="4" s="1"/>
  <c r="AT22" i="5"/>
  <c r="AT12" i="5"/>
  <c r="U10" i="5"/>
  <c r="X10" i="5" s="1"/>
  <c r="BD166" i="1"/>
  <c r="BF175" i="1"/>
  <c r="BQ145" i="1"/>
  <c r="BT145" i="1"/>
  <c r="BQ75" i="1"/>
  <c r="BT75" i="1"/>
  <c r="BS142" i="1"/>
  <c r="BP142" i="1"/>
  <c r="BQ142" i="1" s="1"/>
  <c r="BR148" i="1"/>
  <c r="BP148" i="1"/>
  <c r="BS148" i="1"/>
  <c r="CK130" i="1"/>
  <c r="CL130" i="1" s="1"/>
  <c r="BN24" i="1"/>
  <c r="CI24" i="1"/>
  <c r="BT205" i="1"/>
  <c r="BO82" i="1"/>
  <c r="U33" i="5"/>
  <c r="X33" i="5" s="1"/>
  <c r="W29" i="5"/>
  <c r="BG166" i="1"/>
  <c r="BD175" i="1"/>
  <c r="BV45" i="1"/>
  <c r="CK45" i="1" s="1"/>
  <c r="CL45" i="1" s="1"/>
  <c r="BP149" i="1"/>
  <c r="BS149" i="1"/>
  <c r="CK55" i="1"/>
  <c r="CL55" i="1" s="1"/>
  <c r="BR133" i="1"/>
  <c r="BP133" i="1"/>
  <c r="BQ133" i="1" s="1"/>
  <c r="BS133" i="1"/>
  <c r="BQ217" i="1"/>
  <c r="BT217" i="1"/>
  <c r="BV201" i="1"/>
  <c r="BU201" i="1" s="1"/>
  <c r="BN204" i="1"/>
  <c r="CI204" i="1"/>
  <c r="BT72" i="1"/>
  <c r="BQ208" i="1"/>
  <c r="BT208" i="1"/>
  <c r="BQ221" i="1"/>
  <c r="BT221" i="1"/>
  <c r="BQ132" i="1"/>
  <c r="BT132" i="1"/>
  <c r="BQ70" i="1"/>
  <c r="BT70" i="1"/>
  <c r="BT80" i="1"/>
  <c r="BP129" i="1"/>
  <c r="BQ129" i="1" s="1"/>
  <c r="BS129" i="1"/>
  <c r="BP135" i="1"/>
  <c r="BQ135" i="1" s="1"/>
  <c r="BS135" i="1"/>
  <c r="BQ136" i="1"/>
  <c r="BT136" i="1"/>
  <c r="BP138" i="1"/>
  <c r="BQ138" i="1" s="1"/>
  <c r="BS138" i="1"/>
  <c r="AT33" i="5"/>
  <c r="AT29" i="5"/>
  <c r="AT14" i="5"/>
  <c r="BQ128" i="1"/>
  <c r="BV139" i="1"/>
  <c r="BU139" i="1" s="1"/>
  <c r="BP134" i="1"/>
  <c r="BQ134" i="1" s="1"/>
  <c r="BS134" i="1"/>
  <c r="BS199" i="1"/>
  <c r="BP199" i="1"/>
  <c r="BQ199" i="1" s="1"/>
  <c r="W12" i="5"/>
  <c r="BV91" i="1"/>
  <c r="BW91" i="1" s="1"/>
  <c r="CJ147" i="1"/>
  <c r="BP127" i="1"/>
  <c r="BS127" i="1"/>
  <c r="BR25" i="1"/>
  <c r="BS25" i="1"/>
  <c r="BP25" i="1"/>
  <c r="BT218" i="1"/>
  <c r="U12" i="5"/>
  <c r="X12" i="5" s="1"/>
  <c r="AC12" i="5" s="1"/>
  <c r="CJ145" i="1"/>
  <c r="CJ75" i="1"/>
  <c r="BR30" i="1"/>
  <c r="BQ140" i="1"/>
  <c r="BT140" i="1"/>
  <c r="CJ218" i="1"/>
  <c r="BN214" i="1"/>
  <c r="CI214" i="1"/>
  <c r="BS71" i="1"/>
  <c r="BP71" i="1"/>
  <c r="BR207" i="1"/>
  <c r="BP207" i="1"/>
  <c r="BS207" i="1"/>
  <c r="BS209" i="1"/>
  <c r="BP209" i="1"/>
  <c r="BN63" i="1"/>
  <c r="CI63" i="1"/>
  <c r="CH192" i="1"/>
  <c r="BO120" i="1"/>
  <c r="BR120" i="1" s="1"/>
  <c r="BN113" i="1"/>
  <c r="BO113" i="1" s="1"/>
  <c r="BR113" i="1" s="1"/>
  <c r="CI152" i="1"/>
  <c r="BN152" i="1"/>
  <c r="BN19" i="1"/>
  <c r="BO19" i="1" s="1"/>
  <c r="BS19" i="1" s="1"/>
  <c r="BT17" i="1"/>
  <c r="BV17" i="1" s="1"/>
  <c r="BW17" i="1" s="1"/>
  <c r="BH186" i="1"/>
  <c r="CI186" i="1" s="1"/>
  <c r="CH258" i="1"/>
  <c r="CH257" i="1"/>
  <c r="BE179" i="1"/>
  <c r="BT121" i="1"/>
  <c r="BV121" i="1" s="1"/>
  <c r="BW121" i="1" s="1"/>
  <c r="BF179" i="1"/>
  <c r="BT46" i="1"/>
  <c r="BV46" i="1" s="1"/>
  <c r="BN47" i="1"/>
  <c r="BO47" i="1" s="1"/>
  <c r="BR47" i="1" s="1"/>
  <c r="CH260" i="1"/>
  <c r="BD179" i="1"/>
  <c r="BJ179" i="1"/>
  <c r="BK179" i="1" s="1"/>
  <c r="BL179" i="1" s="1"/>
  <c r="BM179" i="1" s="1"/>
  <c r="CJ46" i="1"/>
  <c r="CJ121" i="1"/>
  <c r="CH256" i="1"/>
  <c r="CH254" i="1"/>
  <c r="BG224" i="1"/>
  <c r="CJ17" i="1"/>
  <c r="CI119" i="1"/>
  <c r="BS86" i="1"/>
  <c r="BP86" i="1"/>
  <c r="BH252" i="1"/>
  <c r="BE224" i="1"/>
  <c r="CI43" i="1"/>
  <c r="BN43" i="1"/>
  <c r="BO43" i="1" s="1"/>
  <c r="BR43" i="1" s="1"/>
  <c r="CI151" i="1"/>
  <c r="CH259" i="1"/>
  <c r="BS151" i="1"/>
  <c r="BP151" i="1"/>
  <c r="BQ151" i="1" s="1"/>
  <c r="BI195" i="1"/>
  <c r="BF195" i="1"/>
  <c r="BG195" i="1"/>
  <c r="BD195" i="1"/>
  <c r="BJ224" i="1"/>
  <c r="BK224" i="1" s="1"/>
  <c r="BL224" i="1" s="1"/>
  <c r="BM224" i="1" s="1"/>
  <c r="BD224" i="1"/>
  <c r="BO122" i="1"/>
  <c r="BR122" i="1" s="1"/>
  <c r="BJ195" i="1"/>
  <c r="BK195" i="1" s="1"/>
  <c r="BL195" i="1" s="1"/>
  <c r="BM195" i="1" s="1"/>
  <c r="CH178" i="1"/>
  <c r="CH193" i="1"/>
  <c r="BS159" i="1"/>
  <c r="BP159" i="1"/>
  <c r="BQ159" i="1" s="1"/>
  <c r="BT101" i="1"/>
  <c r="BV101" i="1" s="1"/>
  <c r="BW101" i="1" s="1"/>
  <c r="BT103" i="1"/>
  <c r="BQ57" i="1"/>
  <c r="CJ57" i="1"/>
  <c r="BT57" i="1"/>
  <c r="BR151" i="1"/>
  <c r="BH174" i="1"/>
  <c r="BN174" i="1" s="1"/>
  <c r="BO174" i="1" s="1"/>
  <c r="BR174" i="1" s="1"/>
  <c r="CH225" i="1"/>
  <c r="CI69" i="1"/>
  <c r="BN69" i="1"/>
  <c r="BO69" i="1" s="1"/>
  <c r="BS69" i="1" s="1"/>
  <c r="BT53" i="1"/>
  <c r="CH241" i="1"/>
  <c r="BE180" i="1"/>
  <c r="BD180" i="1"/>
  <c r="BJ180" i="1"/>
  <c r="BK180" i="1" s="1"/>
  <c r="BL180" i="1" s="1"/>
  <c r="BM180" i="1" s="1"/>
  <c r="BF180" i="1"/>
  <c r="BG180" i="1"/>
  <c r="BI180" i="1"/>
  <c r="Y30" i="5"/>
  <c r="AU30" i="5" s="1"/>
  <c r="W36" i="5"/>
  <c r="W31" i="5"/>
  <c r="W28" i="5"/>
  <c r="AT17" i="5"/>
  <c r="U17" i="5"/>
  <c r="X17" i="5" s="1"/>
  <c r="W11" i="5"/>
  <c r="BT50" i="1"/>
  <c r="BV50" i="1" s="1"/>
  <c r="BW50" i="1" s="1"/>
  <c r="CJ111" i="1"/>
  <c r="CJ65" i="1"/>
  <c r="BU55" i="1"/>
  <c r="CH174" i="1"/>
  <c r="BN153" i="1"/>
  <c r="CI153" i="1"/>
  <c r="BP60" i="1"/>
  <c r="BS60" i="1"/>
  <c r="BN90" i="1"/>
  <c r="BO90" i="1" s="1"/>
  <c r="BR90" i="1" s="1"/>
  <c r="CI90" i="1"/>
  <c r="CH237" i="1"/>
  <c r="BR21" i="1"/>
  <c r="BP21" i="1"/>
  <c r="BS21" i="1"/>
  <c r="CI99" i="1"/>
  <c r="BN99" i="1"/>
  <c r="BO99" i="1" s="1"/>
  <c r="BS99" i="1" s="1"/>
  <c r="CH251" i="1"/>
  <c r="CH228" i="1"/>
  <c r="CH261" i="1"/>
  <c r="CH184" i="1"/>
  <c r="CI16" i="1"/>
  <c r="BN16" i="1"/>
  <c r="BO16" i="1" s="1"/>
  <c r="BR16" i="1" s="1"/>
  <c r="BR98" i="1"/>
  <c r="BP98" i="1"/>
  <c r="BS98" i="1"/>
  <c r="BP84" i="1"/>
  <c r="BS84" i="1"/>
  <c r="BI242" i="1"/>
  <c r="CG242" i="1"/>
  <c r="BD242" i="1"/>
  <c r="BJ242" i="1"/>
  <c r="BK242" i="1" s="1"/>
  <c r="BL242" i="1" s="1"/>
  <c r="BM242" i="1" s="1"/>
  <c r="BE242" i="1"/>
  <c r="BG242" i="1"/>
  <c r="BF242" i="1"/>
  <c r="BR39" i="1"/>
  <c r="BP39" i="1"/>
  <c r="BQ39" i="1" s="1"/>
  <c r="BS39" i="1"/>
  <c r="CI54" i="1"/>
  <c r="BN54" i="1"/>
  <c r="BO54" i="1" s="1"/>
  <c r="BN110" i="1"/>
  <c r="CI110" i="1"/>
  <c r="CH187" i="1"/>
  <c r="CJ66" i="1"/>
  <c r="CJ56" i="1"/>
  <c r="BT20" i="1"/>
  <c r="BT94" i="1"/>
  <c r="CJ58" i="1"/>
  <c r="CJ15" i="1"/>
  <c r="CJ89" i="1"/>
  <c r="BP119" i="1"/>
  <c r="BQ119" i="1" s="1"/>
  <c r="BS119" i="1"/>
  <c r="CJ114" i="1"/>
  <c r="BQ114" i="1"/>
  <c r="BQ87" i="1"/>
  <c r="BP35" i="1"/>
  <c r="BS35" i="1"/>
  <c r="CJ103" i="1"/>
  <c r="CJ101" i="1"/>
  <c r="BT123" i="1"/>
  <c r="BP64" i="1"/>
  <c r="BQ64" i="1" s="1"/>
  <c r="BS64" i="1"/>
  <c r="BP41" i="1"/>
  <c r="BQ41" i="1" s="1"/>
  <c r="BS41" i="1"/>
  <c r="BQ56" i="1"/>
  <c r="BT56" i="1"/>
  <c r="BQ109" i="1"/>
  <c r="BP62" i="1"/>
  <c r="BQ62" i="1" s="1"/>
  <c r="BS62" i="1"/>
  <c r="BQ66" i="1"/>
  <c r="BT66" i="1"/>
  <c r="BQ15" i="1"/>
  <c r="BT15" i="1"/>
  <c r="CJ20" i="1"/>
  <c r="BR92" i="1"/>
  <c r="BS92" i="1"/>
  <c r="BP92" i="1"/>
  <c r="BR104" i="1"/>
  <c r="BS104" i="1"/>
  <c r="BP104" i="1"/>
  <c r="BS51" i="1"/>
  <c r="BP51" i="1"/>
  <c r="BQ51" i="1" s="1"/>
  <c r="BR68" i="1"/>
  <c r="BS68" i="1"/>
  <c r="BP68" i="1"/>
  <c r="BQ68" i="1" s="1"/>
  <c r="BT114" i="1"/>
  <c r="BS102" i="1"/>
  <c r="BP102" i="1"/>
  <c r="CJ123" i="1"/>
  <c r="BR119" i="1"/>
  <c r="CJ94" i="1"/>
  <c r="BQ111" i="1"/>
  <c r="BT111" i="1"/>
  <c r="BP95" i="1"/>
  <c r="BS95" i="1"/>
  <c r="BQ65" i="1"/>
  <c r="BT65" i="1"/>
  <c r="BT58" i="1"/>
  <c r="BR35" i="1"/>
  <c r="BP125" i="1"/>
  <c r="BS125" i="1"/>
  <c r="CJ50" i="1"/>
  <c r="CJ53" i="1"/>
  <c r="BT89" i="1"/>
  <c r="BR161" i="1"/>
  <c r="BS161" i="1"/>
  <c r="BP161" i="1"/>
  <c r="BS157" i="1"/>
  <c r="BP157" i="1"/>
  <c r="BR158" i="1"/>
  <c r="BS158" i="1"/>
  <c r="BP158" i="1"/>
  <c r="BN243" i="1"/>
  <c r="BO243" i="1" s="1"/>
  <c r="BR243" i="1" s="1"/>
  <c r="CI243" i="1"/>
  <c r="BH234" i="1"/>
  <c r="CI234" i="1" s="1"/>
  <c r="P91" i="4"/>
  <c r="S91" i="4" s="1"/>
  <c r="AI91" i="4" s="1"/>
  <c r="Q91" i="4"/>
  <c r="AH91" i="4" s="1"/>
  <c r="P83" i="4"/>
  <c r="Q83" i="4"/>
  <c r="AH83" i="4" s="1"/>
  <c r="P87" i="4"/>
  <c r="S87" i="4" s="1"/>
  <c r="AI87" i="4" s="1"/>
  <c r="Q87" i="4"/>
  <c r="AH87" i="4" s="1"/>
  <c r="AG82" i="4"/>
  <c r="AT37" i="5"/>
  <c r="U37" i="5"/>
  <c r="X37" i="5" s="1"/>
  <c r="AD37" i="5" s="1"/>
  <c r="W32" i="5"/>
  <c r="U29" i="5"/>
  <c r="X29" i="5" s="1"/>
  <c r="AT19" i="5"/>
  <c r="W15" i="5"/>
  <c r="W13" i="5"/>
  <c r="U11" i="5"/>
  <c r="X11" i="5" s="1"/>
  <c r="AA11" i="5" s="1"/>
  <c r="P88" i="4"/>
  <c r="R88" i="4" s="1"/>
  <c r="Q88" i="4"/>
  <c r="AH88" i="4" s="1"/>
  <c r="P92" i="4"/>
  <c r="R92" i="4" s="1"/>
  <c r="Q92" i="4"/>
  <c r="AH92" i="4" s="1"/>
  <c r="P84" i="4"/>
  <c r="R84" i="4" s="1"/>
  <c r="Q84" i="4"/>
  <c r="AH84" i="4" s="1"/>
  <c r="L89" i="4"/>
  <c r="N89" i="4" s="1"/>
  <c r="AG89" i="4"/>
  <c r="L85" i="4"/>
  <c r="N85" i="4" s="1"/>
  <c r="AG85" i="4"/>
  <c r="U24" i="5"/>
  <c r="X24" i="5" s="1"/>
  <c r="AC24" i="5" s="1"/>
  <c r="W24" i="5"/>
  <c r="AT24" i="5"/>
  <c r="L90" i="4"/>
  <c r="N90" i="4" s="1"/>
  <c r="AG90" i="4"/>
  <c r="L86" i="4"/>
  <c r="N86" i="4" s="1"/>
  <c r="AG86" i="4"/>
  <c r="S83" i="4"/>
  <c r="AI83" i="4" s="1"/>
  <c r="Q90" i="4"/>
  <c r="AH90" i="4" s="1"/>
  <c r="Q86" i="4"/>
  <c r="AH86" i="4" s="1"/>
  <c r="Q82" i="4"/>
  <c r="AH82" i="4" s="1"/>
  <c r="AA33" i="5"/>
  <c r="AC33" i="5"/>
  <c r="U26" i="5"/>
  <c r="X26" i="5" s="1"/>
  <c r="AD26" i="5" s="1"/>
  <c r="AT26" i="5"/>
  <c r="L91" i="4"/>
  <c r="N91" i="4" s="1"/>
  <c r="AG91" i="4"/>
  <c r="L87" i="4"/>
  <c r="N87" i="4" s="1"/>
  <c r="AG87" i="4"/>
  <c r="L83" i="4"/>
  <c r="N83" i="4" s="1"/>
  <c r="AG83" i="4"/>
  <c r="Y35" i="5"/>
  <c r="AU35" i="5" s="1"/>
  <c r="U35" i="5"/>
  <c r="X35" i="5" s="1"/>
  <c r="AT35" i="5"/>
  <c r="W35" i="5"/>
  <c r="U25" i="5"/>
  <c r="X25" i="5" s="1"/>
  <c r="AC25" i="5" s="1"/>
  <c r="W25" i="5"/>
  <c r="AT25" i="5"/>
  <c r="L92" i="4"/>
  <c r="N92" i="4" s="1"/>
  <c r="AG92" i="4"/>
  <c r="O89" i="4"/>
  <c r="L88" i="4"/>
  <c r="N88" i="4" s="1"/>
  <c r="AG88" i="4"/>
  <c r="O85" i="4"/>
  <c r="L84" i="4"/>
  <c r="N84" i="4" s="1"/>
  <c r="AG84" i="4"/>
  <c r="AI90" i="4"/>
  <c r="AI86" i="4"/>
  <c r="U34" i="5"/>
  <c r="X34" i="5" s="1"/>
  <c r="W34" i="5"/>
  <c r="AT34" i="5"/>
  <c r="W33" i="5"/>
  <c r="AT31" i="5"/>
  <c r="U31" i="5"/>
  <c r="X31" i="5" s="1"/>
  <c r="AD31" i="5" s="1"/>
  <c r="W30" i="5"/>
  <c r="W21" i="5"/>
  <c r="W20" i="5"/>
  <c r="W19" i="5"/>
  <c r="U13" i="5"/>
  <c r="X13" i="5" s="1"/>
  <c r="AA13" i="5" s="1"/>
  <c r="Y37" i="5"/>
  <c r="AU37" i="5" s="1"/>
  <c r="AT9" i="5"/>
  <c r="Y36" i="5"/>
  <c r="AU36" i="5" s="1"/>
  <c r="Y32" i="5"/>
  <c r="AU32" i="5" s="1"/>
  <c r="Y28" i="5"/>
  <c r="AU28" i="5" s="1"/>
  <c r="AT30" i="5"/>
  <c r="AT20" i="5"/>
  <c r="W17" i="5"/>
  <c r="AT13" i="5"/>
  <c r="U9" i="5"/>
  <c r="X9" i="5" s="1"/>
  <c r="AD9" i="5" s="1"/>
  <c r="AD16" i="5"/>
  <c r="AV16" i="5" s="1"/>
  <c r="AC11" i="5"/>
  <c r="AT15" i="5"/>
  <c r="W14" i="5"/>
  <c r="AT11" i="5"/>
  <c r="AT10" i="5"/>
  <c r="W10" i="5"/>
  <c r="W9" i="5"/>
  <c r="AA23" i="5"/>
  <c r="AC23" i="5"/>
  <c r="AA21" i="5"/>
  <c r="AC21" i="5"/>
  <c r="AA19" i="5"/>
  <c r="AC19" i="5"/>
  <c r="AT23" i="5"/>
  <c r="W26" i="5"/>
  <c r="AT21" i="5"/>
  <c r="AA36" i="5"/>
  <c r="AD36" i="5"/>
  <c r="AC36" i="5"/>
  <c r="AA34" i="5"/>
  <c r="AD34" i="5"/>
  <c r="AC34" i="5"/>
  <c r="AA32" i="5"/>
  <c r="AD32" i="5"/>
  <c r="AC32" i="5"/>
  <c r="AA30" i="5"/>
  <c r="AD30" i="5"/>
  <c r="AC30" i="5"/>
  <c r="AA28" i="5"/>
  <c r="AD28" i="5"/>
  <c r="AC28" i="5"/>
  <c r="AD35" i="5"/>
  <c r="AD33" i="5"/>
  <c r="AD29" i="5"/>
  <c r="AA24" i="5"/>
  <c r="AD24" i="5"/>
  <c r="AC22" i="5"/>
  <c r="AA22" i="5"/>
  <c r="AD22" i="5"/>
  <c r="AC20" i="5"/>
  <c r="AA20" i="5"/>
  <c r="AD20" i="5"/>
  <c r="AC26" i="5"/>
  <c r="AC14" i="5"/>
  <c r="AA12" i="5"/>
  <c r="AC10" i="5"/>
  <c r="AA10" i="5"/>
  <c r="AD10" i="5"/>
  <c r="AD23" i="5"/>
  <c r="AD21" i="5"/>
  <c r="AE21" i="5" s="1"/>
  <c r="AD19" i="5"/>
  <c r="AD17" i="5"/>
  <c r="AC16" i="5"/>
  <c r="AA15" i="5"/>
  <c r="AD15" i="5"/>
  <c r="AA14" i="5"/>
  <c r="AV14" i="5" s="1"/>
  <c r="AA9" i="5"/>
  <c r="AD11" i="5"/>
  <c r="P68" i="5"/>
  <c r="R68" i="5" s="1"/>
  <c r="U68" i="5"/>
  <c r="X68" i="5" s="1"/>
  <c r="AC68" i="5" s="1"/>
  <c r="T68" i="5"/>
  <c r="W68" i="5"/>
  <c r="R91" i="4"/>
  <c r="R90" i="4"/>
  <c r="T90" i="4"/>
  <c r="R86" i="4"/>
  <c r="T86" i="4"/>
  <c r="R83" i="4"/>
  <c r="R82" i="4"/>
  <c r="BR109" i="1" l="1"/>
  <c r="BT77" i="1"/>
  <c r="BQ77" i="1"/>
  <c r="CK210" i="1"/>
  <c r="CL210" i="1" s="1"/>
  <c r="BT61" i="1"/>
  <c r="BP96" i="1"/>
  <c r="BQ96" i="1" s="1"/>
  <c r="BS107" i="1"/>
  <c r="CJ107" i="1" s="1"/>
  <c r="BS96" i="1"/>
  <c r="BT96" i="1" s="1"/>
  <c r="BV96" i="1" s="1"/>
  <c r="CK96" i="1" s="1"/>
  <c r="CL96" i="1" s="1"/>
  <c r="BR107" i="1"/>
  <c r="BW32" i="1"/>
  <c r="BW210" i="1"/>
  <c r="BR106" i="1"/>
  <c r="CI106" i="1"/>
  <c r="CK32" i="1"/>
  <c r="CL32" i="1" s="1"/>
  <c r="BS106" i="1"/>
  <c r="CJ61" i="1"/>
  <c r="CH238" i="1"/>
  <c r="CJ155" i="1"/>
  <c r="BT155" i="1"/>
  <c r="BV155" i="1" s="1"/>
  <c r="BW155" i="1" s="1"/>
  <c r="CH165" i="1"/>
  <c r="CI253" i="1"/>
  <c r="BO126" i="1"/>
  <c r="BR126" i="1" s="1"/>
  <c r="BT128" i="1"/>
  <c r="BV128" i="1" s="1"/>
  <c r="BU128" i="1" s="1"/>
  <c r="BS117" i="1"/>
  <c r="BT93" i="1"/>
  <c r="BV93" i="1" s="1"/>
  <c r="BW93" i="1" s="1"/>
  <c r="CH190" i="1"/>
  <c r="BQ93" i="1"/>
  <c r="CJ150" i="1"/>
  <c r="CJ27" i="1"/>
  <c r="CI222" i="1"/>
  <c r="BN222" i="1"/>
  <c r="BO222" i="1" s="1"/>
  <c r="CJ100" i="1"/>
  <c r="BT100" i="1"/>
  <c r="BV100" i="1" s="1"/>
  <c r="BW100" i="1" s="1"/>
  <c r="BT146" i="1"/>
  <c r="BV146" i="1" s="1"/>
  <c r="BU146" i="1" s="1"/>
  <c r="CJ87" i="1"/>
  <c r="CJ215" i="1"/>
  <c r="BT215" i="1"/>
  <c r="BV215" i="1" s="1"/>
  <c r="BU215" i="1" s="1"/>
  <c r="CJ52" i="1"/>
  <c r="BT156" i="1"/>
  <c r="BV156" i="1" s="1"/>
  <c r="BW156" i="1" s="1"/>
  <c r="BT27" i="1"/>
  <c r="BV27" i="1" s="1"/>
  <c r="BU27" i="1" s="1"/>
  <c r="BT37" i="1"/>
  <c r="BV37" i="1" s="1"/>
  <c r="CK37" i="1" s="1"/>
  <c r="CL37" i="1" s="1"/>
  <c r="BQ27" i="1"/>
  <c r="BV78" i="1"/>
  <c r="BU78" i="1" s="1"/>
  <c r="CH181" i="1"/>
  <c r="CJ37" i="1"/>
  <c r="BQ52" i="1"/>
  <c r="BQ67" i="1"/>
  <c r="CJ97" i="1"/>
  <c r="BT67" i="1"/>
  <c r="BV67" i="1" s="1"/>
  <c r="BW67" i="1" s="1"/>
  <c r="CJ156" i="1"/>
  <c r="BP117" i="1"/>
  <c r="BQ117" i="1" s="1"/>
  <c r="BP18" i="1"/>
  <c r="BS18" i="1"/>
  <c r="BT216" i="1"/>
  <c r="BV216" i="1" s="1"/>
  <c r="BU216" i="1" s="1"/>
  <c r="BT13" i="1"/>
  <c r="BV13" i="1" s="1"/>
  <c r="BT109" i="1"/>
  <c r="BV109" i="1" s="1"/>
  <c r="BW109" i="1" s="1"/>
  <c r="BP160" i="1"/>
  <c r="BQ160" i="1" s="1"/>
  <c r="CI233" i="1"/>
  <c r="BP154" i="1"/>
  <c r="BQ154" i="1" s="1"/>
  <c r="BS154" i="1"/>
  <c r="CJ59" i="1"/>
  <c r="BT118" i="1"/>
  <c r="BV118" i="1" s="1"/>
  <c r="BW118" i="1" s="1"/>
  <c r="CH188" i="1"/>
  <c r="CH244" i="1"/>
  <c r="CJ118" i="1"/>
  <c r="BS26" i="1"/>
  <c r="CJ26" i="1" s="1"/>
  <c r="BR26" i="1"/>
  <c r="CH245" i="1"/>
  <c r="BT59" i="1"/>
  <c r="BV59" i="1" s="1"/>
  <c r="CK59" i="1" s="1"/>
  <c r="CL59" i="1" s="1"/>
  <c r="BQ79" i="1"/>
  <c r="CJ79" i="1"/>
  <c r="BW213" i="1"/>
  <c r="BS160" i="1"/>
  <c r="CK213" i="1"/>
  <c r="CL213" i="1" s="1"/>
  <c r="BT97" i="1"/>
  <c r="BV97" i="1" s="1"/>
  <c r="BW97" i="1" s="1"/>
  <c r="CJ13" i="1"/>
  <c r="CH185" i="1"/>
  <c r="BU48" i="1"/>
  <c r="CJ198" i="1"/>
  <c r="CH176" i="1"/>
  <c r="CJ31" i="1"/>
  <c r="BT108" i="1"/>
  <c r="BV108" i="1" s="1"/>
  <c r="CK108" i="1" s="1"/>
  <c r="CL108" i="1" s="1"/>
  <c r="CJ83" i="1"/>
  <c r="BT31" i="1"/>
  <c r="BV31" i="1" s="1"/>
  <c r="BU31" i="1" s="1"/>
  <c r="BT198" i="1"/>
  <c r="BV198" i="1" s="1"/>
  <c r="BU198" i="1" s="1"/>
  <c r="BR42" i="1"/>
  <c r="BT81" i="1"/>
  <c r="BV81" i="1" s="1"/>
  <c r="BU81" i="1" s="1"/>
  <c r="BT83" i="1"/>
  <c r="BV83" i="1" s="1"/>
  <c r="CK83" i="1" s="1"/>
  <c r="CL83" i="1" s="1"/>
  <c r="BS42" i="1"/>
  <c r="CJ42" i="1" s="1"/>
  <c r="BS85" i="1"/>
  <c r="BT10" i="1"/>
  <c r="BV10" i="1" s="1"/>
  <c r="CK10" i="1" s="1"/>
  <c r="CL10" i="1" s="1"/>
  <c r="T87" i="4"/>
  <c r="AD12" i="5"/>
  <c r="R87" i="4"/>
  <c r="AE11" i="5"/>
  <c r="AD13" i="5"/>
  <c r="AC9" i="5"/>
  <c r="AA25" i="5"/>
  <c r="CJ81" i="1"/>
  <c r="BU44" i="1"/>
  <c r="CJ116" i="1"/>
  <c r="CJ10" i="1"/>
  <c r="CK44" i="1"/>
  <c r="CL44" i="1" s="1"/>
  <c r="BP88" i="1"/>
  <c r="BS88" i="1"/>
  <c r="BS40" i="1"/>
  <c r="CJ40" i="1" s="1"/>
  <c r="BP85" i="1"/>
  <c r="BQ85" i="1" s="1"/>
  <c r="CH235" i="1"/>
  <c r="CJ108" i="1"/>
  <c r="BH176" i="1"/>
  <c r="CH166" i="1"/>
  <c r="BO131" i="1"/>
  <c r="BR131" i="1" s="1"/>
  <c r="BT73" i="1"/>
  <c r="BV73" i="1" s="1"/>
  <c r="BU73" i="1" s="1"/>
  <c r="CH227" i="1"/>
  <c r="BP113" i="1"/>
  <c r="BQ113" i="1" s="1"/>
  <c r="BP115" i="1"/>
  <c r="CJ115" i="1" s="1"/>
  <c r="BR115" i="1"/>
  <c r="CJ73" i="1"/>
  <c r="CH172" i="1"/>
  <c r="CJ34" i="1"/>
  <c r="CH182" i="1"/>
  <c r="BT34" i="1"/>
  <c r="BV34" i="1" s="1"/>
  <c r="BW34" i="1" s="1"/>
  <c r="CH195" i="1"/>
  <c r="BW45" i="1"/>
  <c r="BW36" i="1"/>
  <c r="BT30" i="1"/>
  <c r="BV30" i="1" s="1"/>
  <c r="BU30" i="1" s="1"/>
  <c r="BS47" i="1"/>
  <c r="BR105" i="1"/>
  <c r="BU45" i="1"/>
  <c r="BS105" i="1"/>
  <c r="CJ105" i="1" s="1"/>
  <c r="BR40" i="1"/>
  <c r="CJ112" i="1"/>
  <c r="BT112" i="1"/>
  <c r="BV112" i="1" s="1"/>
  <c r="BW112" i="1" s="1"/>
  <c r="BR49" i="1"/>
  <c r="BP49" i="1"/>
  <c r="BS49" i="1"/>
  <c r="CH196" i="1"/>
  <c r="CH232" i="1"/>
  <c r="CH179" i="1"/>
  <c r="BR143" i="1"/>
  <c r="BS143" i="1"/>
  <c r="BP143" i="1"/>
  <c r="BO211" i="1"/>
  <c r="BR211" i="1" s="1"/>
  <c r="BP174" i="1"/>
  <c r="BQ174" i="1" s="1"/>
  <c r="BS113" i="1"/>
  <c r="CI162" i="1"/>
  <c r="CI223" i="1"/>
  <c r="CH167" i="1"/>
  <c r="BP11" i="1"/>
  <c r="BQ11" i="1" s="1"/>
  <c r="BS11" i="1"/>
  <c r="BH232" i="1"/>
  <c r="BN232" i="1" s="1"/>
  <c r="BO232" i="1" s="1"/>
  <c r="BT151" i="1"/>
  <c r="BV151" i="1" s="1"/>
  <c r="BW151" i="1" s="1"/>
  <c r="BU36" i="1"/>
  <c r="CJ148" i="1"/>
  <c r="CH175" i="1"/>
  <c r="BT142" i="1"/>
  <c r="BV142" i="1" s="1"/>
  <c r="BU142" i="1" s="1"/>
  <c r="CJ209" i="1"/>
  <c r="CJ220" i="1"/>
  <c r="BS16" i="1"/>
  <c r="CJ25" i="1"/>
  <c r="CJ71" i="1"/>
  <c r="CJ199" i="1"/>
  <c r="BP16" i="1"/>
  <c r="BU91" i="1"/>
  <c r="CJ207" i="1"/>
  <c r="CK141" i="1"/>
  <c r="CL141" i="1" s="1"/>
  <c r="CJ127" i="1"/>
  <c r="BP43" i="1"/>
  <c r="BQ43" i="1" s="1"/>
  <c r="BS43" i="1"/>
  <c r="CJ149" i="1"/>
  <c r="BQ220" i="1"/>
  <c r="BT220" i="1"/>
  <c r="BH175" i="1"/>
  <c r="BW139" i="1"/>
  <c r="CJ134" i="1"/>
  <c r="CK144" i="1"/>
  <c r="CL144" i="1" s="1"/>
  <c r="BT135" i="1"/>
  <c r="BV135" i="1" s="1"/>
  <c r="BU135" i="1" s="1"/>
  <c r="BO200" i="1"/>
  <c r="BR200" i="1" s="1"/>
  <c r="BW48" i="1"/>
  <c r="CJ133" i="1"/>
  <c r="CJ142" i="1"/>
  <c r="CK28" i="1"/>
  <c r="CL28" i="1" s="1"/>
  <c r="CJ135" i="1"/>
  <c r="BT134" i="1"/>
  <c r="BV134" i="1" s="1"/>
  <c r="BU134" i="1" s="1"/>
  <c r="BW201" i="1"/>
  <c r="BP47" i="1"/>
  <c r="BN186" i="1"/>
  <c r="BO186" i="1" s="1"/>
  <c r="CK74" i="1"/>
  <c r="CL74" i="1" s="1"/>
  <c r="BP124" i="1"/>
  <c r="BQ124" i="1" s="1"/>
  <c r="BS124" i="1"/>
  <c r="CK50" i="1"/>
  <c r="CL50" i="1" s="1"/>
  <c r="BV57" i="1"/>
  <c r="CK57" i="1" s="1"/>
  <c r="CL57" i="1" s="1"/>
  <c r="BS22" i="1"/>
  <c r="BP22" i="1"/>
  <c r="BQ22" i="1" s="1"/>
  <c r="BV140" i="1"/>
  <c r="BU140" i="1" s="1"/>
  <c r="BQ25" i="1"/>
  <c r="BT25" i="1"/>
  <c r="BW144" i="1"/>
  <c r="CK202" i="1"/>
  <c r="CL202" i="1" s="1"/>
  <c r="BR29" i="1"/>
  <c r="BS29" i="1"/>
  <c r="BP29" i="1"/>
  <c r="BV70" i="1"/>
  <c r="BU70" i="1" s="1"/>
  <c r="BV208" i="1"/>
  <c r="BU208" i="1" s="1"/>
  <c r="AE16" i="5"/>
  <c r="AF16" i="5" s="1"/>
  <c r="CK46" i="1"/>
  <c r="CL46" i="1" s="1"/>
  <c r="BO214" i="1"/>
  <c r="BR214" i="1" s="1"/>
  <c r="CK91" i="1"/>
  <c r="CL91" i="1" s="1"/>
  <c r="BR203" i="1"/>
  <c r="BS203" i="1"/>
  <c r="BP203" i="1"/>
  <c r="BQ203" i="1" s="1"/>
  <c r="BW219" i="1"/>
  <c r="BV136" i="1"/>
  <c r="BU136" i="1" s="1"/>
  <c r="BO24" i="1"/>
  <c r="BV20" i="1"/>
  <c r="CK20" i="1" s="1"/>
  <c r="CL20" i="1" s="1"/>
  <c r="BQ207" i="1"/>
  <c r="BT207" i="1"/>
  <c r="BR76" i="1"/>
  <c r="BS76" i="1"/>
  <c r="BP76" i="1"/>
  <c r="BQ76" i="1" s="1"/>
  <c r="BV132" i="1"/>
  <c r="BU132" i="1" s="1"/>
  <c r="BR82" i="1"/>
  <c r="BS82" i="1"/>
  <c r="BP82" i="1"/>
  <c r="BQ82" i="1" s="1"/>
  <c r="BV212" i="1"/>
  <c r="BU212" i="1" s="1"/>
  <c r="AE33" i="5"/>
  <c r="AC13" i="5"/>
  <c r="BQ26" i="1"/>
  <c r="CK219" i="1"/>
  <c r="CL219" i="1" s="1"/>
  <c r="BR33" i="1"/>
  <c r="BS33" i="1"/>
  <c r="BP33" i="1"/>
  <c r="BV147" i="1"/>
  <c r="BU147" i="1" s="1"/>
  <c r="BV94" i="1"/>
  <c r="CK94" i="1" s="1"/>
  <c r="CL94" i="1" s="1"/>
  <c r="BV103" i="1"/>
  <c r="BW103" i="1" s="1"/>
  <c r="CK121" i="1"/>
  <c r="CL121" i="1" s="1"/>
  <c r="BW206" i="1"/>
  <c r="CJ138" i="1"/>
  <c r="BV80" i="1"/>
  <c r="BU80" i="1" s="1"/>
  <c r="BV221" i="1"/>
  <c r="BU221" i="1" s="1"/>
  <c r="BT138" i="1"/>
  <c r="CK201" i="1"/>
  <c r="CL201" i="1" s="1"/>
  <c r="BT129" i="1"/>
  <c r="BQ149" i="1"/>
  <c r="BT149" i="1"/>
  <c r="CK52" i="1"/>
  <c r="CL52" i="1" s="1"/>
  <c r="BV205" i="1"/>
  <c r="BU205" i="1" s="1"/>
  <c r="CK14" i="1"/>
  <c r="CL14" i="1" s="1"/>
  <c r="BV53" i="1"/>
  <c r="CK53" i="1" s="1"/>
  <c r="CL53" i="1" s="1"/>
  <c r="BV116" i="1"/>
  <c r="CK116" i="1" s="1"/>
  <c r="CL116" i="1" s="1"/>
  <c r="BV61" i="1"/>
  <c r="CK61" i="1" s="1"/>
  <c r="CL61" i="1" s="1"/>
  <c r="BW141" i="1"/>
  <c r="BQ127" i="1"/>
  <c r="BT127" i="1"/>
  <c r="CK38" i="1"/>
  <c r="CL38" i="1" s="1"/>
  <c r="BW74" i="1"/>
  <c r="CK139" i="1"/>
  <c r="CL139" i="1" s="1"/>
  <c r="BT199" i="1"/>
  <c r="BV72" i="1"/>
  <c r="BU72" i="1" s="1"/>
  <c r="BV217" i="1"/>
  <c r="BU217" i="1" s="1"/>
  <c r="BQ148" i="1"/>
  <c r="BT148" i="1"/>
  <c r="BV75" i="1"/>
  <c r="BU75" i="1" s="1"/>
  <c r="BW137" i="1"/>
  <c r="BQ209" i="1"/>
  <c r="BT209" i="1"/>
  <c r="BQ71" i="1"/>
  <c r="BT71" i="1"/>
  <c r="CK206" i="1"/>
  <c r="CL206" i="1" s="1"/>
  <c r="BV218" i="1"/>
  <c r="BU218" i="1" s="1"/>
  <c r="BW28" i="1"/>
  <c r="BW202" i="1"/>
  <c r="BR23" i="1"/>
  <c r="BS23" i="1"/>
  <c r="BP23" i="1"/>
  <c r="BQ23" i="1" s="1"/>
  <c r="CJ129" i="1"/>
  <c r="BV77" i="1"/>
  <c r="BU77" i="1" s="1"/>
  <c r="BV79" i="1"/>
  <c r="BU79" i="1" s="1"/>
  <c r="CK101" i="1"/>
  <c r="CL101" i="1" s="1"/>
  <c r="CK17" i="1"/>
  <c r="CL17" i="1" s="1"/>
  <c r="BO204" i="1"/>
  <c r="BR204" i="1" s="1"/>
  <c r="BV145" i="1"/>
  <c r="BU145" i="1" s="1"/>
  <c r="CJ30" i="1"/>
  <c r="CK137" i="1"/>
  <c r="CL137" i="1" s="1"/>
  <c r="BT133" i="1"/>
  <c r="BO63" i="1"/>
  <c r="BR63" i="1" s="1"/>
  <c r="BP120" i="1"/>
  <c r="BQ120" i="1" s="1"/>
  <c r="BS120" i="1"/>
  <c r="BR69" i="1"/>
  <c r="BP69" i="1"/>
  <c r="BQ69" i="1" s="1"/>
  <c r="BU17" i="1"/>
  <c r="BO152" i="1"/>
  <c r="BR152" i="1" s="1"/>
  <c r="BS174" i="1"/>
  <c r="BR99" i="1"/>
  <c r="BP90" i="1"/>
  <c r="BQ90" i="1" s="1"/>
  <c r="BP99" i="1"/>
  <c r="BQ99" i="1" s="1"/>
  <c r="CH224" i="1"/>
  <c r="CJ151" i="1"/>
  <c r="BR19" i="1"/>
  <c r="BP19" i="1"/>
  <c r="BU121" i="1"/>
  <c r="BU14" i="1"/>
  <c r="CJ86" i="1"/>
  <c r="BN252" i="1"/>
  <c r="BO252" i="1" s="1"/>
  <c r="CI252" i="1"/>
  <c r="BQ86" i="1"/>
  <c r="BT86" i="1"/>
  <c r="BP122" i="1"/>
  <c r="BS122" i="1"/>
  <c r="CJ159" i="1"/>
  <c r="CH242" i="1"/>
  <c r="BT64" i="1"/>
  <c r="BT159" i="1"/>
  <c r="BS90" i="1"/>
  <c r="BU101" i="1"/>
  <c r="CJ39" i="1"/>
  <c r="BT62" i="1"/>
  <c r="BT41" i="1"/>
  <c r="BV41" i="1" s="1"/>
  <c r="BW41" i="1" s="1"/>
  <c r="CI174" i="1"/>
  <c r="BT102" i="1"/>
  <c r="BV102" i="1" s="1"/>
  <c r="BW102" i="1" s="1"/>
  <c r="CJ21" i="1"/>
  <c r="CJ60" i="1"/>
  <c r="CJ92" i="1"/>
  <c r="BT119" i="1"/>
  <c r="BV119" i="1" s="1"/>
  <c r="BW119" i="1" s="1"/>
  <c r="BH242" i="1"/>
  <c r="CI242" i="1" s="1"/>
  <c r="CH180" i="1"/>
  <c r="CJ84" i="1"/>
  <c r="AV33" i="5"/>
  <c r="BR54" i="1"/>
  <c r="BS54" i="1"/>
  <c r="BP54" i="1"/>
  <c r="BQ54" i="1" s="1"/>
  <c r="BT39" i="1"/>
  <c r="BQ84" i="1"/>
  <c r="BT84" i="1"/>
  <c r="BQ98" i="1"/>
  <c r="BT98" i="1"/>
  <c r="BQ21" i="1"/>
  <c r="BT21" i="1"/>
  <c r="BQ60" i="1"/>
  <c r="BT60" i="1"/>
  <c r="BO153" i="1"/>
  <c r="BR153" i="1" s="1"/>
  <c r="AA17" i="5"/>
  <c r="AV17" i="5" s="1"/>
  <c r="AC17" i="5"/>
  <c r="AV28" i="5"/>
  <c r="AV32" i="5"/>
  <c r="AV36" i="5"/>
  <c r="CJ158" i="1"/>
  <c r="BO110" i="1"/>
  <c r="BR110" i="1" s="1"/>
  <c r="CJ98" i="1"/>
  <c r="BW150" i="1"/>
  <c r="BV56" i="1"/>
  <c r="BW56" i="1" s="1"/>
  <c r="BW46" i="1"/>
  <c r="BR12" i="1"/>
  <c r="BP12" i="1"/>
  <c r="BS12" i="1"/>
  <c r="BV89" i="1"/>
  <c r="BW89" i="1" s="1"/>
  <c r="BV65" i="1"/>
  <c r="BW65" i="1" s="1"/>
  <c r="BV114" i="1"/>
  <c r="BW114" i="1" s="1"/>
  <c r="BV66" i="1"/>
  <c r="BW66" i="1" s="1"/>
  <c r="CJ157" i="1"/>
  <c r="BT51" i="1"/>
  <c r="CJ62" i="1"/>
  <c r="CJ64" i="1"/>
  <c r="CJ161" i="1"/>
  <c r="CJ95" i="1"/>
  <c r="CJ35" i="1"/>
  <c r="CJ119" i="1"/>
  <c r="BU38" i="1"/>
  <c r="BQ104" i="1"/>
  <c r="BT104" i="1"/>
  <c r="BU50" i="1"/>
  <c r="BT68" i="1"/>
  <c r="BQ125" i="1"/>
  <c r="BT125" i="1"/>
  <c r="CJ68" i="1"/>
  <c r="CJ51" i="1"/>
  <c r="BQ35" i="1"/>
  <c r="BT35" i="1"/>
  <c r="BV58" i="1"/>
  <c r="CK58" i="1" s="1"/>
  <c r="CL58" i="1" s="1"/>
  <c r="BU46" i="1"/>
  <c r="BV15" i="1"/>
  <c r="BW15" i="1" s="1"/>
  <c r="BV123" i="1"/>
  <c r="BW123" i="1" s="1"/>
  <c r="BQ42" i="1"/>
  <c r="BV87" i="1"/>
  <c r="CK87" i="1" s="1"/>
  <c r="CL87" i="1" s="1"/>
  <c r="CJ125" i="1"/>
  <c r="BQ95" i="1"/>
  <c r="BT95" i="1"/>
  <c r="BV111" i="1"/>
  <c r="BW111" i="1" s="1"/>
  <c r="CJ102" i="1"/>
  <c r="BQ102" i="1"/>
  <c r="BU52" i="1"/>
  <c r="CJ104" i="1"/>
  <c r="BQ92" i="1"/>
  <c r="BT92" i="1"/>
  <c r="CJ41" i="1"/>
  <c r="BQ157" i="1"/>
  <c r="BT157" i="1"/>
  <c r="BQ161" i="1"/>
  <c r="BT161" i="1"/>
  <c r="BU150" i="1"/>
  <c r="BQ158" i="1"/>
  <c r="BT158" i="1"/>
  <c r="BP162" i="1"/>
  <c r="BS162" i="1"/>
  <c r="BP223" i="1"/>
  <c r="BS223" i="1"/>
  <c r="BN234" i="1"/>
  <c r="BP243" i="1"/>
  <c r="BS243" i="1"/>
  <c r="BS233" i="1"/>
  <c r="BP233" i="1"/>
  <c r="BS253" i="1"/>
  <c r="BP253" i="1"/>
  <c r="BQ253" i="1" s="1"/>
  <c r="BH163" i="1"/>
  <c r="BH236" i="1"/>
  <c r="BH187" i="1"/>
  <c r="BH254" i="1"/>
  <c r="BH244" i="1"/>
  <c r="BH224" i="1"/>
  <c r="BH177" i="1"/>
  <c r="BH235" i="1"/>
  <c r="CI235" i="1" s="1"/>
  <c r="T82" i="4"/>
  <c r="X82" i="4" s="1"/>
  <c r="T83" i="4"/>
  <c r="V83" i="4" s="1"/>
  <c r="T91" i="4"/>
  <c r="X91" i="4" s="1"/>
  <c r="AE19" i="5"/>
  <c r="AE23" i="5"/>
  <c r="AG23" i="5" s="1"/>
  <c r="AH23" i="5" s="1"/>
  <c r="AD25" i="5"/>
  <c r="AV25" i="5" s="1"/>
  <c r="AV22" i="5"/>
  <c r="AA26" i="5"/>
  <c r="AV26" i="5" s="1"/>
  <c r="AA29" i="5"/>
  <c r="AV29" i="5" s="1"/>
  <c r="AC29" i="5"/>
  <c r="AA37" i="5"/>
  <c r="AV37" i="5" s="1"/>
  <c r="AC37" i="5"/>
  <c r="P85" i="4"/>
  <c r="Q85" i="4"/>
  <c r="AH85" i="4" s="1"/>
  <c r="V86" i="4"/>
  <c r="Z86" i="4" s="1"/>
  <c r="X86" i="4"/>
  <c r="V90" i="4"/>
  <c r="Z90" i="4" s="1"/>
  <c r="X90" i="4"/>
  <c r="AV34" i="5"/>
  <c r="S92" i="4"/>
  <c r="T92" i="4" s="1"/>
  <c r="AA31" i="5"/>
  <c r="AV31" i="5" s="1"/>
  <c r="AC31" i="5"/>
  <c r="X83" i="4"/>
  <c r="V87" i="4"/>
  <c r="Z87" i="4" s="1"/>
  <c r="X87" i="4"/>
  <c r="AJ87" i="4"/>
  <c r="AE13" i="5"/>
  <c r="AF13" i="5" s="1"/>
  <c r="AV12" i="5"/>
  <c r="AV30" i="5"/>
  <c r="P89" i="4"/>
  <c r="Q89" i="4"/>
  <c r="AH89" i="4" s="1"/>
  <c r="AA35" i="5"/>
  <c r="AV35" i="5" s="1"/>
  <c r="AC35" i="5"/>
  <c r="S84" i="4"/>
  <c r="T84" i="4" s="1"/>
  <c r="S88" i="4"/>
  <c r="T88" i="4" s="1"/>
  <c r="AV9" i="5"/>
  <c r="AV15" i="5"/>
  <c r="AV13" i="5"/>
  <c r="AE12" i="5"/>
  <c r="AG12" i="5" s="1"/>
  <c r="AW12" i="5" s="1"/>
  <c r="AV11" i="5"/>
  <c r="AE10" i="5"/>
  <c r="AG10" i="5" s="1"/>
  <c r="AW10" i="5" s="1"/>
  <c r="AE22" i="5"/>
  <c r="AF22" i="5" s="1"/>
  <c r="AV19" i="5"/>
  <c r="AV21" i="5"/>
  <c r="AV23" i="5"/>
  <c r="AE20" i="5"/>
  <c r="AG20" i="5" s="1"/>
  <c r="AW20" i="5" s="1"/>
  <c r="AV24" i="5"/>
  <c r="AG33" i="5"/>
  <c r="AW33" i="5" s="1"/>
  <c r="AF33" i="5"/>
  <c r="AF19" i="5"/>
  <c r="AG19" i="5"/>
  <c r="AH19" i="5" s="1"/>
  <c r="AE9" i="5"/>
  <c r="AE15" i="5"/>
  <c r="AV10" i="5"/>
  <c r="AE14" i="5"/>
  <c r="AE17" i="5"/>
  <c r="AV20" i="5"/>
  <c r="AE24" i="5"/>
  <c r="AE28" i="5"/>
  <c r="AE30" i="5"/>
  <c r="AE32" i="5"/>
  <c r="AE34" i="5"/>
  <c r="AE36" i="5"/>
  <c r="AF11" i="5"/>
  <c r="AG11" i="5"/>
  <c r="AH11" i="5" s="1"/>
  <c r="AG16" i="5"/>
  <c r="AW16" i="5" s="1"/>
  <c r="AF21" i="5"/>
  <c r="AG21" i="5"/>
  <c r="AH21" i="5" s="1"/>
  <c r="AD68" i="5"/>
  <c r="AA68" i="5"/>
  <c r="CJ96" i="1" l="1"/>
  <c r="BT107" i="1"/>
  <c r="BV107" i="1" s="1"/>
  <c r="CK107" i="1" s="1"/>
  <c r="CL107" i="1" s="1"/>
  <c r="CJ106" i="1"/>
  <c r="BT106" i="1"/>
  <c r="BW146" i="1"/>
  <c r="CK146" i="1"/>
  <c r="CL146" i="1" s="1"/>
  <c r="BP126" i="1"/>
  <c r="BS126" i="1"/>
  <c r="BT160" i="1"/>
  <c r="BV160" i="1" s="1"/>
  <c r="BW160" i="1" s="1"/>
  <c r="CK215" i="1"/>
  <c r="CL215" i="1" s="1"/>
  <c r="BT26" i="1"/>
  <c r="BV26" i="1" s="1"/>
  <c r="BU26" i="1" s="1"/>
  <c r="BT40" i="1"/>
  <c r="BV40" i="1" s="1"/>
  <c r="BW40" i="1" s="1"/>
  <c r="BR222" i="1"/>
  <c r="BP222" i="1"/>
  <c r="BS222" i="1"/>
  <c r="BW215" i="1"/>
  <c r="CK67" i="1"/>
  <c r="CL67" i="1" s="1"/>
  <c r="BU67" i="1"/>
  <c r="CK156" i="1"/>
  <c r="CL156" i="1" s="1"/>
  <c r="BU156" i="1"/>
  <c r="CJ154" i="1"/>
  <c r="CK97" i="1"/>
  <c r="CL97" i="1" s="1"/>
  <c r="CJ117" i="1"/>
  <c r="BT117" i="1"/>
  <c r="BV117" i="1" s="1"/>
  <c r="CK117" i="1" s="1"/>
  <c r="CL117" i="1" s="1"/>
  <c r="CK78" i="1"/>
  <c r="CL78" i="1" s="1"/>
  <c r="BT115" i="1"/>
  <c r="BV115" i="1" s="1"/>
  <c r="BU115" i="1" s="1"/>
  <c r="BW78" i="1"/>
  <c r="CJ18" i="1"/>
  <c r="BQ18" i="1"/>
  <c r="BT18" i="1"/>
  <c r="BT154" i="1"/>
  <c r="BV154" i="1" s="1"/>
  <c r="BW154" i="1" s="1"/>
  <c r="BU97" i="1"/>
  <c r="CJ160" i="1"/>
  <c r="CJ85" i="1"/>
  <c r="BT42" i="1"/>
  <c r="BV42" i="1" s="1"/>
  <c r="BW42" i="1" s="1"/>
  <c r="CJ88" i="1"/>
  <c r="CK198" i="1"/>
  <c r="CL198" i="1" s="1"/>
  <c r="BW198" i="1"/>
  <c r="BT85" i="1"/>
  <c r="BV85" i="1" s="1"/>
  <c r="BW85" i="1" s="1"/>
  <c r="CJ113" i="1"/>
  <c r="Z83" i="4"/>
  <c r="AJ83" i="4"/>
  <c r="CJ174" i="1"/>
  <c r="AG22" i="5"/>
  <c r="AW22" i="5" s="1"/>
  <c r="AI84" i="4"/>
  <c r="BT47" i="1"/>
  <c r="BV47" i="1" s="1"/>
  <c r="BW47" i="1" s="1"/>
  <c r="BQ115" i="1"/>
  <c r="CK112" i="1"/>
  <c r="CL112" i="1" s="1"/>
  <c r="BQ88" i="1"/>
  <c r="BT88" i="1"/>
  <c r="BU112" i="1"/>
  <c r="BS131" i="1"/>
  <c r="BP131" i="1"/>
  <c r="BQ131" i="1" s="1"/>
  <c r="CI176" i="1"/>
  <c r="BN176" i="1"/>
  <c r="BO176" i="1" s="1"/>
  <c r="BT105" i="1"/>
  <c r="BV105" i="1" s="1"/>
  <c r="BW105" i="1" s="1"/>
  <c r="BW20" i="1"/>
  <c r="BU57" i="1"/>
  <c r="CI232" i="1"/>
  <c r="BQ47" i="1"/>
  <c r="BT113" i="1"/>
  <c r="BV113" i="1" s="1"/>
  <c r="BW113" i="1" s="1"/>
  <c r="CJ47" i="1"/>
  <c r="BW57" i="1"/>
  <c r="CJ16" i="1"/>
  <c r="BT22" i="1"/>
  <c r="BV22" i="1" s="1"/>
  <c r="BU22" i="1" s="1"/>
  <c r="BT43" i="1"/>
  <c r="BV43" i="1" s="1"/>
  <c r="BW43" i="1" s="1"/>
  <c r="CJ43" i="1"/>
  <c r="BP211" i="1"/>
  <c r="BQ211" i="1" s="1"/>
  <c r="BS211" i="1"/>
  <c r="BQ143" i="1"/>
  <c r="BT143" i="1"/>
  <c r="BV143" i="1" s="1"/>
  <c r="BU143" i="1" s="1"/>
  <c r="CJ143" i="1"/>
  <c r="BQ49" i="1"/>
  <c r="CJ49" i="1"/>
  <c r="BT49" i="1"/>
  <c r="BV49" i="1" s="1"/>
  <c r="CK49" i="1" s="1"/>
  <c r="CL49" i="1" s="1"/>
  <c r="BU53" i="1"/>
  <c r="CJ11" i="1"/>
  <c r="BT11" i="1"/>
  <c r="CJ99" i="1"/>
  <c r="BT16" i="1"/>
  <c r="BV16" i="1" s="1"/>
  <c r="BW16" i="1" s="1"/>
  <c r="BU83" i="1"/>
  <c r="BQ16" i="1"/>
  <c r="BU94" i="1"/>
  <c r="BT174" i="1"/>
  <c r="BV174" i="1" s="1"/>
  <c r="BW174" i="1" s="1"/>
  <c r="BW94" i="1"/>
  <c r="CK73" i="1"/>
  <c r="CL73" i="1" s="1"/>
  <c r="BU103" i="1"/>
  <c r="BW70" i="1"/>
  <c r="BU116" i="1"/>
  <c r="BW212" i="1"/>
  <c r="CK134" i="1"/>
  <c r="CL134" i="1" s="1"/>
  <c r="BW83" i="1"/>
  <c r="BW53" i="1"/>
  <c r="BW116" i="1"/>
  <c r="BV220" i="1"/>
  <c r="BU220" i="1" s="1"/>
  <c r="BW205" i="1"/>
  <c r="BW73" i="1"/>
  <c r="BU20" i="1"/>
  <c r="BW134" i="1"/>
  <c r="CJ23" i="1"/>
  <c r="BT124" i="1"/>
  <c r="CJ124" i="1"/>
  <c r="BN175" i="1"/>
  <c r="BO175" i="1" s="1"/>
  <c r="CI175" i="1"/>
  <c r="CK31" i="1"/>
  <c r="CL31" i="1" s="1"/>
  <c r="BW128" i="1"/>
  <c r="CK103" i="1"/>
  <c r="CL103" i="1" s="1"/>
  <c r="CJ76" i="1"/>
  <c r="CJ203" i="1"/>
  <c r="BR186" i="1"/>
  <c r="BS186" i="1"/>
  <c r="BP186" i="1"/>
  <c r="BQ186" i="1" s="1"/>
  <c r="BW81" i="1"/>
  <c r="CK128" i="1"/>
  <c r="CL128" i="1" s="1"/>
  <c r="CK218" i="1"/>
  <c r="CL218" i="1" s="1"/>
  <c r="CJ29" i="1"/>
  <c r="CJ22" i="1"/>
  <c r="BS200" i="1"/>
  <c r="BP200" i="1"/>
  <c r="CK81" i="1"/>
  <c r="CL81" i="1" s="1"/>
  <c r="CK205" i="1"/>
  <c r="CL205" i="1" s="1"/>
  <c r="CK221" i="1"/>
  <c r="CL221" i="1" s="1"/>
  <c r="CK79" i="1"/>
  <c r="CL79" i="1" s="1"/>
  <c r="BW80" i="1"/>
  <c r="BW132" i="1"/>
  <c r="CK30" i="1"/>
  <c r="CL30" i="1" s="1"/>
  <c r="CJ33" i="1"/>
  <c r="BW208" i="1"/>
  <c r="BW145" i="1"/>
  <c r="BS204" i="1"/>
  <c r="BP204" i="1"/>
  <c r="BW77" i="1"/>
  <c r="CK75" i="1"/>
  <c r="CL75" i="1" s="1"/>
  <c r="CK72" i="1"/>
  <c r="CL72" i="1" s="1"/>
  <c r="CK65" i="1"/>
  <c r="CL65" i="1" s="1"/>
  <c r="BV149" i="1"/>
  <c r="BU149" i="1" s="1"/>
  <c r="CK89" i="1"/>
  <c r="CL89" i="1" s="1"/>
  <c r="CK34" i="1"/>
  <c r="CL34" i="1" s="1"/>
  <c r="BV64" i="1"/>
  <c r="CK64" i="1" s="1"/>
  <c r="CL64" i="1" s="1"/>
  <c r="BV71" i="1"/>
  <c r="BU71" i="1" s="1"/>
  <c r="BV148" i="1"/>
  <c r="BU148" i="1" s="1"/>
  <c r="BV199" i="1"/>
  <c r="BU199" i="1" s="1"/>
  <c r="BU61" i="1"/>
  <c r="BW61" i="1"/>
  <c r="CK66" i="1"/>
  <c r="CL66" i="1" s="1"/>
  <c r="CK136" i="1"/>
  <c r="CL136" i="1" s="1"/>
  <c r="CK140" i="1"/>
  <c r="CL140" i="1" s="1"/>
  <c r="AE25" i="5"/>
  <c r="CK145" i="1"/>
  <c r="CL145" i="1" s="1"/>
  <c r="BW30" i="1"/>
  <c r="CK123" i="1"/>
  <c r="CL123" i="1" s="1"/>
  <c r="CK77" i="1"/>
  <c r="CL77" i="1" s="1"/>
  <c r="BV129" i="1"/>
  <c r="BU129" i="1" s="1"/>
  <c r="CK80" i="1"/>
  <c r="CL80" i="1" s="1"/>
  <c r="CK212" i="1"/>
  <c r="CL212" i="1" s="1"/>
  <c r="BW142" i="1"/>
  <c r="CK118" i="1"/>
  <c r="CL118" i="1" s="1"/>
  <c r="BW27" i="1"/>
  <c r="CK208" i="1"/>
  <c r="CL208" i="1" s="1"/>
  <c r="CK119" i="1"/>
  <c r="CL119" i="1" s="1"/>
  <c r="CK41" i="1"/>
  <c r="CL41" i="1" s="1"/>
  <c r="BW135" i="1"/>
  <c r="CK109" i="1"/>
  <c r="CL109" i="1" s="1"/>
  <c r="BW217" i="1"/>
  <c r="CK155" i="1"/>
  <c r="CL155" i="1" s="1"/>
  <c r="BQ33" i="1"/>
  <c r="BT33" i="1"/>
  <c r="CK111" i="1"/>
  <c r="CL111" i="1" s="1"/>
  <c r="BW216" i="1"/>
  <c r="CK114" i="1"/>
  <c r="CL114" i="1" s="1"/>
  <c r="BS214" i="1"/>
  <c r="BP214" i="1"/>
  <c r="BT203" i="1"/>
  <c r="AG13" i="5"/>
  <c r="AH13" i="5" s="1"/>
  <c r="AJ13" i="5" s="1"/>
  <c r="AX13" i="5" s="1"/>
  <c r="AE31" i="5"/>
  <c r="BV98" i="1"/>
  <c r="CK98" i="1" s="1"/>
  <c r="CL98" i="1" s="1"/>
  <c r="BW31" i="1"/>
  <c r="BV209" i="1"/>
  <c r="BU209" i="1" s="1"/>
  <c r="BV138" i="1"/>
  <c r="BU138" i="1" s="1"/>
  <c r="CK15" i="1"/>
  <c r="CL15" i="1" s="1"/>
  <c r="CK142" i="1"/>
  <c r="CL142" i="1" s="1"/>
  <c r="CK151" i="1"/>
  <c r="CL151" i="1" s="1"/>
  <c r="CK27" i="1"/>
  <c r="CL27" i="1" s="1"/>
  <c r="BT82" i="1"/>
  <c r="CJ69" i="1"/>
  <c r="BT69" i="1"/>
  <c r="BV62" i="1"/>
  <c r="CK62" i="1" s="1"/>
  <c r="CL62" i="1" s="1"/>
  <c r="BT90" i="1"/>
  <c r="BV90" i="1" s="1"/>
  <c r="BU90" i="1" s="1"/>
  <c r="BV133" i="1"/>
  <c r="BU133" i="1" s="1"/>
  <c r="CK135" i="1"/>
  <c r="CL135" i="1" s="1"/>
  <c r="BW79" i="1"/>
  <c r="BW218" i="1"/>
  <c r="CK217" i="1"/>
  <c r="CL217" i="1" s="1"/>
  <c r="BV127" i="1"/>
  <c r="BU127" i="1" s="1"/>
  <c r="BW221" i="1"/>
  <c r="BW147" i="1"/>
  <c r="CK216" i="1"/>
  <c r="CL216" i="1" s="1"/>
  <c r="CK132" i="1"/>
  <c r="CL132" i="1" s="1"/>
  <c r="BV207" i="1"/>
  <c r="BU207" i="1" s="1"/>
  <c r="CK56" i="1"/>
  <c r="CL56" i="1" s="1"/>
  <c r="CK70" i="1"/>
  <c r="CL70" i="1" s="1"/>
  <c r="BV25" i="1"/>
  <c r="BU25" i="1" s="1"/>
  <c r="BT76" i="1"/>
  <c r="BU93" i="1"/>
  <c r="CK93" i="1"/>
  <c r="CL93" i="1" s="1"/>
  <c r="BW75" i="1"/>
  <c r="BW72" i="1"/>
  <c r="BR24" i="1"/>
  <c r="BP24" i="1"/>
  <c r="BQ24" i="1" s="1"/>
  <c r="BS24" i="1"/>
  <c r="CK102" i="1"/>
  <c r="CL102" i="1" s="1"/>
  <c r="CK13" i="1"/>
  <c r="CL13" i="1" s="1"/>
  <c r="CK147" i="1"/>
  <c r="CL147" i="1" s="1"/>
  <c r="CK100" i="1"/>
  <c r="CL100" i="1" s="1"/>
  <c r="CJ82" i="1"/>
  <c r="BW136" i="1"/>
  <c r="BQ29" i="1"/>
  <c r="BT29" i="1"/>
  <c r="BW140" i="1"/>
  <c r="BT23" i="1"/>
  <c r="BP63" i="1"/>
  <c r="BQ63" i="1" s="1"/>
  <c r="BS63" i="1"/>
  <c r="BU151" i="1"/>
  <c r="CJ120" i="1"/>
  <c r="BT99" i="1"/>
  <c r="BT120" i="1"/>
  <c r="BU65" i="1"/>
  <c r="BP152" i="1"/>
  <c r="BS152" i="1"/>
  <c r="CJ90" i="1"/>
  <c r="BQ19" i="1"/>
  <c r="BT19" i="1"/>
  <c r="CJ19" i="1"/>
  <c r="BU100" i="1"/>
  <c r="BU66" i="1"/>
  <c r="BU56" i="1"/>
  <c r="BU34" i="1"/>
  <c r="BU155" i="1"/>
  <c r="BN242" i="1"/>
  <c r="BR252" i="1"/>
  <c r="BP252" i="1"/>
  <c r="BS252" i="1"/>
  <c r="BV86" i="1"/>
  <c r="CK86" i="1" s="1"/>
  <c r="CL86" i="1" s="1"/>
  <c r="BU114" i="1"/>
  <c r="CJ122" i="1"/>
  <c r="BU89" i="1"/>
  <c r="BQ122" i="1"/>
  <c r="BT122" i="1"/>
  <c r="BV159" i="1"/>
  <c r="CK159" i="1" s="1"/>
  <c r="CL159" i="1" s="1"/>
  <c r="BU109" i="1"/>
  <c r="BU118" i="1"/>
  <c r="BU119" i="1"/>
  <c r="BU37" i="1"/>
  <c r="CJ54" i="1"/>
  <c r="BT54" i="1"/>
  <c r="CJ12" i="1"/>
  <c r="BS110" i="1"/>
  <c r="BP110" i="1"/>
  <c r="BV60" i="1"/>
  <c r="BU60" i="1" s="1"/>
  <c r="BV21" i="1"/>
  <c r="BU21" i="1" s="1"/>
  <c r="BV39" i="1"/>
  <c r="BU39" i="1" s="1"/>
  <c r="AE26" i="5"/>
  <c r="AF23" i="5"/>
  <c r="AF12" i="5"/>
  <c r="V91" i="4"/>
  <c r="AJ90" i="4"/>
  <c r="V82" i="4"/>
  <c r="AJ82" i="4" s="1"/>
  <c r="BS153" i="1"/>
  <c r="BP153" i="1"/>
  <c r="BV84" i="1"/>
  <c r="CK84" i="1" s="1"/>
  <c r="CL84" i="1" s="1"/>
  <c r="BW87" i="1"/>
  <c r="BW59" i="1"/>
  <c r="BW10" i="1"/>
  <c r="BV68" i="1"/>
  <c r="BW68" i="1" s="1"/>
  <c r="BW13" i="1"/>
  <c r="BW58" i="1"/>
  <c r="BV161" i="1"/>
  <c r="BW161" i="1" s="1"/>
  <c r="BV125" i="1"/>
  <c r="BW125" i="1" s="1"/>
  <c r="BV104" i="1"/>
  <c r="BW104" i="1" s="1"/>
  <c r="BV51" i="1"/>
  <c r="BU51" i="1" s="1"/>
  <c r="BQ12" i="1"/>
  <c r="BT12" i="1"/>
  <c r="BW37" i="1"/>
  <c r="BW108" i="1"/>
  <c r="BV157" i="1"/>
  <c r="BW157" i="1" s="1"/>
  <c r="BV92" i="1"/>
  <c r="BW92" i="1" s="1"/>
  <c r="BV95" i="1"/>
  <c r="BW95" i="1" s="1"/>
  <c r="BW96" i="1"/>
  <c r="BV35" i="1"/>
  <c r="CK35" i="1" s="1"/>
  <c r="CL35" i="1" s="1"/>
  <c r="BU41" i="1"/>
  <c r="BU13" i="1"/>
  <c r="BU108" i="1"/>
  <c r="BU10" i="1"/>
  <c r="BU87" i="1"/>
  <c r="BU15" i="1"/>
  <c r="BU96" i="1"/>
  <c r="BU123" i="1"/>
  <c r="BU59" i="1"/>
  <c r="BU111" i="1"/>
  <c r="BU58" i="1"/>
  <c r="BU102" i="1"/>
  <c r="BR232" i="1"/>
  <c r="BP232" i="1"/>
  <c r="BS232" i="1"/>
  <c r="BV158" i="1"/>
  <c r="BW158" i="1" s="1"/>
  <c r="CJ243" i="1"/>
  <c r="CJ223" i="1"/>
  <c r="BN224" i="1"/>
  <c r="BO224" i="1" s="1"/>
  <c r="BR224" i="1" s="1"/>
  <c r="CI224" i="1"/>
  <c r="BN254" i="1"/>
  <c r="BO254" i="1" s="1"/>
  <c r="BR254" i="1" s="1"/>
  <c r="CI254" i="1"/>
  <c r="BN236" i="1"/>
  <c r="BO236" i="1" s="1"/>
  <c r="BR236" i="1" s="1"/>
  <c r="CI236" i="1"/>
  <c r="BN163" i="1"/>
  <c r="BO163" i="1" s="1"/>
  <c r="BR163" i="1" s="1"/>
  <c r="CI163" i="1"/>
  <c r="BN177" i="1"/>
  <c r="BO177" i="1" s="1"/>
  <c r="BR177" i="1" s="1"/>
  <c r="CI177" i="1"/>
  <c r="BN244" i="1"/>
  <c r="BO244" i="1" s="1"/>
  <c r="BR244" i="1" s="1"/>
  <c r="CI244" i="1"/>
  <c r="BN187" i="1"/>
  <c r="BO187" i="1" s="1"/>
  <c r="CI187" i="1"/>
  <c r="CJ253" i="1"/>
  <c r="CJ233" i="1"/>
  <c r="CJ162" i="1"/>
  <c r="BQ243" i="1"/>
  <c r="BT243" i="1"/>
  <c r="BO234" i="1"/>
  <c r="BR234" i="1" s="1"/>
  <c r="BQ223" i="1"/>
  <c r="BT223" i="1"/>
  <c r="BN235" i="1"/>
  <c r="BQ233" i="1"/>
  <c r="BT233" i="1"/>
  <c r="BQ162" i="1"/>
  <c r="BT162" i="1"/>
  <c r="BT253" i="1"/>
  <c r="BH178" i="1"/>
  <c r="BH255" i="1"/>
  <c r="BH237" i="1"/>
  <c r="BH245" i="1"/>
  <c r="BH164" i="1"/>
  <c r="BH188" i="1"/>
  <c r="BH225" i="1"/>
  <c r="AE37" i="5"/>
  <c r="AE68" i="5"/>
  <c r="AG68" i="5" s="1"/>
  <c r="AW68" i="5" s="1"/>
  <c r="AE29" i="5"/>
  <c r="AF20" i="5"/>
  <c r="AI88" i="4"/>
  <c r="AB87" i="4"/>
  <c r="AA87" i="4" s="1"/>
  <c r="AC87" i="4" s="1"/>
  <c r="AB83" i="4"/>
  <c r="AA83" i="4" s="1"/>
  <c r="AC83" i="4" s="1"/>
  <c r="V84" i="4"/>
  <c r="Z84" i="4" s="1"/>
  <c r="X84" i="4"/>
  <c r="AE35" i="5"/>
  <c r="AI92" i="4"/>
  <c r="AV68" i="5"/>
  <c r="AF10" i="5"/>
  <c r="AH12" i="5"/>
  <c r="AJ12" i="5" s="1"/>
  <c r="AN12" i="5" s="1"/>
  <c r="V92" i="4"/>
  <c r="Z92" i="4" s="1"/>
  <c r="X92" i="4"/>
  <c r="S89" i="4"/>
  <c r="T89" i="4" s="1"/>
  <c r="R89" i="4"/>
  <c r="AB86" i="4"/>
  <c r="AK86" i="4" s="1"/>
  <c r="S85" i="4"/>
  <c r="T85" i="4" s="1"/>
  <c r="AI85" i="4"/>
  <c r="R85" i="4"/>
  <c r="V88" i="4"/>
  <c r="Z88" i="4" s="1"/>
  <c r="X88" i="4"/>
  <c r="AB90" i="4"/>
  <c r="AJ86" i="4"/>
  <c r="AJ21" i="5"/>
  <c r="AX21" i="5" s="1"/>
  <c r="AL21" i="5"/>
  <c r="AJ11" i="5"/>
  <c r="AX11" i="5" s="1"/>
  <c r="AL11" i="5"/>
  <c r="AJ23" i="5"/>
  <c r="AX23" i="5" s="1"/>
  <c r="AL23" i="5"/>
  <c r="AJ19" i="5"/>
  <c r="AX19" i="5" s="1"/>
  <c r="AL19" i="5"/>
  <c r="AF34" i="5"/>
  <c r="AG34" i="5"/>
  <c r="AH34" i="5" s="1"/>
  <c r="AG24" i="5"/>
  <c r="AW24" i="5" s="1"/>
  <c r="AF24" i="5"/>
  <c r="AW21" i="5"/>
  <c r="AH16" i="5"/>
  <c r="AW11" i="5"/>
  <c r="AG29" i="5"/>
  <c r="AW29" i="5" s="1"/>
  <c r="AF29" i="5"/>
  <c r="AF36" i="5"/>
  <c r="AG36" i="5"/>
  <c r="AH36" i="5" s="1"/>
  <c r="AF32" i="5"/>
  <c r="AG32" i="5"/>
  <c r="AH32" i="5" s="1"/>
  <c r="AF28" i="5"/>
  <c r="AG28" i="5"/>
  <c r="AH28" i="5" s="1"/>
  <c r="AG14" i="5"/>
  <c r="AW14" i="5" s="1"/>
  <c r="AF14" i="5"/>
  <c r="AF15" i="5"/>
  <c r="AG15" i="5"/>
  <c r="AH15" i="5" s="1"/>
  <c r="AH22" i="5"/>
  <c r="AH10" i="5"/>
  <c r="AW23" i="5"/>
  <c r="AW19" i="5"/>
  <c r="AH33" i="5"/>
  <c r="AH20" i="5"/>
  <c r="AL12" i="5"/>
  <c r="AF30" i="5"/>
  <c r="AG30" i="5"/>
  <c r="AH30" i="5" s="1"/>
  <c r="AF17" i="5"/>
  <c r="AG17" i="5"/>
  <c r="AH17" i="5" s="1"/>
  <c r="AF9" i="5"/>
  <c r="AG9" i="5"/>
  <c r="AH9" i="5" s="1"/>
  <c r="AF68" i="5"/>
  <c r="BW107" i="1" l="1"/>
  <c r="BU107" i="1"/>
  <c r="BV106" i="1"/>
  <c r="BU106" i="1" s="1"/>
  <c r="BU160" i="1"/>
  <c r="CJ126" i="1"/>
  <c r="BU40" i="1"/>
  <c r="CK40" i="1"/>
  <c r="CL40" i="1" s="1"/>
  <c r="CK160" i="1"/>
  <c r="CL160" i="1" s="1"/>
  <c r="BQ126" i="1"/>
  <c r="BT126" i="1"/>
  <c r="BT222" i="1"/>
  <c r="BV222" i="1" s="1"/>
  <c r="BW222" i="1" s="1"/>
  <c r="BQ222" i="1"/>
  <c r="CJ222" i="1"/>
  <c r="BV18" i="1"/>
  <c r="BU18" i="1" s="1"/>
  <c r="AD87" i="4"/>
  <c r="AW13" i="5"/>
  <c r="AL13" i="5"/>
  <c r="Z82" i="4"/>
  <c r="AB82" i="4" s="1"/>
  <c r="BV88" i="1"/>
  <c r="CK88" i="1" s="1"/>
  <c r="CL88" i="1" s="1"/>
  <c r="BU49" i="1"/>
  <c r="BW49" i="1"/>
  <c r="BT131" i="1"/>
  <c r="BV131" i="1" s="1"/>
  <c r="BU131" i="1" s="1"/>
  <c r="BR176" i="1"/>
  <c r="BS176" i="1"/>
  <c r="BP176" i="1"/>
  <c r="CJ131" i="1"/>
  <c r="BU64" i="1"/>
  <c r="BW64" i="1"/>
  <c r="CJ204" i="1"/>
  <c r="CK143" i="1"/>
  <c r="CL143" i="1" s="1"/>
  <c r="CJ211" i="1"/>
  <c r="BW143" i="1"/>
  <c r="BU105" i="1"/>
  <c r="BT211" i="1"/>
  <c r="BV11" i="1"/>
  <c r="CJ214" i="1"/>
  <c r="BU117" i="1"/>
  <c r="BW117" i="1"/>
  <c r="BU62" i="1"/>
  <c r="BW98" i="1"/>
  <c r="BW62" i="1"/>
  <c r="CJ200" i="1"/>
  <c r="CJ63" i="1"/>
  <c r="CK220" i="1"/>
  <c r="CL220" i="1" s="1"/>
  <c r="BU42" i="1"/>
  <c r="BW220" i="1"/>
  <c r="BR175" i="1"/>
  <c r="BS175" i="1"/>
  <c r="BP175" i="1"/>
  <c r="BQ175" i="1" s="1"/>
  <c r="BV124" i="1"/>
  <c r="BU124" i="1" s="1"/>
  <c r="BU113" i="1"/>
  <c r="BT186" i="1"/>
  <c r="BV186" i="1" s="1"/>
  <c r="BW186" i="1" s="1"/>
  <c r="BW207" i="1"/>
  <c r="BW22" i="1"/>
  <c r="BT63" i="1"/>
  <c r="BV63" i="1" s="1"/>
  <c r="CK63" i="1" s="1"/>
  <c r="CL63" i="1" s="1"/>
  <c r="CK22" i="1"/>
  <c r="CL22" i="1" s="1"/>
  <c r="BQ200" i="1"/>
  <c r="BT200" i="1"/>
  <c r="CK26" i="1"/>
  <c r="CL26" i="1" s="1"/>
  <c r="CJ186" i="1"/>
  <c r="BV23" i="1"/>
  <c r="BU23" i="1" s="1"/>
  <c r="CJ24" i="1"/>
  <c r="BW25" i="1"/>
  <c r="BW209" i="1"/>
  <c r="AF31" i="5"/>
  <c r="AG31" i="5"/>
  <c r="CK21" i="1"/>
  <c r="CL21" i="1" s="1"/>
  <c r="CK60" i="1"/>
  <c r="CL60" i="1" s="1"/>
  <c r="CK85" i="1"/>
  <c r="CL85" i="1" s="1"/>
  <c r="AG25" i="5"/>
  <c r="AF25" i="5"/>
  <c r="BW199" i="1"/>
  <c r="CK71" i="1"/>
  <c r="CL71" i="1" s="1"/>
  <c r="BV29" i="1"/>
  <c r="BU29" i="1" s="1"/>
  <c r="CK25" i="1"/>
  <c r="CL25" i="1" s="1"/>
  <c r="BV69" i="1"/>
  <c r="CK69" i="1" s="1"/>
  <c r="CL69" i="1" s="1"/>
  <c r="CK209" i="1"/>
  <c r="CL209" i="1" s="1"/>
  <c r="CK68" i="1"/>
  <c r="CL68" i="1" s="1"/>
  <c r="CK104" i="1"/>
  <c r="CL104" i="1" s="1"/>
  <c r="BV203" i="1"/>
  <c r="BU203" i="1" s="1"/>
  <c r="BV33" i="1"/>
  <c r="BU33" i="1" s="1"/>
  <c r="CK113" i="1"/>
  <c r="CL113" i="1" s="1"/>
  <c r="CK199" i="1"/>
  <c r="CL199" i="1" s="1"/>
  <c r="CK115" i="1"/>
  <c r="CL115" i="1" s="1"/>
  <c r="CK95" i="1"/>
  <c r="CL95" i="1" s="1"/>
  <c r="BU98" i="1"/>
  <c r="CK42" i="1"/>
  <c r="CL42" i="1" s="1"/>
  <c r="BW127" i="1"/>
  <c r="BW133" i="1"/>
  <c r="BW138" i="1"/>
  <c r="BW129" i="1"/>
  <c r="BW148" i="1"/>
  <c r="CK105" i="1"/>
  <c r="CL105" i="1" s="1"/>
  <c r="CK125" i="1"/>
  <c r="CL125" i="1" s="1"/>
  <c r="BW149" i="1"/>
  <c r="BQ204" i="1"/>
  <c r="BT204" i="1"/>
  <c r="BV54" i="1"/>
  <c r="CK54" i="1" s="1"/>
  <c r="CL54" i="1" s="1"/>
  <c r="BV19" i="1"/>
  <c r="BW19" i="1" s="1"/>
  <c r="CK161" i="1"/>
  <c r="CL161" i="1" s="1"/>
  <c r="CK47" i="1"/>
  <c r="CL47" i="1" s="1"/>
  <c r="BQ214" i="1"/>
  <c r="BT214" i="1"/>
  <c r="CK158" i="1"/>
  <c r="CL158" i="1" s="1"/>
  <c r="CK157" i="1"/>
  <c r="CL157" i="1" s="1"/>
  <c r="BV99" i="1"/>
  <c r="CK99" i="1" s="1"/>
  <c r="CL99" i="1" s="1"/>
  <c r="CK174" i="1"/>
  <c r="CL174" i="1" s="1"/>
  <c r="CK127" i="1"/>
  <c r="CL127" i="1" s="1"/>
  <c r="CK133" i="1"/>
  <c r="CL133" i="1" s="1"/>
  <c r="BV82" i="1"/>
  <c r="BU82" i="1" s="1"/>
  <c r="CK138" i="1"/>
  <c r="CL138" i="1" s="1"/>
  <c r="CK51" i="1"/>
  <c r="CL51" i="1" s="1"/>
  <c r="CK129" i="1"/>
  <c r="CL129" i="1" s="1"/>
  <c r="CK92" i="1"/>
  <c r="CL92" i="1" s="1"/>
  <c r="CK148" i="1"/>
  <c r="CL148" i="1" s="1"/>
  <c r="CK149" i="1"/>
  <c r="CL149" i="1" s="1"/>
  <c r="AN11" i="5"/>
  <c r="BW26" i="1"/>
  <c r="CK16" i="1"/>
  <c r="CL16" i="1" s="1"/>
  <c r="BV76" i="1"/>
  <c r="CK207" i="1"/>
  <c r="CL207" i="1" s="1"/>
  <c r="CK90" i="1"/>
  <c r="CL90" i="1" s="1"/>
  <c r="CK43" i="1"/>
  <c r="CL43" i="1" s="1"/>
  <c r="CK154" i="1"/>
  <c r="CL154" i="1" s="1"/>
  <c r="BW71" i="1"/>
  <c r="CK39" i="1"/>
  <c r="CL39" i="1" s="1"/>
  <c r="BT24" i="1"/>
  <c r="BV120" i="1"/>
  <c r="CK120" i="1" s="1"/>
  <c r="CL120" i="1" s="1"/>
  <c r="CJ152" i="1"/>
  <c r="BQ152" i="1"/>
  <c r="BT152" i="1"/>
  <c r="BO242" i="1"/>
  <c r="BR242" i="1" s="1"/>
  <c r="BQ252" i="1"/>
  <c r="BT252" i="1"/>
  <c r="CJ252" i="1"/>
  <c r="BW86" i="1"/>
  <c r="BU86" i="1"/>
  <c r="BV122" i="1"/>
  <c r="CK122" i="1" s="1"/>
  <c r="CL122" i="1" s="1"/>
  <c r="BU125" i="1"/>
  <c r="BW159" i="1"/>
  <c r="BU159" i="1"/>
  <c r="BU154" i="1"/>
  <c r="BU68" i="1"/>
  <c r="BU47" i="1"/>
  <c r="BU157" i="1"/>
  <c r="BU161" i="1"/>
  <c r="BU104" i="1"/>
  <c r="BU43" i="1"/>
  <c r="CJ110" i="1"/>
  <c r="BW21" i="1"/>
  <c r="BU95" i="1"/>
  <c r="BW39" i="1"/>
  <c r="AH29" i="5"/>
  <c r="BW51" i="1"/>
  <c r="BW115" i="1"/>
  <c r="BQ153" i="1"/>
  <c r="BT153" i="1"/>
  <c r="AG26" i="5"/>
  <c r="AF26" i="5"/>
  <c r="BW84" i="1"/>
  <c r="BU84" i="1"/>
  <c r="CJ153" i="1"/>
  <c r="Z91" i="4"/>
  <c r="AB91" i="4" s="1"/>
  <c r="AA91" i="4" s="1"/>
  <c r="AC91" i="4" s="1"/>
  <c r="AJ91" i="4"/>
  <c r="BW60" i="1"/>
  <c r="BQ110" i="1"/>
  <c r="BT110" i="1"/>
  <c r="BU16" i="1"/>
  <c r="BV12" i="1"/>
  <c r="BU12" i="1" s="1"/>
  <c r="BW90" i="1"/>
  <c r="BU92" i="1"/>
  <c r="BW35" i="1"/>
  <c r="BU85" i="1"/>
  <c r="BU35" i="1"/>
  <c r="BQ232" i="1"/>
  <c r="CJ232" i="1"/>
  <c r="BT232" i="1"/>
  <c r="BU158" i="1"/>
  <c r="BN164" i="1"/>
  <c r="BO164" i="1" s="1"/>
  <c r="BR164" i="1" s="1"/>
  <c r="CI164" i="1"/>
  <c r="BN237" i="1"/>
  <c r="BO237" i="1" s="1"/>
  <c r="BR237" i="1" s="1"/>
  <c r="CI237" i="1"/>
  <c r="BN178" i="1"/>
  <c r="BO178" i="1" s="1"/>
  <c r="BR178" i="1" s="1"/>
  <c r="CI178" i="1"/>
  <c r="BV162" i="1"/>
  <c r="CK162" i="1" s="1"/>
  <c r="CL162" i="1" s="1"/>
  <c r="BV233" i="1"/>
  <c r="CK233" i="1" s="1"/>
  <c r="CL233" i="1" s="1"/>
  <c r="BV223" i="1"/>
  <c r="CK223" i="1" s="1"/>
  <c r="CL223" i="1" s="1"/>
  <c r="BU174" i="1"/>
  <c r="BN225" i="1"/>
  <c r="BO225" i="1" s="1"/>
  <c r="CI225" i="1"/>
  <c r="BN188" i="1"/>
  <c r="BO188" i="1" s="1"/>
  <c r="BR188" i="1" s="1"/>
  <c r="CI188" i="1"/>
  <c r="BN245" i="1"/>
  <c r="BO245" i="1" s="1"/>
  <c r="BR245" i="1" s="1"/>
  <c r="CI245" i="1"/>
  <c r="BN255" i="1"/>
  <c r="BO255" i="1" s="1"/>
  <c r="BR255" i="1" s="1"/>
  <c r="CI255" i="1"/>
  <c r="BV253" i="1"/>
  <c r="CK253" i="1" s="1"/>
  <c r="CL253" i="1" s="1"/>
  <c r="BV243" i="1"/>
  <c r="CK243" i="1" s="1"/>
  <c r="CL243" i="1" s="1"/>
  <c r="BP177" i="1"/>
  <c r="BS177" i="1"/>
  <c r="BO235" i="1"/>
  <c r="BR235" i="1" s="1"/>
  <c r="BP163" i="1"/>
  <c r="BS163" i="1"/>
  <c r="BS254" i="1"/>
  <c r="BP254" i="1"/>
  <c r="BP224" i="1"/>
  <c r="BS224" i="1"/>
  <c r="BR187" i="1"/>
  <c r="BP187" i="1"/>
  <c r="BS187" i="1"/>
  <c r="BS244" i="1"/>
  <c r="BP244" i="1"/>
  <c r="BQ244" i="1" s="1"/>
  <c r="BP234" i="1"/>
  <c r="BQ234" i="1" s="1"/>
  <c r="BS234" i="1"/>
  <c r="BP236" i="1"/>
  <c r="BQ236" i="1" s="1"/>
  <c r="BS236" i="1"/>
  <c r="BH238" i="1"/>
  <c r="BH179" i="1"/>
  <c r="BH226" i="1"/>
  <c r="BH189" i="1"/>
  <c r="BH165" i="1"/>
  <c r="BH246" i="1"/>
  <c r="BH256" i="1"/>
  <c r="AA82" i="4"/>
  <c r="AC82" i="4" s="1"/>
  <c r="AD82" i="4"/>
  <c r="AL86" i="4"/>
  <c r="AH68" i="5"/>
  <c r="AL68" i="5" s="1"/>
  <c r="AN13" i="5"/>
  <c r="AP13" i="5" s="1"/>
  <c r="AO13" i="5" s="1"/>
  <c r="AI89" i="4"/>
  <c r="AJ92" i="4"/>
  <c r="AK82" i="4"/>
  <c r="AL82" i="4" s="1"/>
  <c r="AD83" i="4"/>
  <c r="AF37" i="5"/>
  <c r="AG37" i="5"/>
  <c r="V89" i="4"/>
  <c r="Z89" i="4" s="1"/>
  <c r="X89" i="4"/>
  <c r="AW30" i="5"/>
  <c r="AA90" i="4"/>
  <c r="AC90" i="4" s="1"/>
  <c r="AD90" i="4"/>
  <c r="AG35" i="5"/>
  <c r="AF35" i="5"/>
  <c r="AK83" i="4"/>
  <c r="AL83" i="4" s="1"/>
  <c r="AW28" i="5"/>
  <c r="AW32" i="5"/>
  <c r="AW36" i="5"/>
  <c r="V85" i="4"/>
  <c r="AJ85" i="4" s="1"/>
  <c r="X85" i="4"/>
  <c r="AA86" i="4"/>
  <c r="AC86" i="4" s="1"/>
  <c r="AD86" i="4"/>
  <c r="AB88" i="4"/>
  <c r="AA88" i="4" s="1"/>
  <c r="AC88" i="4" s="1"/>
  <c r="AB84" i="4"/>
  <c r="AA84" i="4" s="1"/>
  <c r="AC84" i="4" s="1"/>
  <c r="AK90" i="4"/>
  <c r="AL90" i="4" s="1"/>
  <c r="AJ88" i="4"/>
  <c r="AB92" i="4"/>
  <c r="AA92" i="4" s="1"/>
  <c r="AC92" i="4" s="1"/>
  <c r="AJ84" i="4"/>
  <c r="AK91" i="4"/>
  <c r="AL91" i="4" s="1"/>
  <c r="AK87" i="4"/>
  <c r="AL87" i="4" s="1"/>
  <c r="AW9" i="5"/>
  <c r="AW17" i="5"/>
  <c r="AX12" i="5"/>
  <c r="AW15" i="5"/>
  <c r="AN19" i="5"/>
  <c r="AP19" i="5" s="1"/>
  <c r="AO19" i="5" s="1"/>
  <c r="AN23" i="5"/>
  <c r="AP23" i="5" s="1"/>
  <c r="AO23" i="5" s="1"/>
  <c r="AN21" i="5"/>
  <c r="AP21" i="5" s="1"/>
  <c r="AO21" i="5" s="1"/>
  <c r="AJ34" i="5"/>
  <c r="AX34" i="5" s="1"/>
  <c r="AL34" i="5"/>
  <c r="AJ15" i="5"/>
  <c r="AX15" i="5" s="1"/>
  <c r="AL15" i="5"/>
  <c r="AJ9" i="5"/>
  <c r="AX9" i="5" s="1"/>
  <c r="AL9" i="5"/>
  <c r="AJ30" i="5"/>
  <c r="AX30" i="5" s="1"/>
  <c r="AL30" i="5"/>
  <c r="AL20" i="5"/>
  <c r="AJ20" i="5"/>
  <c r="AN20" i="5" s="1"/>
  <c r="AL33" i="5"/>
  <c r="AJ33" i="5"/>
  <c r="AN33" i="5" s="1"/>
  <c r="AL10" i="5"/>
  <c r="AJ10" i="5"/>
  <c r="AN10" i="5" s="1"/>
  <c r="AH14" i="5"/>
  <c r="AL16" i="5"/>
  <c r="AJ16" i="5"/>
  <c r="AN16" i="5" s="1"/>
  <c r="AH24" i="5"/>
  <c r="AW34" i="5"/>
  <c r="AP11" i="5"/>
  <c r="AO11" i="5" s="1"/>
  <c r="AJ17" i="5"/>
  <c r="AX17" i="5" s="1"/>
  <c r="AL17" i="5"/>
  <c r="AP12" i="5"/>
  <c r="AO12" i="5" s="1"/>
  <c r="AL22" i="5"/>
  <c r="AJ22" i="5"/>
  <c r="AN22" i="5" s="1"/>
  <c r="AJ28" i="5"/>
  <c r="AX28" i="5" s="1"/>
  <c r="AL28" i="5"/>
  <c r="AJ32" i="5"/>
  <c r="AN32" i="5" s="1"/>
  <c r="AL32" i="5"/>
  <c r="AJ36" i="5"/>
  <c r="AX36" i="5" s="1"/>
  <c r="AL36" i="5"/>
  <c r="AL29" i="5"/>
  <c r="AJ29" i="5"/>
  <c r="AN29" i="5" s="1"/>
  <c r="BU76" i="1" l="1"/>
  <c r="BW76" i="1"/>
  <c r="CK106" i="1"/>
  <c r="CL106" i="1" s="1"/>
  <c r="BW106" i="1"/>
  <c r="CK222" i="1"/>
  <c r="CL222" i="1" s="1"/>
  <c r="BV126" i="1"/>
  <c r="BU126" i="1" s="1"/>
  <c r="BU222" i="1"/>
  <c r="CK18" i="1"/>
  <c r="CL18" i="1" s="1"/>
  <c r="BW18" i="1"/>
  <c r="AJ68" i="5"/>
  <c r="AN68" i="5" s="1"/>
  <c r="AP68" i="5" s="1"/>
  <c r="AO68" i="5" s="1"/>
  <c r="AJ89" i="4"/>
  <c r="BW88" i="1"/>
  <c r="BU88" i="1"/>
  <c r="CJ176" i="1"/>
  <c r="CK131" i="1"/>
  <c r="CL131" i="1" s="1"/>
  <c r="BW131" i="1"/>
  <c r="BQ176" i="1"/>
  <c r="BT176" i="1"/>
  <c r="BV176" i="1" s="1"/>
  <c r="CK176" i="1" s="1"/>
  <c r="CL176" i="1" s="1"/>
  <c r="BV211" i="1"/>
  <c r="BU211" i="1" s="1"/>
  <c r="BT175" i="1"/>
  <c r="BV175" i="1" s="1"/>
  <c r="CK175" i="1" s="1"/>
  <c r="CL175" i="1" s="1"/>
  <c r="CK11" i="1"/>
  <c r="CL11" i="1" s="1"/>
  <c r="BU11" i="1"/>
  <c r="BW11" i="1"/>
  <c r="BU186" i="1"/>
  <c r="CK186" i="1"/>
  <c r="CL186" i="1" s="1"/>
  <c r="BU54" i="1"/>
  <c r="BW54" i="1"/>
  <c r="CJ175" i="1"/>
  <c r="CK203" i="1"/>
  <c r="CL203" i="1" s="1"/>
  <c r="BW124" i="1"/>
  <c r="CK124" i="1"/>
  <c r="CL124" i="1" s="1"/>
  <c r="BU19" i="1"/>
  <c r="BV200" i="1"/>
  <c r="BU200" i="1" s="1"/>
  <c r="BW33" i="1"/>
  <c r="BV252" i="1"/>
  <c r="BW252" i="1" s="1"/>
  <c r="AD92" i="4"/>
  <c r="CK23" i="1"/>
  <c r="CL23" i="1" s="1"/>
  <c r="BV24" i="1"/>
  <c r="BU24" i="1" s="1"/>
  <c r="BW99" i="1"/>
  <c r="BU99" i="1"/>
  <c r="AW31" i="5"/>
  <c r="AH31" i="5"/>
  <c r="CK76" i="1"/>
  <c r="CL76" i="1" s="1"/>
  <c r="BW82" i="1"/>
  <c r="BW29" i="1"/>
  <c r="BW63" i="1"/>
  <c r="BU63" i="1"/>
  <c r="CK12" i="1"/>
  <c r="CL12" i="1" s="1"/>
  <c r="CK82" i="1"/>
  <c r="CL82" i="1" s="1"/>
  <c r="CK29" i="1"/>
  <c r="CL29" i="1" s="1"/>
  <c r="BV214" i="1"/>
  <c r="BU214" i="1" s="1"/>
  <c r="CK19" i="1"/>
  <c r="CL19" i="1" s="1"/>
  <c r="BV204" i="1"/>
  <c r="BU204" i="1" s="1"/>
  <c r="CK33" i="1"/>
  <c r="CL33" i="1" s="1"/>
  <c r="BW203" i="1"/>
  <c r="BW69" i="1"/>
  <c r="BU69" i="1"/>
  <c r="AH25" i="5"/>
  <c r="AW25" i="5"/>
  <c r="BW23" i="1"/>
  <c r="BW120" i="1"/>
  <c r="BU120" i="1"/>
  <c r="BV152" i="1"/>
  <c r="BW152" i="1" s="1"/>
  <c r="BS242" i="1"/>
  <c r="BP242" i="1"/>
  <c r="BQ242" i="1" s="1"/>
  <c r="BW122" i="1"/>
  <c r="BU122" i="1"/>
  <c r="BV110" i="1"/>
  <c r="CK110" i="1" s="1"/>
  <c r="CL110" i="1" s="1"/>
  <c r="BV153" i="1"/>
  <c r="CK153" i="1" s="1"/>
  <c r="CL153" i="1" s="1"/>
  <c r="AD88" i="4"/>
  <c r="AD91" i="4"/>
  <c r="AH26" i="5"/>
  <c r="AW26" i="5"/>
  <c r="BW233" i="1"/>
  <c r="BW223" i="1"/>
  <c r="BV232" i="1"/>
  <c r="BW232" i="1" s="1"/>
  <c r="BW243" i="1"/>
  <c r="BW253" i="1"/>
  <c r="BW12" i="1"/>
  <c r="BW162" i="1"/>
  <c r="BR225" i="1"/>
  <c r="BN256" i="1"/>
  <c r="BO256" i="1" s="1"/>
  <c r="BR256" i="1" s="1"/>
  <c r="CI256" i="1"/>
  <c r="BN189" i="1"/>
  <c r="BO189" i="1" s="1"/>
  <c r="BR189" i="1" s="1"/>
  <c r="CI189" i="1"/>
  <c r="BN165" i="1"/>
  <c r="BO165" i="1" s="1"/>
  <c r="BR165" i="1" s="1"/>
  <c r="CI165" i="1"/>
  <c r="BN179" i="1"/>
  <c r="BO179" i="1" s="1"/>
  <c r="BR179" i="1" s="1"/>
  <c r="CI179" i="1"/>
  <c r="BN246" i="1"/>
  <c r="BO246" i="1" s="1"/>
  <c r="BR246" i="1" s="1"/>
  <c r="CI246" i="1"/>
  <c r="BN226" i="1"/>
  <c r="BO226" i="1" s="1"/>
  <c r="BR226" i="1" s="1"/>
  <c r="CI226" i="1"/>
  <c r="BN238" i="1"/>
  <c r="BO238" i="1" s="1"/>
  <c r="BR238" i="1" s="1"/>
  <c r="CI238" i="1"/>
  <c r="CJ244" i="1"/>
  <c r="BU243" i="1"/>
  <c r="BU253" i="1"/>
  <c r="BU223" i="1"/>
  <c r="BU233" i="1"/>
  <c r="BU162" i="1"/>
  <c r="CJ163" i="1"/>
  <c r="CJ236" i="1"/>
  <c r="CJ254" i="1"/>
  <c r="CJ234" i="1"/>
  <c r="CJ187" i="1"/>
  <c r="CJ224" i="1"/>
  <c r="CJ177" i="1"/>
  <c r="BQ163" i="1"/>
  <c r="BT163" i="1"/>
  <c r="BS237" i="1"/>
  <c r="BP237" i="1"/>
  <c r="BQ237" i="1" s="1"/>
  <c r="BP225" i="1"/>
  <c r="BQ225" i="1" s="1"/>
  <c r="BS225" i="1"/>
  <c r="BQ187" i="1"/>
  <c r="BT187" i="1"/>
  <c r="BS255" i="1"/>
  <c r="BP255" i="1"/>
  <c r="BS164" i="1"/>
  <c r="BP164" i="1"/>
  <c r="BQ224" i="1"/>
  <c r="BT224" i="1"/>
  <c r="BQ254" i="1"/>
  <c r="BT254" i="1"/>
  <c r="BT236" i="1"/>
  <c r="BP235" i="1"/>
  <c r="BS235" i="1"/>
  <c r="BQ177" i="1"/>
  <c r="BT177" i="1"/>
  <c r="BS178" i="1"/>
  <c r="BP178" i="1"/>
  <c r="BP245" i="1"/>
  <c r="BS245" i="1"/>
  <c r="BP188" i="1"/>
  <c r="BS188" i="1"/>
  <c r="BT234" i="1"/>
  <c r="BT244" i="1"/>
  <c r="BH257" i="1"/>
  <c r="BH247" i="1"/>
  <c r="BH239" i="1"/>
  <c r="BH227" i="1"/>
  <c r="BH180" i="1"/>
  <c r="BH190" i="1"/>
  <c r="BH166" i="1"/>
  <c r="AK92" i="4"/>
  <c r="AL92" i="4" s="1"/>
  <c r="AW37" i="5"/>
  <c r="AH37" i="5"/>
  <c r="AB89" i="4"/>
  <c r="AA89" i="4" s="1"/>
  <c r="AC89" i="4" s="1"/>
  <c r="AN34" i="5"/>
  <c r="AD84" i="4"/>
  <c r="AX32" i="5"/>
  <c r="AY19" i="5"/>
  <c r="AZ19" i="5" s="1"/>
  <c r="AK84" i="4"/>
  <c r="AL84" i="4" s="1"/>
  <c r="AK88" i="4"/>
  <c r="AL88" i="4" s="1"/>
  <c r="Z85" i="4"/>
  <c r="AW35" i="5"/>
  <c r="AH35" i="5"/>
  <c r="AX16" i="5"/>
  <c r="AY11" i="5"/>
  <c r="AZ11" i="5" s="1"/>
  <c r="AQ11" i="5"/>
  <c r="AN9" i="5"/>
  <c r="AP9" i="5" s="1"/>
  <c r="AO9" i="5" s="1"/>
  <c r="AN15" i="5"/>
  <c r="AP15" i="5" s="1"/>
  <c r="AO15" i="5" s="1"/>
  <c r="AQ12" i="5"/>
  <c r="AQ19" i="5"/>
  <c r="AX22" i="5"/>
  <c r="AP29" i="5"/>
  <c r="AO29" i="5" s="1"/>
  <c r="AP10" i="5"/>
  <c r="AO10" i="5" s="1"/>
  <c r="AP33" i="5"/>
  <c r="AO33" i="5" s="1"/>
  <c r="AP20" i="5"/>
  <c r="AO20" i="5" s="1"/>
  <c r="AP32" i="5"/>
  <c r="AO32" i="5" s="1"/>
  <c r="AP22" i="5"/>
  <c r="AO22" i="5" s="1"/>
  <c r="AX29" i="5"/>
  <c r="AN36" i="5"/>
  <c r="AN28" i="5"/>
  <c r="AY12" i="5"/>
  <c r="AZ12" i="5" s="1"/>
  <c r="AN17" i="5"/>
  <c r="AY21" i="5"/>
  <c r="AZ21" i="5" s="1"/>
  <c r="AQ21" i="5"/>
  <c r="AY23" i="5"/>
  <c r="AZ23" i="5" s="1"/>
  <c r="AQ23" i="5"/>
  <c r="AY13" i="5"/>
  <c r="AZ13" i="5" s="1"/>
  <c r="AQ13" i="5"/>
  <c r="AL24" i="5"/>
  <c r="AJ24" i="5"/>
  <c r="AN24" i="5" s="1"/>
  <c r="AX10" i="5"/>
  <c r="AX33" i="5"/>
  <c r="AX20" i="5"/>
  <c r="AN30" i="5"/>
  <c r="AP34" i="5"/>
  <c r="AO34" i="5" s="1"/>
  <c r="AP16" i="5"/>
  <c r="AO16" i="5" s="1"/>
  <c r="AL14" i="5"/>
  <c r="AJ14" i="5"/>
  <c r="AN14" i="5" s="1"/>
  <c r="AX68" i="5"/>
  <c r="BW126" i="1" l="1"/>
  <c r="CK126" i="1"/>
  <c r="CL126" i="1" s="1"/>
  <c r="BU176" i="1"/>
  <c r="BW176" i="1"/>
  <c r="BW175" i="1"/>
  <c r="BU175" i="1"/>
  <c r="CK211" i="1"/>
  <c r="CL211" i="1" s="1"/>
  <c r="BW211" i="1"/>
  <c r="BW200" i="1"/>
  <c r="CK200" i="1"/>
  <c r="CL200" i="1" s="1"/>
  <c r="BW204" i="1"/>
  <c r="AJ25" i="5"/>
  <c r="AN25" i="5" s="1"/>
  <c r="AL25" i="5"/>
  <c r="CK204" i="1"/>
  <c r="CL204" i="1" s="1"/>
  <c r="BW24" i="1"/>
  <c r="CK252" i="1"/>
  <c r="CL252" i="1" s="1"/>
  <c r="BW214" i="1"/>
  <c r="CK152" i="1"/>
  <c r="CL152" i="1" s="1"/>
  <c r="CK24" i="1"/>
  <c r="CL24" i="1" s="1"/>
  <c r="AL31" i="5"/>
  <c r="AJ31" i="5"/>
  <c r="CK214" i="1"/>
  <c r="CL214" i="1" s="1"/>
  <c r="CK232" i="1"/>
  <c r="CL232" i="1" s="1"/>
  <c r="BU252" i="1"/>
  <c r="BU152" i="1"/>
  <c r="CJ242" i="1"/>
  <c r="BT242" i="1"/>
  <c r="BW153" i="1"/>
  <c r="BU153" i="1"/>
  <c r="AQ34" i="5"/>
  <c r="AL26" i="5"/>
  <c r="AJ26" i="5"/>
  <c r="AN26" i="5" s="1"/>
  <c r="BW110" i="1"/>
  <c r="BU110" i="1"/>
  <c r="BU232" i="1"/>
  <c r="BT237" i="1"/>
  <c r="BT225" i="1"/>
  <c r="CJ235" i="1"/>
  <c r="CJ255" i="1"/>
  <c r="CJ225" i="1"/>
  <c r="BN227" i="1"/>
  <c r="BO227" i="1" s="1"/>
  <c r="BR227" i="1" s="1"/>
  <c r="CI227" i="1"/>
  <c r="BN239" i="1"/>
  <c r="BO239" i="1" s="1"/>
  <c r="BR239" i="1" s="1"/>
  <c r="CI239" i="1"/>
  <c r="BN247" i="1"/>
  <c r="BO247" i="1" s="1"/>
  <c r="BR247" i="1" s="1"/>
  <c r="CI247" i="1"/>
  <c r="BV244" i="1"/>
  <c r="CK244" i="1" s="1"/>
  <c r="CL244" i="1" s="1"/>
  <c r="BV254" i="1"/>
  <c r="CK254" i="1" s="1"/>
  <c r="CL254" i="1" s="1"/>
  <c r="BV224" i="1"/>
  <c r="CK224" i="1" s="1"/>
  <c r="CL224" i="1" s="1"/>
  <c r="BV187" i="1"/>
  <c r="CK187" i="1" s="1"/>
  <c r="CL187" i="1" s="1"/>
  <c r="BV163" i="1"/>
  <c r="CK163" i="1" s="1"/>
  <c r="CL163" i="1" s="1"/>
  <c r="BN190" i="1"/>
  <c r="BO190" i="1" s="1"/>
  <c r="BR190" i="1" s="1"/>
  <c r="CI190" i="1"/>
  <c r="BN166" i="1"/>
  <c r="BO166" i="1" s="1"/>
  <c r="BR166" i="1" s="1"/>
  <c r="CI166" i="1"/>
  <c r="BN180" i="1"/>
  <c r="BO180" i="1" s="1"/>
  <c r="BR180" i="1" s="1"/>
  <c r="CI180" i="1"/>
  <c r="BN257" i="1"/>
  <c r="BO257" i="1" s="1"/>
  <c r="BR257" i="1" s="1"/>
  <c r="CI257" i="1"/>
  <c r="BV234" i="1"/>
  <c r="CK234" i="1" s="1"/>
  <c r="CL234" i="1" s="1"/>
  <c r="CJ178" i="1"/>
  <c r="BV177" i="1"/>
  <c r="CK177" i="1" s="1"/>
  <c r="CL177" i="1" s="1"/>
  <c r="BV236" i="1"/>
  <c r="BW236" i="1" s="1"/>
  <c r="CJ164" i="1"/>
  <c r="CJ245" i="1"/>
  <c r="CJ188" i="1"/>
  <c r="BQ188" i="1"/>
  <c r="BT188" i="1"/>
  <c r="BQ245" i="1"/>
  <c r="BT245" i="1"/>
  <c r="BQ255" i="1"/>
  <c r="BT255" i="1"/>
  <c r="BS179" i="1"/>
  <c r="BP179" i="1"/>
  <c r="BP189" i="1"/>
  <c r="BS189" i="1"/>
  <c r="BS246" i="1"/>
  <c r="BP246" i="1"/>
  <c r="CJ237" i="1"/>
  <c r="BS238" i="1"/>
  <c r="BP238" i="1"/>
  <c r="BS226" i="1"/>
  <c r="BP226" i="1"/>
  <c r="BQ178" i="1"/>
  <c r="BT178" i="1"/>
  <c r="BQ235" i="1"/>
  <c r="BT235" i="1"/>
  <c r="BQ164" i="1"/>
  <c r="BT164" i="1"/>
  <c r="BS165" i="1"/>
  <c r="BP165" i="1"/>
  <c r="BQ165" i="1" s="1"/>
  <c r="BP256" i="1"/>
  <c r="BQ256" i="1" s="1"/>
  <c r="BS256" i="1"/>
  <c r="BH191" i="1"/>
  <c r="BH181" i="1"/>
  <c r="BH229" i="1"/>
  <c r="BH167" i="1"/>
  <c r="BH240" i="1"/>
  <c r="BH248" i="1"/>
  <c r="BH258" i="1"/>
  <c r="AD89" i="4"/>
  <c r="AK89" i="4"/>
  <c r="AL89" i="4" s="1"/>
  <c r="AQ33" i="5"/>
  <c r="AL37" i="5"/>
  <c r="AJ37" i="5"/>
  <c r="AY34" i="5"/>
  <c r="AZ34" i="5" s="1"/>
  <c r="AL35" i="5"/>
  <c r="AJ35" i="5"/>
  <c r="AX35" i="5" s="1"/>
  <c r="AQ29" i="5"/>
  <c r="AB85" i="4"/>
  <c r="AA85" i="4" s="1"/>
  <c r="AC85" i="4" s="1"/>
  <c r="AY9" i="5"/>
  <c r="AZ9" i="5" s="1"/>
  <c r="AQ10" i="5"/>
  <c r="AQ16" i="5"/>
  <c r="AX14" i="5"/>
  <c r="AQ9" i="5"/>
  <c r="AY16" i="5"/>
  <c r="AZ16" i="5" s="1"/>
  <c r="AX24" i="5"/>
  <c r="AQ20" i="5"/>
  <c r="AQ22" i="5"/>
  <c r="AY20" i="5"/>
  <c r="AZ20" i="5" s="1"/>
  <c r="AP14" i="5"/>
  <c r="AO14" i="5" s="1"/>
  <c r="AP24" i="5"/>
  <c r="AO24" i="5" s="1"/>
  <c r="AP30" i="5"/>
  <c r="AO30" i="5" s="1"/>
  <c r="AP36" i="5"/>
  <c r="AO36" i="5" s="1"/>
  <c r="AY33" i="5"/>
  <c r="AZ33" i="5" s="1"/>
  <c r="AY10" i="5"/>
  <c r="AZ10" i="5" s="1"/>
  <c r="AY29" i="5"/>
  <c r="AZ29" i="5" s="1"/>
  <c r="AY15" i="5"/>
  <c r="AZ15" i="5" s="1"/>
  <c r="AQ15" i="5"/>
  <c r="AP17" i="5"/>
  <c r="AO17" i="5" s="1"/>
  <c r="AP28" i="5"/>
  <c r="AO28" i="5" s="1"/>
  <c r="AY22" i="5"/>
  <c r="AZ22" i="5" s="1"/>
  <c r="AY32" i="5"/>
  <c r="AZ32" i="5" s="1"/>
  <c r="AQ32" i="5"/>
  <c r="AQ68" i="5"/>
  <c r="AY68" i="5"/>
  <c r="AZ68" i="5" s="1"/>
  <c r="AP25" i="5" l="1"/>
  <c r="AO25" i="5" s="1"/>
  <c r="AX31" i="5"/>
  <c r="AN31" i="5"/>
  <c r="AX26" i="5"/>
  <c r="AX25" i="5"/>
  <c r="CK236" i="1"/>
  <c r="CL236" i="1" s="1"/>
  <c r="BV242" i="1"/>
  <c r="BW242" i="1" s="1"/>
  <c r="AP26" i="5"/>
  <c r="AO26" i="5" s="1"/>
  <c r="BW224" i="1"/>
  <c r="BW234" i="1"/>
  <c r="BW177" i="1"/>
  <c r="BV225" i="1"/>
  <c r="BW225" i="1" s="1"/>
  <c r="BV237" i="1"/>
  <c r="BW237" i="1" s="1"/>
  <c r="BW163" i="1"/>
  <c r="BW254" i="1"/>
  <c r="BW187" i="1"/>
  <c r="BW244" i="1"/>
  <c r="BN258" i="1"/>
  <c r="BO258" i="1" s="1"/>
  <c r="CI258" i="1"/>
  <c r="BN167" i="1"/>
  <c r="BO167" i="1" s="1"/>
  <c r="BR167" i="1" s="1"/>
  <c r="CI167" i="1"/>
  <c r="BN181" i="1"/>
  <c r="BO181" i="1" s="1"/>
  <c r="CI181" i="1"/>
  <c r="BV235" i="1"/>
  <c r="BW235" i="1" s="1"/>
  <c r="BN240" i="1"/>
  <c r="BO240" i="1" s="1"/>
  <c r="CI240" i="1"/>
  <c r="BV164" i="1"/>
  <c r="CK164" i="1" s="1"/>
  <c r="CL164" i="1" s="1"/>
  <c r="BV178" i="1"/>
  <c r="BW178" i="1" s="1"/>
  <c r="BN248" i="1"/>
  <c r="BO248" i="1" s="1"/>
  <c r="BR248" i="1" s="1"/>
  <c r="CI248" i="1"/>
  <c r="BN229" i="1"/>
  <c r="BO229" i="1" s="1"/>
  <c r="BR229" i="1" s="1"/>
  <c r="CI229" i="1"/>
  <c r="BN191" i="1"/>
  <c r="BO191" i="1" s="1"/>
  <c r="CI191" i="1"/>
  <c r="BV255" i="1"/>
  <c r="BW255" i="1" s="1"/>
  <c r="BV245" i="1"/>
  <c r="BW245" i="1" s="1"/>
  <c r="BV188" i="1"/>
  <c r="CK188" i="1" s="1"/>
  <c r="CL188" i="1" s="1"/>
  <c r="BU236" i="1"/>
  <c r="BU177" i="1"/>
  <c r="BU234" i="1"/>
  <c r="BU163" i="1"/>
  <c r="BU187" i="1"/>
  <c r="BU224" i="1"/>
  <c r="BU254" i="1"/>
  <c r="BU244" i="1"/>
  <c r="CJ246" i="1"/>
  <c r="CJ179" i="1"/>
  <c r="CJ256" i="1"/>
  <c r="CJ165" i="1"/>
  <c r="CJ226" i="1"/>
  <c r="CJ189" i="1"/>
  <c r="BP239" i="1"/>
  <c r="BQ239" i="1" s="1"/>
  <c r="BS239" i="1"/>
  <c r="BS227" i="1"/>
  <c r="BP227" i="1"/>
  <c r="BQ227" i="1" s="1"/>
  <c r="BT256" i="1"/>
  <c r="BQ238" i="1"/>
  <c r="BT238" i="1"/>
  <c r="BP180" i="1"/>
  <c r="BQ180" i="1" s="1"/>
  <c r="BS180" i="1"/>
  <c r="BS166" i="1"/>
  <c r="BP166" i="1"/>
  <c r="BQ166" i="1" s="1"/>
  <c r="BP247" i="1"/>
  <c r="BS247" i="1"/>
  <c r="BP190" i="1"/>
  <c r="BS190" i="1"/>
  <c r="BQ226" i="1"/>
  <c r="BT226" i="1"/>
  <c r="CJ238" i="1"/>
  <c r="BQ246" i="1"/>
  <c r="BT246" i="1"/>
  <c r="BQ189" i="1"/>
  <c r="BT189" i="1"/>
  <c r="BQ179" i="1"/>
  <c r="BT179" i="1"/>
  <c r="BS257" i="1"/>
  <c r="BP257" i="1"/>
  <c r="BT165" i="1"/>
  <c r="BH169" i="1"/>
  <c r="BH228" i="1"/>
  <c r="BH182" i="1"/>
  <c r="BH241" i="1"/>
  <c r="BH249" i="1"/>
  <c r="BH259" i="1"/>
  <c r="BH192" i="1"/>
  <c r="AN37" i="5"/>
  <c r="AX37" i="5"/>
  <c r="AN35" i="5"/>
  <c r="AP35" i="5" s="1"/>
  <c r="AO35" i="5" s="1"/>
  <c r="AK85" i="4"/>
  <c r="AL85" i="4" s="1"/>
  <c r="AD85" i="4"/>
  <c r="AY17" i="5"/>
  <c r="AZ17" i="5" s="1"/>
  <c r="AQ17" i="5"/>
  <c r="AQ14" i="5"/>
  <c r="AQ24" i="5"/>
  <c r="AY14" i="5"/>
  <c r="AZ14" i="5" s="1"/>
  <c r="AY28" i="5"/>
  <c r="AZ28" i="5" s="1"/>
  <c r="AQ28" i="5"/>
  <c r="AY36" i="5"/>
  <c r="AZ36" i="5" s="1"/>
  <c r="AQ36" i="5"/>
  <c r="AY30" i="5"/>
  <c r="AZ30" i="5" s="1"/>
  <c r="AQ30" i="5"/>
  <c r="AY24" i="5"/>
  <c r="AZ24" i="5" s="1"/>
  <c r="AQ25" i="5" l="1"/>
  <c r="AY25" i="5"/>
  <c r="AZ25" i="5" s="1"/>
  <c r="CK245" i="1"/>
  <c r="CL245" i="1" s="1"/>
  <c r="CK242" i="1"/>
  <c r="CL242" i="1" s="1"/>
  <c r="CK178" i="1"/>
  <c r="CL178" i="1" s="1"/>
  <c r="CK237" i="1"/>
  <c r="CL237" i="1" s="1"/>
  <c r="CK225" i="1"/>
  <c r="CL225" i="1" s="1"/>
  <c r="AY26" i="5"/>
  <c r="AZ26" i="5" s="1"/>
  <c r="AP31" i="5"/>
  <c r="AO31" i="5" s="1"/>
  <c r="CK255" i="1"/>
  <c r="CL255" i="1" s="1"/>
  <c r="CK235" i="1"/>
  <c r="CL235" i="1" s="1"/>
  <c r="BU242" i="1"/>
  <c r="BU237" i="1"/>
  <c r="BU225" i="1"/>
  <c r="AQ26" i="5"/>
  <c r="BW188" i="1"/>
  <c r="BW164" i="1"/>
  <c r="BT166" i="1"/>
  <c r="BT227" i="1"/>
  <c r="BT180" i="1"/>
  <c r="BN192" i="1"/>
  <c r="BO192" i="1" s="1"/>
  <c r="BR192" i="1" s="1"/>
  <c r="CI192" i="1"/>
  <c r="BN182" i="1"/>
  <c r="BO182" i="1" s="1"/>
  <c r="BR182" i="1" s="1"/>
  <c r="CI182" i="1"/>
  <c r="BV165" i="1"/>
  <c r="CK165" i="1" s="1"/>
  <c r="CL165" i="1" s="1"/>
  <c r="BV226" i="1"/>
  <c r="BW226" i="1" s="1"/>
  <c r="BN249" i="1"/>
  <c r="BO249" i="1" s="1"/>
  <c r="BR249" i="1" s="1"/>
  <c r="CI249" i="1"/>
  <c r="BN228" i="1"/>
  <c r="BO228" i="1" s="1"/>
  <c r="BR228" i="1" s="1"/>
  <c r="CI228" i="1"/>
  <c r="BN169" i="1"/>
  <c r="BO169" i="1" s="1"/>
  <c r="CI169" i="1"/>
  <c r="BN259" i="1"/>
  <c r="BO259" i="1" s="1"/>
  <c r="BR259" i="1" s="1"/>
  <c r="CI259" i="1"/>
  <c r="BN241" i="1"/>
  <c r="BO241" i="1" s="1"/>
  <c r="BR241" i="1" s="1"/>
  <c r="CI241" i="1"/>
  <c r="BV179" i="1"/>
  <c r="BW179" i="1" s="1"/>
  <c r="BV189" i="1"/>
  <c r="CK189" i="1" s="1"/>
  <c r="CL189" i="1" s="1"/>
  <c r="BV246" i="1"/>
  <c r="BW246" i="1" s="1"/>
  <c r="BT239" i="1"/>
  <c r="BV238" i="1"/>
  <c r="BW238" i="1" s="1"/>
  <c r="BV256" i="1"/>
  <c r="BW256" i="1" s="1"/>
  <c r="BU188" i="1"/>
  <c r="BU245" i="1"/>
  <c r="BU255" i="1"/>
  <c r="BU178" i="1"/>
  <c r="BU164" i="1"/>
  <c r="BU235" i="1"/>
  <c r="CJ180" i="1"/>
  <c r="CJ247" i="1"/>
  <c r="CJ257" i="1"/>
  <c r="CJ227" i="1"/>
  <c r="CJ239" i="1"/>
  <c r="CJ190" i="1"/>
  <c r="BQ247" i="1"/>
  <c r="BT247" i="1"/>
  <c r="BP181" i="1"/>
  <c r="BS181" i="1"/>
  <c r="BS240" i="1"/>
  <c r="BP240" i="1"/>
  <c r="BP258" i="1"/>
  <c r="BS258" i="1"/>
  <c r="BS191" i="1"/>
  <c r="BP191" i="1"/>
  <c r="BQ191" i="1" s="1"/>
  <c r="BQ257" i="1"/>
  <c r="BT257" i="1"/>
  <c r="BQ190" i="1"/>
  <c r="BT190" i="1"/>
  <c r="BR181" i="1"/>
  <c r="BP167" i="1"/>
  <c r="BS167" i="1"/>
  <c r="BR240" i="1"/>
  <c r="BR258" i="1"/>
  <c r="CJ166" i="1"/>
  <c r="BR191" i="1"/>
  <c r="BS229" i="1"/>
  <c r="BP229" i="1"/>
  <c r="BP248" i="1"/>
  <c r="BS248" i="1"/>
  <c r="BH260" i="1"/>
  <c r="BH171" i="1"/>
  <c r="BH183" i="1"/>
  <c r="BH230" i="1"/>
  <c r="BH193" i="1"/>
  <c r="BH250" i="1"/>
  <c r="AP37" i="5"/>
  <c r="AO37" i="5" s="1"/>
  <c r="AQ35" i="5"/>
  <c r="AY35" i="5"/>
  <c r="AZ35" i="5" s="1"/>
  <c r="AY31" i="5" l="1"/>
  <c r="AZ31" i="5" s="1"/>
  <c r="CK238" i="1"/>
  <c r="CL238" i="1" s="1"/>
  <c r="BV166" i="1"/>
  <c r="BW166" i="1" s="1"/>
  <c r="CK256" i="1"/>
  <c r="CL256" i="1" s="1"/>
  <c r="CK246" i="1"/>
  <c r="CL246" i="1" s="1"/>
  <c r="CK179" i="1"/>
  <c r="CL179" i="1" s="1"/>
  <c r="AQ31" i="5"/>
  <c r="CK226" i="1"/>
  <c r="CL226" i="1" s="1"/>
  <c r="BW165" i="1"/>
  <c r="BW189" i="1"/>
  <c r="BV180" i="1"/>
  <c r="BW180" i="1" s="1"/>
  <c r="BV227" i="1"/>
  <c r="BW227" i="1" s="1"/>
  <c r="CJ258" i="1"/>
  <c r="BT191" i="1"/>
  <c r="BN230" i="1"/>
  <c r="BO230" i="1" s="1"/>
  <c r="CI230" i="1"/>
  <c r="BV247" i="1"/>
  <c r="BW247" i="1" s="1"/>
  <c r="BU256" i="1"/>
  <c r="BU238" i="1"/>
  <c r="BN250" i="1"/>
  <c r="BO250" i="1" s="1"/>
  <c r="BR250" i="1" s="1"/>
  <c r="CI250" i="1"/>
  <c r="BN171" i="1"/>
  <c r="BO171" i="1" s="1"/>
  <c r="BR171" i="1" s="1"/>
  <c r="CI171" i="1"/>
  <c r="BN260" i="1"/>
  <c r="BO260" i="1" s="1"/>
  <c r="BR260" i="1" s="1"/>
  <c r="CI260" i="1"/>
  <c r="BV190" i="1"/>
  <c r="BW190" i="1" s="1"/>
  <c r="BV257" i="1"/>
  <c r="BW257" i="1" s="1"/>
  <c r="BN193" i="1"/>
  <c r="BO193" i="1" s="1"/>
  <c r="BR193" i="1" s="1"/>
  <c r="CI193" i="1"/>
  <c r="BN183" i="1"/>
  <c r="BO183" i="1" s="1"/>
  <c r="BR183" i="1" s="1"/>
  <c r="CI183" i="1"/>
  <c r="BV239" i="1"/>
  <c r="BW239" i="1" s="1"/>
  <c r="BU246" i="1"/>
  <c r="BU189" i="1"/>
  <c r="BU179" i="1"/>
  <c r="BU226" i="1"/>
  <c r="BU165" i="1"/>
  <c r="CJ167" i="1"/>
  <c r="CJ229" i="1"/>
  <c r="CJ181" i="1"/>
  <c r="CJ248" i="1"/>
  <c r="BQ167" i="1"/>
  <c r="BT167" i="1"/>
  <c r="BQ258" i="1"/>
  <c r="BT258" i="1"/>
  <c r="BQ240" i="1"/>
  <c r="BT240" i="1"/>
  <c r="BS169" i="1"/>
  <c r="BP169" i="1"/>
  <c r="BP192" i="1"/>
  <c r="BS192" i="1"/>
  <c r="BQ248" i="1"/>
  <c r="BT248" i="1"/>
  <c r="BQ229" i="1"/>
  <c r="BT229" i="1"/>
  <c r="BS241" i="1"/>
  <c r="BP241" i="1"/>
  <c r="BS259" i="1"/>
  <c r="BP259" i="1"/>
  <c r="CJ191" i="1"/>
  <c r="CJ240" i="1"/>
  <c r="BQ181" i="1"/>
  <c r="BT181" i="1"/>
  <c r="BR169" i="1"/>
  <c r="BP228" i="1"/>
  <c r="BS228" i="1"/>
  <c r="BP182" i="1"/>
  <c r="BS182" i="1"/>
  <c r="BP249" i="1"/>
  <c r="BS249" i="1"/>
  <c r="BH194" i="1"/>
  <c r="BH168" i="1"/>
  <c r="BH261" i="1"/>
  <c r="BH251" i="1"/>
  <c r="BH231" i="1"/>
  <c r="BH184" i="1"/>
  <c r="AY37" i="5"/>
  <c r="AZ37" i="5" s="1"/>
  <c r="AQ37" i="5"/>
  <c r="AM79" i="4"/>
  <c r="AM78" i="4"/>
  <c r="AM77" i="4"/>
  <c r="AM76" i="4"/>
  <c r="AM75" i="4"/>
  <c r="AM74" i="4"/>
  <c r="AM73" i="4"/>
  <c r="AM72" i="4"/>
  <c r="AM71" i="4"/>
  <c r="AM70" i="4"/>
  <c r="AM69" i="4"/>
  <c r="AM68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BU227" i="1" l="1"/>
  <c r="BU166" i="1"/>
  <c r="CK190" i="1"/>
  <c r="CL190" i="1" s="1"/>
  <c r="CK166" i="1"/>
  <c r="CL166" i="1" s="1"/>
  <c r="CK227" i="1"/>
  <c r="CL227" i="1" s="1"/>
  <c r="CK239" i="1"/>
  <c r="CL239" i="1" s="1"/>
  <c r="CK180" i="1"/>
  <c r="CL180" i="1" s="1"/>
  <c r="CK247" i="1"/>
  <c r="CL247" i="1" s="1"/>
  <c r="CK257" i="1"/>
  <c r="CL257" i="1" s="1"/>
  <c r="BU180" i="1"/>
  <c r="BV191" i="1"/>
  <c r="BW191" i="1" s="1"/>
  <c r="BR230" i="1"/>
  <c r="BN231" i="1"/>
  <c r="BO231" i="1" s="1"/>
  <c r="BR231" i="1" s="1"/>
  <c r="CI231" i="1"/>
  <c r="BN251" i="1"/>
  <c r="BO251" i="1" s="1"/>
  <c r="CI251" i="1"/>
  <c r="BN168" i="1"/>
  <c r="BO168" i="1" s="1"/>
  <c r="BR168" i="1" s="1"/>
  <c r="CI168" i="1"/>
  <c r="BN194" i="1"/>
  <c r="BO194" i="1" s="1"/>
  <c r="BR194" i="1" s="1"/>
  <c r="CI194" i="1"/>
  <c r="BV229" i="1"/>
  <c r="BW229" i="1" s="1"/>
  <c r="BV248" i="1"/>
  <c r="BW248" i="1" s="1"/>
  <c r="BN184" i="1"/>
  <c r="BO184" i="1" s="1"/>
  <c r="CI184" i="1"/>
  <c r="BN261" i="1"/>
  <c r="BO261" i="1" s="1"/>
  <c r="BR261" i="1" s="1"/>
  <c r="CI261" i="1"/>
  <c r="BV181" i="1"/>
  <c r="BW181" i="1" s="1"/>
  <c r="CJ192" i="1"/>
  <c r="CJ169" i="1"/>
  <c r="BV240" i="1"/>
  <c r="BW240" i="1" s="1"/>
  <c r="BV258" i="1"/>
  <c r="BW258" i="1" s="1"/>
  <c r="BV167" i="1"/>
  <c r="BW167" i="1" s="1"/>
  <c r="BU239" i="1"/>
  <c r="BU257" i="1"/>
  <c r="BU190" i="1"/>
  <c r="BU247" i="1"/>
  <c r="CJ228" i="1"/>
  <c r="CJ182" i="1"/>
  <c r="CJ259" i="1"/>
  <c r="CJ249" i="1"/>
  <c r="CJ241" i="1"/>
  <c r="BQ249" i="1"/>
  <c r="BT249" i="1"/>
  <c r="BQ182" i="1"/>
  <c r="BT182" i="1"/>
  <c r="BQ259" i="1"/>
  <c r="BT259" i="1"/>
  <c r="BS183" i="1"/>
  <c r="BP183" i="1"/>
  <c r="BS193" i="1"/>
  <c r="BP193" i="1"/>
  <c r="BQ169" i="1"/>
  <c r="BT169" i="1"/>
  <c r="BQ228" i="1"/>
  <c r="BT228" i="1"/>
  <c r="BQ241" i="1"/>
  <c r="BT241" i="1"/>
  <c r="BP260" i="1"/>
  <c r="BQ260" i="1" s="1"/>
  <c r="BS260" i="1"/>
  <c r="BS171" i="1"/>
  <c r="BP171" i="1"/>
  <c r="BQ171" i="1" s="1"/>
  <c r="BS250" i="1"/>
  <c r="BP250" i="1"/>
  <c r="BQ192" i="1"/>
  <c r="BT192" i="1"/>
  <c r="BP230" i="1"/>
  <c r="BS230" i="1"/>
  <c r="BH185" i="1"/>
  <c r="BH195" i="1"/>
  <c r="BH170" i="1"/>
  <c r="AN128" i="4"/>
  <c r="AN127" i="4"/>
  <c r="AN126" i="4"/>
  <c r="AN125" i="4"/>
  <c r="AN124" i="4"/>
  <c r="AN123" i="4"/>
  <c r="AN122" i="4"/>
  <c r="AN121" i="4"/>
  <c r="AN120" i="4"/>
  <c r="AN119" i="4"/>
  <c r="CK191" i="1" l="1"/>
  <c r="CL191" i="1" s="1"/>
  <c r="CK229" i="1"/>
  <c r="CL229" i="1" s="1"/>
  <c r="CK248" i="1"/>
  <c r="CL248" i="1" s="1"/>
  <c r="CK181" i="1"/>
  <c r="CL181" i="1" s="1"/>
  <c r="CK167" i="1"/>
  <c r="CL167" i="1" s="1"/>
  <c r="CK258" i="1"/>
  <c r="CL258" i="1" s="1"/>
  <c r="CK240" i="1"/>
  <c r="CL240" i="1" s="1"/>
  <c r="BU191" i="1"/>
  <c r="BN170" i="1"/>
  <c r="BO170" i="1" s="1"/>
  <c r="BR170" i="1" s="1"/>
  <c r="CI170" i="1"/>
  <c r="BV192" i="1"/>
  <c r="BW192" i="1" s="1"/>
  <c r="BV241" i="1"/>
  <c r="BW241" i="1" s="1"/>
  <c r="BV228" i="1"/>
  <c r="BW228" i="1" s="1"/>
  <c r="BV169" i="1"/>
  <c r="BW169" i="1" s="1"/>
  <c r="BV259" i="1"/>
  <c r="BW259" i="1" s="1"/>
  <c r="BV182" i="1"/>
  <c r="BW182" i="1" s="1"/>
  <c r="BV249" i="1"/>
  <c r="BW249" i="1" s="1"/>
  <c r="BU167" i="1"/>
  <c r="BU258" i="1"/>
  <c r="BU240" i="1"/>
  <c r="BN185" i="1"/>
  <c r="BO185" i="1" s="1"/>
  <c r="BR185" i="1" s="1"/>
  <c r="CI185" i="1"/>
  <c r="BN195" i="1"/>
  <c r="BO195" i="1" s="1"/>
  <c r="BR195" i="1" s="1"/>
  <c r="CI195" i="1"/>
  <c r="BU181" i="1"/>
  <c r="BU248" i="1"/>
  <c r="BU229" i="1"/>
  <c r="CJ230" i="1"/>
  <c r="CJ193" i="1"/>
  <c r="CJ260" i="1"/>
  <c r="CJ250" i="1"/>
  <c r="CJ171" i="1"/>
  <c r="CJ183" i="1"/>
  <c r="BQ250" i="1"/>
  <c r="BT250" i="1"/>
  <c r="BS231" i="1"/>
  <c r="BP231" i="1"/>
  <c r="BQ193" i="1"/>
  <c r="BT193" i="1"/>
  <c r="BQ183" i="1"/>
  <c r="BT183" i="1"/>
  <c r="BS168" i="1"/>
  <c r="BP168" i="1"/>
  <c r="BP261" i="1"/>
  <c r="BS261" i="1"/>
  <c r="BR184" i="1"/>
  <c r="BP184" i="1"/>
  <c r="BS184" i="1"/>
  <c r="BT260" i="1"/>
  <c r="BQ230" i="1"/>
  <c r="BT230" i="1"/>
  <c r="BR251" i="1"/>
  <c r="BS251" i="1"/>
  <c r="BP251" i="1"/>
  <c r="BQ251" i="1" s="1"/>
  <c r="BP194" i="1"/>
  <c r="BQ194" i="1" s="1"/>
  <c r="BS194" i="1"/>
  <c r="BT171" i="1"/>
  <c r="BH196" i="1"/>
  <c r="BH172" i="1"/>
  <c r="BH197" i="1"/>
  <c r="AN138" i="4"/>
  <c r="AN147" i="4"/>
  <c r="AN146" i="4"/>
  <c r="AN145" i="4"/>
  <c r="AN144" i="4"/>
  <c r="AN143" i="4"/>
  <c r="AN142" i="4"/>
  <c r="AN141" i="4"/>
  <c r="AN140" i="4"/>
  <c r="AN139" i="4"/>
  <c r="CK228" i="1" l="1"/>
  <c r="CL228" i="1" s="1"/>
  <c r="CK241" i="1"/>
  <c r="CL241" i="1" s="1"/>
  <c r="CK192" i="1"/>
  <c r="CL192" i="1" s="1"/>
  <c r="CK249" i="1"/>
  <c r="CL249" i="1" s="1"/>
  <c r="CK169" i="1"/>
  <c r="CL169" i="1" s="1"/>
  <c r="CK259" i="1"/>
  <c r="CL259" i="1" s="1"/>
  <c r="CK182" i="1"/>
  <c r="CL182" i="1" s="1"/>
  <c r="BN197" i="1"/>
  <c r="BO197" i="1" s="1"/>
  <c r="BR197" i="1" s="1"/>
  <c r="CI197" i="1"/>
  <c r="BV171" i="1"/>
  <c r="BW171" i="1" s="1"/>
  <c r="BV230" i="1"/>
  <c r="BW230" i="1" s="1"/>
  <c r="BN172" i="1"/>
  <c r="BO172" i="1" s="1"/>
  <c r="BR172" i="1" s="1"/>
  <c r="CI172" i="1"/>
  <c r="BN196" i="1"/>
  <c r="BO196" i="1" s="1"/>
  <c r="BR196" i="1" s="1"/>
  <c r="CI196" i="1"/>
  <c r="CJ194" i="1"/>
  <c r="BV260" i="1"/>
  <c r="BW260" i="1" s="1"/>
  <c r="BV183" i="1"/>
  <c r="BW183" i="1" s="1"/>
  <c r="BV193" i="1"/>
  <c r="BW193" i="1" s="1"/>
  <c r="BV250" i="1"/>
  <c r="BW250" i="1" s="1"/>
  <c r="BU249" i="1"/>
  <c r="BU182" i="1"/>
  <c r="BU259" i="1"/>
  <c r="BU169" i="1"/>
  <c r="BU228" i="1"/>
  <c r="BU241" i="1"/>
  <c r="BU192" i="1"/>
  <c r="CJ184" i="1"/>
  <c r="CJ231" i="1"/>
  <c r="CJ261" i="1"/>
  <c r="CJ168" i="1"/>
  <c r="CJ251" i="1"/>
  <c r="BS185" i="1"/>
  <c r="BP185" i="1"/>
  <c r="BQ184" i="1"/>
  <c r="BT184" i="1"/>
  <c r="BQ231" i="1"/>
  <c r="BT231" i="1"/>
  <c r="BS170" i="1"/>
  <c r="BP170" i="1"/>
  <c r="BT194" i="1"/>
  <c r="BP195" i="1"/>
  <c r="BS195" i="1"/>
  <c r="BQ261" i="1"/>
  <c r="BT261" i="1"/>
  <c r="BQ168" i="1"/>
  <c r="BT168" i="1"/>
  <c r="BT251" i="1"/>
  <c r="BH173" i="1"/>
  <c r="F147" i="4"/>
  <c r="F146" i="4"/>
  <c r="F145" i="4"/>
  <c r="K144" i="4"/>
  <c r="F144" i="4"/>
  <c r="K143" i="4"/>
  <c r="F143" i="4"/>
  <c r="K142" i="4"/>
  <c r="F142" i="4"/>
  <c r="K141" i="4"/>
  <c r="F141" i="4"/>
  <c r="K140" i="4"/>
  <c r="F140" i="4"/>
  <c r="K139" i="4"/>
  <c r="F139" i="4"/>
  <c r="K138" i="4"/>
  <c r="F138" i="4"/>
  <c r="CK193" i="1" l="1"/>
  <c r="CL193" i="1" s="1"/>
  <c r="CK250" i="1"/>
  <c r="CL250" i="1" s="1"/>
  <c r="CK230" i="1"/>
  <c r="CL230" i="1" s="1"/>
  <c r="CK260" i="1"/>
  <c r="CL260" i="1" s="1"/>
  <c r="CK171" i="1"/>
  <c r="CL171" i="1" s="1"/>
  <c r="CK183" i="1"/>
  <c r="CL183" i="1" s="1"/>
  <c r="CJ195" i="1"/>
  <c r="BV251" i="1"/>
  <c r="BW251" i="1" s="1"/>
  <c r="BV194" i="1"/>
  <c r="BW194" i="1" s="1"/>
  <c r="BN173" i="1"/>
  <c r="BO173" i="1" s="1"/>
  <c r="BR173" i="1" s="1"/>
  <c r="CI173" i="1"/>
  <c r="BV168" i="1"/>
  <c r="BW168" i="1" s="1"/>
  <c r="BV261" i="1"/>
  <c r="BW261" i="1" s="1"/>
  <c r="BV231" i="1"/>
  <c r="BW231" i="1" s="1"/>
  <c r="BV184" i="1"/>
  <c r="BW184" i="1" s="1"/>
  <c r="BU250" i="1"/>
  <c r="BU193" i="1"/>
  <c r="BU183" i="1"/>
  <c r="BU260" i="1"/>
  <c r="BU230" i="1"/>
  <c r="BU171" i="1"/>
  <c r="BS172" i="1"/>
  <c r="BP172" i="1"/>
  <c r="BQ170" i="1"/>
  <c r="BT170" i="1"/>
  <c r="BQ185" i="1"/>
  <c r="BT185" i="1"/>
  <c r="BP197" i="1"/>
  <c r="BS197" i="1"/>
  <c r="BQ195" i="1"/>
  <c r="BT195" i="1"/>
  <c r="CJ170" i="1"/>
  <c r="CJ185" i="1"/>
  <c r="BP196" i="1"/>
  <c r="BS196" i="1"/>
  <c r="BB79" i="5"/>
  <c r="BB78" i="5"/>
  <c r="BB77" i="5"/>
  <c r="BB76" i="5"/>
  <c r="BB75" i="5"/>
  <c r="BB74" i="5"/>
  <c r="BB73" i="5"/>
  <c r="BB72" i="5"/>
  <c r="BB71" i="5"/>
  <c r="BB70" i="5"/>
  <c r="B40" i="5"/>
  <c r="B41" i="5"/>
  <c r="B42" i="5"/>
  <c r="B43" i="5"/>
  <c r="B44" i="5"/>
  <c r="B45" i="5"/>
  <c r="B46" i="5"/>
  <c r="B47" i="5"/>
  <c r="B39" i="5"/>
  <c r="AR70" i="5"/>
  <c r="BA70" i="5" s="1"/>
  <c r="Q71" i="5"/>
  <c r="Q72" i="5"/>
  <c r="Q73" i="5"/>
  <c r="Q74" i="5"/>
  <c r="Q75" i="5"/>
  <c r="Q76" i="5"/>
  <c r="Q77" i="5"/>
  <c r="Q78" i="5"/>
  <c r="Q79" i="5"/>
  <c r="CK194" i="1" l="1"/>
  <c r="CL194" i="1" s="1"/>
  <c r="CK261" i="1"/>
  <c r="CL261" i="1" s="1"/>
  <c r="CK168" i="1"/>
  <c r="CL168" i="1" s="1"/>
  <c r="CK251" i="1"/>
  <c r="CL251" i="1" s="1"/>
  <c r="CK231" i="1"/>
  <c r="CL231" i="1" s="1"/>
  <c r="CK184" i="1"/>
  <c r="CL184" i="1" s="1"/>
  <c r="CJ197" i="1"/>
  <c r="BV170" i="1"/>
  <c r="BW170" i="1" s="1"/>
  <c r="BV195" i="1"/>
  <c r="BW195" i="1" s="1"/>
  <c r="BV185" i="1"/>
  <c r="BW185" i="1" s="1"/>
  <c r="BU184" i="1"/>
  <c r="BU231" i="1"/>
  <c r="BU261" i="1"/>
  <c r="BU168" i="1"/>
  <c r="BU194" i="1"/>
  <c r="BU251" i="1"/>
  <c r="CJ196" i="1"/>
  <c r="BQ196" i="1"/>
  <c r="BT196" i="1"/>
  <c r="BP173" i="1"/>
  <c r="BS173" i="1"/>
  <c r="BQ197" i="1"/>
  <c r="BT197" i="1"/>
  <c r="BQ172" i="1"/>
  <c r="BT172" i="1"/>
  <c r="CJ172" i="1"/>
  <c r="CK185" i="1" l="1"/>
  <c r="CL185" i="1" s="1"/>
  <c r="CK195" i="1"/>
  <c r="CL195" i="1" s="1"/>
  <c r="CK170" i="1"/>
  <c r="CL170" i="1" s="1"/>
  <c r="BV172" i="1"/>
  <c r="BW172" i="1" s="1"/>
  <c r="BV197" i="1"/>
  <c r="BW197" i="1" s="1"/>
  <c r="CJ173" i="1"/>
  <c r="BV196" i="1"/>
  <c r="BW196" i="1" s="1"/>
  <c r="BU185" i="1"/>
  <c r="BU195" i="1"/>
  <c r="BU170" i="1"/>
  <c r="BQ173" i="1"/>
  <c r="BT173" i="1"/>
  <c r="CK196" i="1" l="1"/>
  <c r="CL196" i="1" s="1"/>
  <c r="CK197" i="1"/>
  <c r="CL197" i="1" s="1"/>
  <c r="CK172" i="1"/>
  <c r="CL172" i="1" s="1"/>
  <c r="BV173" i="1"/>
  <c r="BW173" i="1" s="1"/>
  <c r="BU196" i="1"/>
  <c r="BU197" i="1"/>
  <c r="BU172" i="1"/>
  <c r="AN117" i="4"/>
  <c r="AN116" i="4"/>
  <c r="AN115" i="4"/>
  <c r="AN114" i="4"/>
  <c r="AN113" i="4"/>
  <c r="AN112" i="4"/>
  <c r="AN111" i="4"/>
  <c r="AN110" i="4"/>
  <c r="AN109" i="4"/>
  <c r="BB50" i="5"/>
  <c r="CK173" i="1" l="1"/>
  <c r="CL173" i="1" s="1"/>
  <c r="BU173" i="1"/>
  <c r="AN108" i="4"/>
  <c r="AN107" i="4"/>
  <c r="AN106" i="4"/>
  <c r="AN105" i="4"/>
  <c r="AN104" i="4"/>
  <c r="AN103" i="4"/>
  <c r="AN102" i="4"/>
  <c r="Q39" i="5" l="1"/>
  <c r="Y39" i="5" s="1"/>
  <c r="Q40" i="5"/>
  <c r="Y40" i="5" s="1"/>
  <c r="Q41" i="5"/>
  <c r="Y41" i="5" s="1"/>
  <c r="Q42" i="5"/>
  <c r="Y42" i="5" s="1"/>
  <c r="Q43" i="5"/>
  <c r="Y43" i="5" s="1"/>
  <c r="Q44" i="5"/>
  <c r="Y44" i="5" s="1"/>
  <c r="Q45" i="5"/>
  <c r="Y45" i="5" s="1"/>
  <c r="Q46" i="5"/>
  <c r="Y46" i="5" s="1"/>
  <c r="Q47" i="5"/>
  <c r="Y47" i="5" s="1"/>
  <c r="Q50" i="5"/>
  <c r="Q51" i="5"/>
  <c r="Q52" i="5"/>
  <c r="Q53" i="5"/>
  <c r="Q54" i="5"/>
  <c r="Q55" i="5"/>
  <c r="Q56" i="5"/>
  <c r="Q57" i="5"/>
  <c r="Q58" i="5"/>
  <c r="Q60" i="5"/>
  <c r="Q61" i="5"/>
  <c r="Q62" i="5"/>
  <c r="Q63" i="5"/>
  <c r="Q64" i="5"/>
  <c r="Q65" i="5"/>
  <c r="Q66" i="5"/>
  <c r="Q67" i="5"/>
  <c r="Q70" i="5"/>
  <c r="Q81" i="5"/>
  <c r="Q82" i="5"/>
  <c r="Q83" i="5"/>
  <c r="Q84" i="5"/>
  <c r="Q85" i="5"/>
  <c r="Q86" i="5"/>
  <c r="Q87" i="5"/>
  <c r="Q88" i="5"/>
  <c r="Q89" i="5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9" i="4"/>
  <c r="M30" i="4"/>
  <c r="M31" i="4"/>
  <c r="M32" i="4"/>
  <c r="M33" i="4"/>
  <c r="M34" i="4"/>
  <c r="M35" i="4"/>
  <c r="M36" i="4"/>
  <c r="M37" i="4"/>
  <c r="M38" i="4"/>
  <c r="M39" i="4"/>
  <c r="M40" i="4"/>
  <c r="M42" i="4"/>
  <c r="M43" i="4"/>
  <c r="M44" i="4"/>
  <c r="M45" i="4"/>
  <c r="M46" i="4"/>
  <c r="M47" i="4"/>
  <c r="M48" i="4"/>
  <c r="M49" i="4"/>
  <c r="M50" i="4"/>
  <c r="M51" i="4"/>
  <c r="M52" i="4"/>
  <c r="M53" i="4"/>
  <c r="M55" i="4"/>
  <c r="M56" i="4"/>
  <c r="M57" i="4"/>
  <c r="M58" i="4"/>
  <c r="M59" i="4"/>
  <c r="M60" i="4"/>
  <c r="M61" i="4"/>
  <c r="M62" i="4"/>
  <c r="M63" i="4"/>
  <c r="M64" i="4"/>
  <c r="M65" i="4"/>
  <c r="M66" i="4"/>
  <c r="M68" i="4"/>
  <c r="M69" i="4"/>
  <c r="M70" i="4"/>
  <c r="M71" i="4"/>
  <c r="M72" i="4"/>
  <c r="M73" i="4"/>
  <c r="M74" i="4"/>
  <c r="M75" i="4"/>
  <c r="M76" i="4"/>
  <c r="M77" i="4"/>
  <c r="M78" i="4"/>
  <c r="M79" i="4"/>
  <c r="M93" i="4"/>
  <c r="M94" i="4"/>
  <c r="M95" i="4"/>
  <c r="M96" i="4"/>
  <c r="M97" i="4"/>
  <c r="M98" i="4"/>
  <c r="M99" i="4"/>
  <c r="M100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8" i="4"/>
  <c r="M139" i="4"/>
  <c r="M140" i="4"/>
  <c r="M141" i="4"/>
  <c r="M142" i="4"/>
  <c r="M143" i="4"/>
  <c r="M144" i="4"/>
  <c r="M145" i="4"/>
  <c r="M146" i="4"/>
  <c r="M147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0" i="4"/>
  <c r="Y70" i="5" l="1"/>
  <c r="P70" i="5"/>
  <c r="T70" i="5" s="1"/>
  <c r="BB58" i="5"/>
  <c r="BB57" i="5"/>
  <c r="BB56" i="5"/>
  <c r="BB55" i="5"/>
  <c r="BB54" i="5"/>
  <c r="BB53" i="5"/>
  <c r="BB52" i="5"/>
  <c r="BB51" i="5"/>
  <c r="Y51" i="5" l="1"/>
  <c r="Y52" i="5"/>
  <c r="AU52" i="5" s="1"/>
  <c r="BD52" i="5" s="1"/>
  <c r="Y53" i="5"/>
  <c r="AU53" i="5" s="1"/>
  <c r="BD53" i="5" s="1"/>
  <c r="Y54" i="5"/>
  <c r="AU54" i="5" s="1"/>
  <c r="BD54" i="5" s="1"/>
  <c r="Y55" i="5"/>
  <c r="Y56" i="5"/>
  <c r="AU56" i="5" s="1"/>
  <c r="BD56" i="5" s="1"/>
  <c r="Y57" i="5"/>
  <c r="AU57" i="5" s="1"/>
  <c r="BD57" i="5" s="1"/>
  <c r="Y58" i="5"/>
  <c r="AU58" i="5" s="1"/>
  <c r="BD58" i="5" s="1"/>
  <c r="Y60" i="5"/>
  <c r="Y61" i="5"/>
  <c r="Y62" i="5"/>
  <c r="AU62" i="5" s="1"/>
  <c r="Y63" i="5"/>
  <c r="Y64" i="5"/>
  <c r="Y65" i="5"/>
  <c r="AU65" i="5" s="1"/>
  <c r="Y66" i="5"/>
  <c r="AU66" i="5" s="1"/>
  <c r="Y67" i="5"/>
  <c r="AU67" i="5" s="1"/>
  <c r="Y80" i="5"/>
  <c r="Y50" i="5"/>
  <c r="AU50" i="5" s="1"/>
  <c r="BD50" i="5" s="1"/>
  <c r="P50" i="5"/>
  <c r="Z50" i="5"/>
  <c r="AI50" i="5"/>
  <c r="AM50" i="5"/>
  <c r="AR50" i="5"/>
  <c r="BA50" i="5" s="1"/>
  <c r="P51" i="5"/>
  <c r="Z51" i="5"/>
  <c r="AI51" i="5"/>
  <c r="AM51" i="5"/>
  <c r="AR51" i="5"/>
  <c r="BA51" i="5" s="1"/>
  <c r="AU51" i="5"/>
  <c r="BD51" i="5" s="1"/>
  <c r="P52" i="5"/>
  <c r="Z52" i="5"/>
  <c r="AI52" i="5"/>
  <c r="AM52" i="5"/>
  <c r="AR52" i="5"/>
  <c r="BA52" i="5" s="1"/>
  <c r="P53" i="5"/>
  <c r="Z53" i="5"/>
  <c r="AI53" i="5"/>
  <c r="AM53" i="5"/>
  <c r="AR53" i="5"/>
  <c r="BA53" i="5" s="1"/>
  <c r="P54" i="5"/>
  <c r="Z54" i="5"/>
  <c r="AI54" i="5"/>
  <c r="AM54" i="5"/>
  <c r="AR54" i="5"/>
  <c r="BA54" i="5" s="1"/>
  <c r="P55" i="5"/>
  <c r="Z55" i="5"/>
  <c r="AI55" i="5"/>
  <c r="AM55" i="5"/>
  <c r="AR55" i="5"/>
  <c r="BA55" i="5" s="1"/>
  <c r="AU55" i="5"/>
  <c r="BD55" i="5" s="1"/>
  <c r="P56" i="5"/>
  <c r="W56" i="5"/>
  <c r="Z56" i="5"/>
  <c r="AI56" i="5"/>
  <c r="AM56" i="5"/>
  <c r="AR56" i="5"/>
  <c r="BA56" i="5" s="1"/>
  <c r="AT56" i="5"/>
  <c r="BC56" i="5" s="1"/>
  <c r="P57" i="5"/>
  <c r="Z57" i="5"/>
  <c r="AI57" i="5"/>
  <c r="AM57" i="5"/>
  <c r="AR57" i="5"/>
  <c r="BA57" i="5" s="1"/>
  <c r="P58" i="5"/>
  <c r="Z58" i="5"/>
  <c r="AI58" i="5"/>
  <c r="AM58" i="5"/>
  <c r="AR58" i="5"/>
  <c r="BA58" i="5" s="1"/>
  <c r="P60" i="5"/>
  <c r="Z60" i="5"/>
  <c r="AI60" i="5"/>
  <c r="AM60" i="5"/>
  <c r="AR60" i="5"/>
  <c r="AT60" i="5"/>
  <c r="AU60" i="5"/>
  <c r="P61" i="5"/>
  <c r="Z61" i="5"/>
  <c r="AI61" i="5"/>
  <c r="AM61" i="5"/>
  <c r="AR61" i="5"/>
  <c r="AU61" i="5"/>
  <c r="P62" i="5"/>
  <c r="Z62" i="5"/>
  <c r="AI62" i="5"/>
  <c r="AM62" i="5"/>
  <c r="AR62" i="5"/>
  <c r="P63" i="5"/>
  <c r="Z63" i="5"/>
  <c r="AI63" i="5"/>
  <c r="AM63" i="5"/>
  <c r="AR63" i="5"/>
  <c r="AU63" i="5"/>
  <c r="P64" i="5"/>
  <c r="W64" i="5"/>
  <c r="Z64" i="5"/>
  <c r="AI64" i="5"/>
  <c r="AM64" i="5"/>
  <c r="AR64" i="5"/>
  <c r="AU64" i="5"/>
  <c r="P65" i="5"/>
  <c r="Z65" i="5"/>
  <c r="AI65" i="5"/>
  <c r="AM65" i="5"/>
  <c r="AR65" i="5"/>
  <c r="P66" i="5"/>
  <c r="Z66" i="5"/>
  <c r="AI66" i="5"/>
  <c r="AM66" i="5"/>
  <c r="AR66" i="5"/>
  <c r="U67" i="5"/>
  <c r="X67" i="5" s="1"/>
  <c r="Z67" i="5"/>
  <c r="AI67" i="5"/>
  <c r="AM67" i="5"/>
  <c r="AR67" i="5"/>
  <c r="AU70" i="5"/>
  <c r="BD70" i="5" s="1"/>
  <c r="Z70" i="5"/>
  <c r="AI70" i="5"/>
  <c r="AM70" i="5"/>
  <c r="P71" i="5"/>
  <c r="Z71" i="5"/>
  <c r="AI71" i="5"/>
  <c r="AM71" i="5"/>
  <c r="AR71" i="5"/>
  <c r="BA71" i="5" s="1"/>
  <c r="Y72" i="5"/>
  <c r="AU72" i="5" s="1"/>
  <c r="BD72" i="5" s="1"/>
  <c r="Z72" i="5"/>
  <c r="AI72" i="5"/>
  <c r="AM72" i="5"/>
  <c r="AR72" i="5"/>
  <c r="BA72" i="5" s="1"/>
  <c r="P73" i="5"/>
  <c r="Z73" i="5"/>
  <c r="AI73" i="5"/>
  <c r="AM73" i="5"/>
  <c r="AR73" i="5"/>
  <c r="BA73" i="5" s="1"/>
  <c r="Y74" i="5"/>
  <c r="AU74" i="5" s="1"/>
  <c r="BD74" i="5" s="1"/>
  <c r="Z74" i="5"/>
  <c r="AI74" i="5"/>
  <c r="AM74" i="5"/>
  <c r="AR74" i="5"/>
  <c r="BA74" i="5" s="1"/>
  <c r="P75" i="5"/>
  <c r="Z75" i="5"/>
  <c r="AI75" i="5"/>
  <c r="AM75" i="5"/>
  <c r="AR75" i="5"/>
  <c r="BA75" i="5" s="1"/>
  <c r="Y76" i="5"/>
  <c r="AU76" i="5" s="1"/>
  <c r="BD76" i="5" s="1"/>
  <c r="Z76" i="5"/>
  <c r="AI76" i="5"/>
  <c r="AM76" i="5"/>
  <c r="AR76" i="5"/>
  <c r="BA76" i="5" s="1"/>
  <c r="P77" i="5"/>
  <c r="Z77" i="5"/>
  <c r="AI77" i="5"/>
  <c r="AM77" i="5"/>
  <c r="AR77" i="5"/>
  <c r="BA77" i="5" s="1"/>
  <c r="Y78" i="5"/>
  <c r="AU78" i="5" s="1"/>
  <c r="BD78" i="5" s="1"/>
  <c r="Z78" i="5"/>
  <c r="AI78" i="5"/>
  <c r="AM78" i="5"/>
  <c r="AR78" i="5"/>
  <c r="BA78" i="5" s="1"/>
  <c r="P79" i="5"/>
  <c r="Z79" i="5"/>
  <c r="AI79" i="5"/>
  <c r="AM79" i="5"/>
  <c r="AR79" i="5"/>
  <c r="BA79" i="5" s="1"/>
  <c r="U56" i="5" l="1"/>
  <c r="X56" i="5" s="1"/>
  <c r="U58" i="5"/>
  <c r="X58" i="5" s="1"/>
  <c r="AC58" i="5" s="1"/>
  <c r="AT63" i="5"/>
  <c r="AT58" i="5"/>
  <c r="BC58" i="5" s="1"/>
  <c r="AT55" i="5"/>
  <c r="BC55" i="5" s="1"/>
  <c r="AT70" i="5"/>
  <c r="BC70" i="5" s="1"/>
  <c r="AT64" i="5"/>
  <c r="U64" i="5"/>
  <c r="X64" i="5" s="1"/>
  <c r="AC64" i="5" s="1"/>
  <c r="U51" i="5"/>
  <c r="X51" i="5" s="1"/>
  <c r="AA51" i="5" s="1"/>
  <c r="AT50" i="5"/>
  <c r="BC50" i="5" s="1"/>
  <c r="W50" i="5"/>
  <c r="T56" i="5"/>
  <c r="R56" i="5"/>
  <c r="T64" i="5"/>
  <c r="R64" i="5"/>
  <c r="U72" i="5"/>
  <c r="W60" i="5"/>
  <c r="U63" i="5"/>
  <c r="X63" i="5" s="1"/>
  <c r="AC63" i="5" s="1"/>
  <c r="U62" i="5"/>
  <c r="X62" i="5" s="1"/>
  <c r="U61" i="5"/>
  <c r="X61" i="5" s="1"/>
  <c r="U60" i="5"/>
  <c r="X60" i="5" s="1"/>
  <c r="U71" i="5"/>
  <c r="U70" i="5"/>
  <c r="U65" i="5"/>
  <c r="X65" i="5" s="1"/>
  <c r="AD65" i="5" s="1"/>
  <c r="AT57" i="5"/>
  <c r="BC57" i="5" s="1"/>
  <c r="U57" i="5"/>
  <c r="X57" i="5" s="1"/>
  <c r="AA57" i="5" s="1"/>
  <c r="T58" i="5"/>
  <c r="R58" i="5"/>
  <c r="W58" i="5"/>
  <c r="U55" i="5"/>
  <c r="X55" i="5" s="1"/>
  <c r="AA55" i="5" s="1"/>
  <c r="U54" i="5"/>
  <c r="X54" i="5" s="1"/>
  <c r="AD54" i="5" s="1"/>
  <c r="U53" i="5"/>
  <c r="X53" i="5" s="1"/>
  <c r="AD53" i="5" s="1"/>
  <c r="U52" i="5"/>
  <c r="X52" i="5" s="1"/>
  <c r="AD52" i="5" s="1"/>
  <c r="T55" i="5"/>
  <c r="R55" i="5"/>
  <c r="T54" i="5"/>
  <c r="R54" i="5"/>
  <c r="T53" i="5"/>
  <c r="R53" i="5"/>
  <c r="T52" i="5"/>
  <c r="R52" i="5"/>
  <c r="T51" i="5"/>
  <c r="R51" i="5"/>
  <c r="T57" i="5"/>
  <c r="R57" i="5"/>
  <c r="W57" i="5"/>
  <c r="W55" i="5"/>
  <c r="AT54" i="5"/>
  <c r="BC54" i="5" s="1"/>
  <c r="W54" i="5"/>
  <c r="AT53" i="5"/>
  <c r="BC53" i="5" s="1"/>
  <c r="W53" i="5"/>
  <c r="AT52" i="5"/>
  <c r="BC52" i="5" s="1"/>
  <c r="W52" i="5"/>
  <c r="AT51" i="5"/>
  <c r="BC51" i="5" s="1"/>
  <c r="W51" i="5"/>
  <c r="T79" i="5"/>
  <c r="R79" i="5"/>
  <c r="T75" i="5"/>
  <c r="R75" i="5"/>
  <c r="T77" i="5"/>
  <c r="R77" i="5"/>
  <c r="T73" i="5"/>
  <c r="R73" i="5"/>
  <c r="T71" i="5"/>
  <c r="R71" i="5"/>
  <c r="U78" i="5"/>
  <c r="U76" i="5"/>
  <c r="U74" i="5"/>
  <c r="X74" i="5" s="1"/>
  <c r="Y79" i="5"/>
  <c r="AU79" i="5" s="1"/>
  <c r="BD79" i="5" s="1"/>
  <c r="Y77" i="5"/>
  <c r="AU77" i="5" s="1"/>
  <c r="BD77" i="5" s="1"/>
  <c r="Y75" i="5"/>
  <c r="AU75" i="5" s="1"/>
  <c r="BD75" i="5" s="1"/>
  <c r="Y73" i="5"/>
  <c r="AU73" i="5" s="1"/>
  <c r="BD73" i="5" s="1"/>
  <c r="Y71" i="5"/>
  <c r="AU71" i="5" s="1"/>
  <c r="BD71" i="5" s="1"/>
  <c r="U79" i="5"/>
  <c r="U77" i="5"/>
  <c r="U75" i="5"/>
  <c r="U73" i="5"/>
  <c r="AT79" i="5"/>
  <c r="BC79" i="5" s="1"/>
  <c r="W79" i="5"/>
  <c r="AT78" i="5"/>
  <c r="BC78" i="5" s="1"/>
  <c r="W78" i="5"/>
  <c r="P78" i="5"/>
  <c r="AT77" i="5"/>
  <c r="BC77" i="5" s="1"/>
  <c r="W77" i="5"/>
  <c r="AT76" i="5"/>
  <c r="BC76" i="5" s="1"/>
  <c r="W76" i="5"/>
  <c r="P76" i="5"/>
  <c r="AT75" i="5"/>
  <c r="BC75" i="5" s="1"/>
  <c r="W75" i="5"/>
  <c r="AT74" i="5"/>
  <c r="BC74" i="5" s="1"/>
  <c r="W74" i="5"/>
  <c r="P74" i="5"/>
  <c r="AT73" i="5"/>
  <c r="BC73" i="5" s="1"/>
  <c r="W73" i="5"/>
  <c r="AT72" i="5"/>
  <c r="BC72" i="5" s="1"/>
  <c r="W72" i="5"/>
  <c r="P72" i="5"/>
  <c r="AT71" i="5"/>
  <c r="BC71" i="5" s="1"/>
  <c r="W71" i="5"/>
  <c r="W70" i="5"/>
  <c r="AA67" i="5"/>
  <c r="AC67" i="5"/>
  <c r="T63" i="5"/>
  <c r="R63" i="5"/>
  <c r="T62" i="5"/>
  <c r="R62" i="5"/>
  <c r="T61" i="5"/>
  <c r="R61" i="5"/>
  <c r="T60" i="5"/>
  <c r="R60" i="5"/>
  <c r="T66" i="5"/>
  <c r="R66" i="5"/>
  <c r="T65" i="5"/>
  <c r="R65" i="5"/>
  <c r="U66" i="5"/>
  <c r="X66" i="5" s="1"/>
  <c r="AD66" i="5" s="1"/>
  <c r="AT67" i="5"/>
  <c r="W67" i="5"/>
  <c r="P67" i="5"/>
  <c r="AT66" i="5"/>
  <c r="W66" i="5"/>
  <c r="AT65" i="5"/>
  <c r="W65" i="5"/>
  <c r="W63" i="5"/>
  <c r="AT62" i="5"/>
  <c r="W62" i="5"/>
  <c r="AT61" i="5"/>
  <c r="W61" i="5"/>
  <c r="AD74" i="5"/>
  <c r="AD67" i="5"/>
  <c r="AA63" i="5"/>
  <c r="AA58" i="5"/>
  <c r="AD58" i="5"/>
  <c r="AA56" i="5"/>
  <c r="AD56" i="5"/>
  <c r="AD62" i="5"/>
  <c r="AD61" i="5"/>
  <c r="AD60" i="5"/>
  <c r="AC56" i="5"/>
  <c r="R50" i="5"/>
  <c r="T50" i="5"/>
  <c r="U50" i="5"/>
  <c r="X50" i="5" s="1"/>
  <c r="X70" i="5" l="1"/>
  <c r="AD70" i="5" s="1"/>
  <c r="X71" i="5"/>
  <c r="AD71" i="5" s="1"/>
  <c r="X73" i="5"/>
  <c r="AD73" i="5" s="1"/>
  <c r="X72" i="5"/>
  <c r="AD72" i="5" s="1"/>
  <c r="X75" i="5"/>
  <c r="AD75" i="5" s="1"/>
  <c r="AD63" i="5"/>
  <c r="AV63" i="5" s="1"/>
  <c r="X77" i="5"/>
  <c r="AD77" i="5" s="1"/>
  <c r="X76" i="5"/>
  <c r="AD76" i="5" s="1"/>
  <c r="X78" i="5"/>
  <c r="AD78" i="5" s="1"/>
  <c r="X79" i="5"/>
  <c r="AD79" i="5" s="1"/>
  <c r="AD55" i="5"/>
  <c r="AE55" i="5" s="1"/>
  <c r="AC55" i="5"/>
  <c r="AC57" i="5"/>
  <c r="AD57" i="5"/>
  <c r="AV57" i="5" s="1"/>
  <c r="BE57" i="5" s="1"/>
  <c r="AA64" i="5"/>
  <c r="AD64" i="5"/>
  <c r="AD51" i="5"/>
  <c r="AV51" i="5" s="1"/>
  <c r="BE51" i="5" s="1"/>
  <c r="AC51" i="5"/>
  <c r="AE67" i="5"/>
  <c r="AA70" i="5"/>
  <c r="AC70" i="5"/>
  <c r="AA60" i="5"/>
  <c r="AE60" i="5" s="1"/>
  <c r="AC60" i="5"/>
  <c r="AA62" i="5"/>
  <c r="AE62" i="5" s="1"/>
  <c r="AC62" i="5"/>
  <c r="AA65" i="5"/>
  <c r="AV65" i="5" s="1"/>
  <c r="AC65" i="5"/>
  <c r="AC71" i="5"/>
  <c r="AA61" i="5"/>
  <c r="AE61" i="5" s="1"/>
  <c r="AC61" i="5"/>
  <c r="AA53" i="5"/>
  <c r="AE53" i="5" s="1"/>
  <c r="AC53" i="5"/>
  <c r="AA52" i="5"/>
  <c r="AE52" i="5" s="1"/>
  <c r="AC52" i="5"/>
  <c r="AA54" i="5"/>
  <c r="AV54" i="5" s="1"/>
  <c r="BE54" i="5" s="1"/>
  <c r="AC54" i="5"/>
  <c r="AE58" i="5"/>
  <c r="AV56" i="5"/>
  <c r="BE56" i="5" s="1"/>
  <c r="R70" i="5"/>
  <c r="T72" i="5"/>
  <c r="R72" i="5"/>
  <c r="T76" i="5"/>
  <c r="R76" i="5"/>
  <c r="AA73" i="5"/>
  <c r="AC73" i="5"/>
  <c r="T74" i="5"/>
  <c r="R74" i="5"/>
  <c r="T78" i="5"/>
  <c r="R78" i="5"/>
  <c r="AA75" i="5"/>
  <c r="AC75" i="5"/>
  <c r="AA79" i="5"/>
  <c r="AC79" i="5"/>
  <c r="AA74" i="5"/>
  <c r="AV74" i="5" s="1"/>
  <c r="BE74" i="5" s="1"/>
  <c r="AC74" i="5"/>
  <c r="T67" i="5"/>
  <c r="R67" i="5"/>
  <c r="AA66" i="5"/>
  <c r="AV66" i="5" s="1"/>
  <c r="AC66" i="5"/>
  <c r="AC50" i="5"/>
  <c r="AA50" i="5"/>
  <c r="AD50" i="5"/>
  <c r="AV58" i="5"/>
  <c r="BE58" i="5" s="1"/>
  <c r="AE56" i="5"/>
  <c r="AE57" i="5"/>
  <c r="AV67" i="5"/>
  <c r="AC76" i="5" l="1"/>
  <c r="AC77" i="5"/>
  <c r="AA76" i="5"/>
  <c r="AC78" i="5"/>
  <c r="AA71" i="5"/>
  <c r="AA78" i="5"/>
  <c r="AE78" i="5" s="1"/>
  <c r="AE63" i="5"/>
  <c r="AF63" i="5" s="1"/>
  <c r="AA77" i="5"/>
  <c r="AV77" i="5" s="1"/>
  <c r="BE77" i="5" s="1"/>
  <c r="AV55" i="5"/>
  <c r="BE55" i="5" s="1"/>
  <c r="AE75" i="5"/>
  <c r="AG75" i="5" s="1"/>
  <c r="AW75" i="5" s="1"/>
  <c r="BF75" i="5" s="1"/>
  <c r="AV70" i="5"/>
  <c r="BE70" i="5" s="1"/>
  <c r="AE79" i="5"/>
  <c r="AF79" i="5" s="1"/>
  <c r="AV76" i="5"/>
  <c r="BE76" i="5" s="1"/>
  <c r="AC72" i="5"/>
  <c r="AA72" i="5"/>
  <c r="AV72" i="5" s="1"/>
  <c r="BE72" i="5" s="1"/>
  <c r="AE77" i="5"/>
  <c r="AG77" i="5" s="1"/>
  <c r="AH77" i="5" s="1"/>
  <c r="AJ77" i="5" s="1"/>
  <c r="AE73" i="5"/>
  <c r="AG73" i="5" s="1"/>
  <c r="AW73" i="5" s="1"/>
  <c r="BF73" i="5" s="1"/>
  <c r="AE71" i="5"/>
  <c r="AG71" i="5" s="1"/>
  <c r="AW71" i="5" s="1"/>
  <c r="BF71" i="5" s="1"/>
  <c r="AV64" i="5"/>
  <c r="AV75" i="5"/>
  <c r="BE75" i="5" s="1"/>
  <c r="AG55" i="5"/>
  <c r="AF55" i="5"/>
  <c r="AG52" i="5"/>
  <c r="AW52" i="5" s="1"/>
  <c r="BF52" i="5" s="1"/>
  <c r="AF52" i="5"/>
  <c r="AG79" i="5"/>
  <c r="AW79" i="5" s="1"/>
  <c r="BF79" i="5" s="1"/>
  <c r="AE65" i="5"/>
  <c r="AG53" i="5"/>
  <c r="AW53" i="5" s="1"/>
  <c r="BF53" i="5" s="1"/>
  <c r="AF53" i="5"/>
  <c r="AF62" i="5"/>
  <c r="AG62" i="5"/>
  <c r="AH62" i="5" s="1"/>
  <c r="AV71" i="5"/>
  <c r="BE71" i="5" s="1"/>
  <c r="AG58" i="5"/>
  <c r="AH58" i="5" s="1"/>
  <c r="AF58" i="5"/>
  <c r="AG67" i="5"/>
  <c r="AW67" i="5" s="1"/>
  <c r="AF67" i="5"/>
  <c r="AE70" i="5"/>
  <c r="AG63" i="5"/>
  <c r="AH63" i="5" s="1"/>
  <c r="AJ63" i="5" s="1"/>
  <c r="AF57" i="5"/>
  <c r="AG57" i="5"/>
  <c r="AH57" i="5" s="1"/>
  <c r="AJ57" i="5" s="1"/>
  <c r="AE51" i="5"/>
  <c r="AG61" i="5"/>
  <c r="AH61" i="5" s="1"/>
  <c r="AF61" i="5"/>
  <c r="AG60" i="5"/>
  <c r="AH60" i="5" s="1"/>
  <c r="AF60" i="5"/>
  <c r="AG56" i="5"/>
  <c r="AH56" i="5" s="1"/>
  <c r="AJ56" i="5" s="1"/>
  <c r="AF56" i="5"/>
  <c r="AE64" i="5"/>
  <c r="AV73" i="5"/>
  <c r="BE73" i="5" s="1"/>
  <c r="AE74" i="5"/>
  <c r="AE72" i="5"/>
  <c r="AV61" i="5"/>
  <c r="AV60" i="5"/>
  <c r="AV62" i="5"/>
  <c r="AE54" i="5"/>
  <c r="AV53" i="5"/>
  <c r="BE53" i="5" s="1"/>
  <c r="AE66" i="5"/>
  <c r="AV79" i="5"/>
  <c r="BE79" i="5" s="1"/>
  <c r="AE76" i="5"/>
  <c r="AV52" i="5"/>
  <c r="BE52" i="5" s="1"/>
  <c r="AE50" i="5"/>
  <c r="AH55" i="5"/>
  <c r="AJ55" i="5" s="1"/>
  <c r="AV50" i="5"/>
  <c r="BE50" i="5" s="1"/>
  <c r="AF77" i="5" l="1"/>
  <c r="AV78" i="5"/>
  <c r="BE78" i="5" s="1"/>
  <c r="AH53" i="5"/>
  <c r="AJ53" i="5" s="1"/>
  <c r="AF75" i="5"/>
  <c r="AW60" i="5"/>
  <c r="AW58" i="5"/>
  <c r="BF58" i="5" s="1"/>
  <c r="AF71" i="5"/>
  <c r="AF73" i="5"/>
  <c r="AG51" i="5"/>
  <c r="AH51" i="5" s="1"/>
  <c r="AJ51" i="5" s="1"/>
  <c r="AF51" i="5"/>
  <c r="AG74" i="5"/>
  <c r="AW74" i="5" s="1"/>
  <c r="BF74" i="5" s="1"/>
  <c r="AF74" i="5"/>
  <c r="AF76" i="5"/>
  <c r="AG76" i="5"/>
  <c r="AH76" i="5" s="1"/>
  <c r="AJ76" i="5" s="1"/>
  <c r="AG64" i="5"/>
  <c r="AF64" i="5"/>
  <c r="AG54" i="5"/>
  <c r="AF54" i="5"/>
  <c r="AW77" i="5"/>
  <c r="BF77" i="5" s="1"/>
  <c r="AG70" i="5"/>
  <c r="AW70" i="5" s="1"/>
  <c r="BF70" i="5" s="1"/>
  <c r="AF70" i="5"/>
  <c r="AG50" i="5"/>
  <c r="AW50" i="5" s="1"/>
  <c r="BF50" i="5" s="1"/>
  <c r="AF50" i="5"/>
  <c r="AF66" i="5"/>
  <c r="AG66" i="5"/>
  <c r="AW66" i="5" s="1"/>
  <c r="AG65" i="5"/>
  <c r="AW65" i="5" s="1"/>
  <c r="AF65" i="5"/>
  <c r="AG78" i="5"/>
  <c r="AW78" i="5" s="1"/>
  <c r="BF78" i="5" s="1"/>
  <c r="AF78" i="5"/>
  <c r="AW62" i="5"/>
  <c r="AH64" i="5"/>
  <c r="AJ64" i="5" s="1"/>
  <c r="AX64" i="5" s="1"/>
  <c r="AF72" i="5"/>
  <c r="AG72" i="5"/>
  <c r="AW72" i="5" s="1"/>
  <c r="BF72" i="5" s="1"/>
  <c r="AL60" i="5"/>
  <c r="AJ60" i="5"/>
  <c r="AH71" i="5"/>
  <c r="AJ71" i="5" s="1"/>
  <c r="AX71" i="5" s="1"/>
  <c r="BG71" i="5" s="1"/>
  <c r="AJ61" i="5"/>
  <c r="AX61" i="5" s="1"/>
  <c r="AH73" i="5"/>
  <c r="AJ73" i="5" s="1"/>
  <c r="AL58" i="5"/>
  <c r="AJ58" i="5"/>
  <c r="AX58" i="5" s="1"/>
  <c r="BG58" i="5" s="1"/>
  <c r="AJ62" i="5"/>
  <c r="AN62" i="5" s="1"/>
  <c r="AP62" i="5" s="1"/>
  <c r="AO62" i="5" s="1"/>
  <c r="AH75" i="5"/>
  <c r="AJ75" i="5" s="1"/>
  <c r="AN75" i="5" s="1"/>
  <c r="AH79" i="5"/>
  <c r="AJ79" i="5" s="1"/>
  <c r="AW61" i="5"/>
  <c r="AL61" i="5"/>
  <c r="AL62" i="5"/>
  <c r="AH67" i="5"/>
  <c r="AL67" i="5" s="1"/>
  <c r="AH52" i="5"/>
  <c r="AJ52" i="5" s="1"/>
  <c r="AH74" i="5"/>
  <c r="AJ74" i="5" s="1"/>
  <c r="AX55" i="5"/>
  <c r="BG55" i="5" s="1"/>
  <c r="AL55" i="5"/>
  <c r="AN55" i="5"/>
  <c r="AN64" i="5"/>
  <c r="AX57" i="5"/>
  <c r="BG57" i="5" s="1"/>
  <c r="AL57" i="5"/>
  <c r="AN57" i="5"/>
  <c r="AX56" i="5"/>
  <c r="BG56" i="5" s="1"/>
  <c r="AL56" i="5"/>
  <c r="AN56" i="5"/>
  <c r="AX63" i="5"/>
  <c r="AL63" i="5"/>
  <c r="AN63" i="5"/>
  <c r="AL77" i="5"/>
  <c r="AN77" i="5"/>
  <c r="AX77" i="5"/>
  <c r="BG77" i="5" s="1"/>
  <c r="AL53" i="5"/>
  <c r="AN53" i="5"/>
  <c r="AX53" i="5"/>
  <c r="BG53" i="5" s="1"/>
  <c r="AW56" i="5"/>
  <c r="BF56" i="5" s="1"/>
  <c r="AW63" i="5"/>
  <c r="AW55" i="5"/>
  <c r="BF55" i="5" s="1"/>
  <c r="AW64" i="5"/>
  <c r="AW57" i="5"/>
  <c r="BF57" i="5" s="1"/>
  <c r="AL71" i="5"/>
  <c r="AL51" i="5"/>
  <c r="AW51" i="5" l="1"/>
  <c r="BF51" i="5" s="1"/>
  <c r="AX51" i="5"/>
  <c r="BG51" i="5" s="1"/>
  <c r="AN51" i="5"/>
  <c r="AH65" i="5"/>
  <c r="AJ65" i="5" s="1"/>
  <c r="AX65" i="5" s="1"/>
  <c r="AH66" i="5"/>
  <c r="AH78" i="5"/>
  <c r="AL78" i="5" s="1"/>
  <c r="AN79" i="5"/>
  <c r="AH70" i="5"/>
  <c r="AL74" i="5"/>
  <c r="AN61" i="5"/>
  <c r="AP61" i="5" s="1"/>
  <c r="AO61" i="5" s="1"/>
  <c r="AX74" i="5"/>
  <c r="BG74" i="5" s="1"/>
  <c r="AX75" i="5"/>
  <c r="BG75" i="5" s="1"/>
  <c r="AL73" i="5"/>
  <c r="AH72" i="5"/>
  <c r="AJ72" i="5" s="1"/>
  <c r="AW76" i="5"/>
  <c r="BF76" i="5" s="1"/>
  <c r="AL64" i="5"/>
  <c r="AN74" i="5"/>
  <c r="AX79" i="5"/>
  <c r="BG79" i="5" s="1"/>
  <c r="AL79" i="5"/>
  <c r="AN71" i="5"/>
  <c r="AP71" i="5" s="1"/>
  <c r="AO71" i="5" s="1"/>
  <c r="AX73" i="5"/>
  <c r="BG73" i="5" s="1"/>
  <c r="AX62" i="5"/>
  <c r="AL75" i="5"/>
  <c r="AN73" i="5"/>
  <c r="AP73" i="5" s="1"/>
  <c r="AO73" i="5" s="1"/>
  <c r="AJ67" i="5"/>
  <c r="AN67" i="5" s="1"/>
  <c r="AP67" i="5" s="1"/>
  <c r="AO67" i="5" s="1"/>
  <c r="AN58" i="5"/>
  <c r="AP58" i="5" s="1"/>
  <c r="AO58" i="5" s="1"/>
  <c r="AX60" i="5"/>
  <c r="AN60" i="5"/>
  <c r="AP60" i="5" s="1"/>
  <c r="AO60" i="5" s="1"/>
  <c r="AL66" i="5"/>
  <c r="AJ66" i="5"/>
  <c r="AX66" i="5" s="1"/>
  <c r="AH50" i="5"/>
  <c r="AH54" i="5"/>
  <c r="AJ54" i="5" s="1"/>
  <c r="AW54" i="5"/>
  <c r="BF54" i="5" s="1"/>
  <c r="AL52" i="5"/>
  <c r="AX52" i="5"/>
  <c r="BG52" i="5" s="1"/>
  <c r="AN52" i="5"/>
  <c r="AY62" i="5"/>
  <c r="AP79" i="5"/>
  <c r="AO79" i="5" s="1"/>
  <c r="AL76" i="5"/>
  <c r="AN76" i="5"/>
  <c r="AX76" i="5"/>
  <c r="BG76" i="5" s="1"/>
  <c r="AL72" i="5"/>
  <c r="AN72" i="5"/>
  <c r="AX72" i="5"/>
  <c r="BG72" i="5" s="1"/>
  <c r="AP77" i="5"/>
  <c r="AO77" i="5" s="1"/>
  <c r="AP56" i="5"/>
  <c r="AO56" i="5" s="1"/>
  <c r="AP55" i="5"/>
  <c r="AO55" i="5" s="1"/>
  <c r="AQ62" i="5"/>
  <c r="AP74" i="5"/>
  <c r="AO74" i="5" s="1"/>
  <c r="AP51" i="5"/>
  <c r="AO51" i="5" s="1"/>
  <c r="AP75" i="5"/>
  <c r="AO75" i="5" s="1"/>
  <c r="AP53" i="5"/>
  <c r="AO53" i="5" s="1"/>
  <c r="AP63" i="5"/>
  <c r="AO63" i="5" s="1"/>
  <c r="AP57" i="5"/>
  <c r="AO57" i="5" s="1"/>
  <c r="AP64" i="5"/>
  <c r="AO64" i="5" s="1"/>
  <c r="AN65" i="5" l="1"/>
  <c r="AJ78" i="5"/>
  <c r="AX78" i="5" s="1"/>
  <c r="BG78" i="5" s="1"/>
  <c r="AL65" i="5"/>
  <c r="AQ60" i="5"/>
  <c r="AQ61" i="5"/>
  <c r="AN78" i="5"/>
  <c r="AP78" i="5" s="1"/>
  <c r="AO78" i="5" s="1"/>
  <c r="AY61" i="5"/>
  <c r="AZ61" i="5" s="1"/>
  <c r="AJ70" i="5"/>
  <c r="AN70" i="5" s="1"/>
  <c r="AL70" i="5"/>
  <c r="AX67" i="5"/>
  <c r="AQ58" i="5"/>
  <c r="AY58" i="5"/>
  <c r="BH58" i="5" s="1"/>
  <c r="AZ62" i="5"/>
  <c r="AY60" i="5"/>
  <c r="AZ60" i="5" s="1"/>
  <c r="AN66" i="5"/>
  <c r="AP66" i="5" s="1"/>
  <c r="AO66" i="5" s="1"/>
  <c r="AL50" i="5"/>
  <c r="AJ50" i="5"/>
  <c r="AN50" i="5" s="1"/>
  <c r="AL54" i="5"/>
  <c r="AX54" i="5"/>
  <c r="BG54" i="5" s="1"/>
  <c r="AN54" i="5"/>
  <c r="AQ77" i="5"/>
  <c r="AQ67" i="5"/>
  <c r="AQ73" i="5"/>
  <c r="AQ53" i="5"/>
  <c r="AQ51" i="5"/>
  <c r="AQ71" i="5"/>
  <c r="AP52" i="5"/>
  <c r="AO52" i="5" s="1"/>
  <c r="AQ74" i="5"/>
  <c r="AY53" i="5"/>
  <c r="AY73" i="5"/>
  <c r="AQ75" i="5"/>
  <c r="AY67" i="5"/>
  <c r="AZ67" i="5" s="1"/>
  <c r="AY64" i="5"/>
  <c r="AZ64" i="5" s="1"/>
  <c r="AY57" i="5"/>
  <c r="AQ57" i="5"/>
  <c r="AY63" i="5"/>
  <c r="AZ63" i="5" s="1"/>
  <c r="AP65" i="5"/>
  <c r="AO65" i="5" s="1"/>
  <c r="AY75" i="5"/>
  <c r="AY51" i="5"/>
  <c r="AY74" i="5"/>
  <c r="AY55" i="5"/>
  <c r="AQ55" i="5"/>
  <c r="AY56" i="5"/>
  <c r="AQ56" i="5"/>
  <c r="AY77" i="5"/>
  <c r="AP72" i="5"/>
  <c r="AO72" i="5" s="1"/>
  <c r="AP76" i="5"/>
  <c r="AO76" i="5" s="1"/>
  <c r="AY79" i="5"/>
  <c r="AQ64" i="5"/>
  <c r="AQ63" i="5"/>
  <c r="AY71" i="5"/>
  <c r="AQ79" i="5"/>
  <c r="AQ78" i="5" l="1"/>
  <c r="AY78" i="5"/>
  <c r="AZ78" i="5" s="1"/>
  <c r="AX70" i="5"/>
  <c r="BG70" i="5" s="1"/>
  <c r="AY66" i="5"/>
  <c r="AZ66" i="5" s="1"/>
  <c r="AZ71" i="5"/>
  <c r="BH71" i="5"/>
  <c r="AZ79" i="5"/>
  <c r="BH79" i="5"/>
  <c r="BH78" i="5"/>
  <c r="AZ75" i="5"/>
  <c r="BH75" i="5"/>
  <c r="AZ74" i="5"/>
  <c r="BH74" i="5"/>
  <c r="AZ77" i="5"/>
  <c r="BH77" i="5"/>
  <c r="AZ73" i="5"/>
  <c r="BH73" i="5"/>
  <c r="AP70" i="5"/>
  <c r="AO70" i="5" s="1"/>
  <c r="AX50" i="5"/>
  <c r="BG50" i="5" s="1"/>
  <c r="AZ58" i="5"/>
  <c r="AP50" i="5"/>
  <c r="AO50" i="5" s="1"/>
  <c r="AQ66" i="5"/>
  <c r="AZ57" i="5"/>
  <c r="BH57" i="5"/>
  <c r="AZ53" i="5"/>
  <c r="BH53" i="5"/>
  <c r="AZ56" i="5"/>
  <c r="BH56" i="5"/>
  <c r="AZ55" i="5"/>
  <c r="BH55" i="5"/>
  <c r="AZ51" i="5"/>
  <c r="BH51" i="5"/>
  <c r="AP54" i="5"/>
  <c r="AO54" i="5" s="1"/>
  <c r="AY52" i="5"/>
  <c r="AQ52" i="5"/>
  <c r="AQ76" i="5"/>
  <c r="AY76" i="5"/>
  <c r="AQ72" i="5"/>
  <c r="AQ65" i="5"/>
  <c r="AY72" i="5"/>
  <c r="AY65" i="5"/>
  <c r="AZ65" i="5" s="1"/>
  <c r="AQ50" i="5" l="1"/>
  <c r="AQ70" i="5"/>
  <c r="AZ76" i="5"/>
  <c r="BH76" i="5"/>
  <c r="AZ72" i="5"/>
  <c r="BH72" i="5"/>
  <c r="AY70" i="5"/>
  <c r="AY50" i="5"/>
  <c r="AY54" i="5"/>
  <c r="AZ54" i="5" s="1"/>
  <c r="AQ54" i="5"/>
  <c r="AZ52" i="5"/>
  <c r="BH52" i="5"/>
  <c r="L102" i="4"/>
  <c r="N102" i="4" s="1"/>
  <c r="U102" i="4"/>
  <c r="Y102" i="4"/>
  <c r="AE102" i="4"/>
  <c r="AM102" i="4" s="1"/>
  <c r="L103" i="4"/>
  <c r="N103" i="4" s="1"/>
  <c r="U103" i="4"/>
  <c r="Y103" i="4"/>
  <c r="AE103" i="4"/>
  <c r="AM103" i="4" s="1"/>
  <c r="L104" i="4"/>
  <c r="N104" i="4" s="1"/>
  <c r="U104" i="4"/>
  <c r="Y104" i="4"/>
  <c r="AE104" i="4"/>
  <c r="AM104" i="4" s="1"/>
  <c r="L105" i="4"/>
  <c r="N105" i="4" s="1"/>
  <c r="U105" i="4"/>
  <c r="Y105" i="4"/>
  <c r="AE105" i="4"/>
  <c r="AM105" i="4" s="1"/>
  <c r="L106" i="4"/>
  <c r="N106" i="4" s="1"/>
  <c r="U106" i="4"/>
  <c r="Y106" i="4"/>
  <c r="AE106" i="4"/>
  <c r="AM106" i="4" s="1"/>
  <c r="L107" i="4"/>
  <c r="N107" i="4" s="1"/>
  <c r="U107" i="4"/>
  <c r="Y107" i="4"/>
  <c r="AE107" i="4"/>
  <c r="AM107" i="4" s="1"/>
  <c r="L108" i="4"/>
  <c r="N108" i="4" s="1"/>
  <c r="U108" i="4"/>
  <c r="Y108" i="4"/>
  <c r="AE108" i="4"/>
  <c r="AM108" i="4" s="1"/>
  <c r="L109" i="4"/>
  <c r="N109" i="4" s="1"/>
  <c r="U109" i="4"/>
  <c r="Y109" i="4"/>
  <c r="AE109" i="4"/>
  <c r="AM109" i="4" s="1"/>
  <c r="AG109" i="4"/>
  <c r="AO109" i="4" s="1"/>
  <c r="L110" i="4"/>
  <c r="N110" i="4" s="1"/>
  <c r="U110" i="4"/>
  <c r="Y110" i="4"/>
  <c r="AE110" i="4"/>
  <c r="AM110" i="4" s="1"/>
  <c r="L111" i="4"/>
  <c r="N111" i="4" s="1"/>
  <c r="U111" i="4"/>
  <c r="Y111" i="4"/>
  <c r="AE111" i="4"/>
  <c r="AM111" i="4" s="1"/>
  <c r="L112" i="4"/>
  <c r="N112" i="4" s="1"/>
  <c r="U112" i="4"/>
  <c r="Y112" i="4"/>
  <c r="AE112" i="4"/>
  <c r="AM112" i="4" s="1"/>
  <c r="L113" i="4"/>
  <c r="N113" i="4" s="1"/>
  <c r="U113" i="4"/>
  <c r="Y113" i="4"/>
  <c r="AE113" i="4"/>
  <c r="AM113" i="4" s="1"/>
  <c r="L114" i="4"/>
  <c r="N114" i="4" s="1"/>
  <c r="U114" i="4"/>
  <c r="Y114" i="4"/>
  <c r="AE114" i="4"/>
  <c r="AM114" i="4" s="1"/>
  <c r="L115" i="4"/>
  <c r="N115" i="4" s="1"/>
  <c r="U115" i="4"/>
  <c r="Y115" i="4"/>
  <c r="AE115" i="4"/>
  <c r="AM115" i="4" s="1"/>
  <c r="L116" i="4"/>
  <c r="N116" i="4" s="1"/>
  <c r="U116" i="4"/>
  <c r="Y116" i="4"/>
  <c r="AE116" i="4"/>
  <c r="AM116" i="4" s="1"/>
  <c r="L117" i="4"/>
  <c r="N117" i="4" s="1"/>
  <c r="U117" i="4"/>
  <c r="Y117" i="4"/>
  <c r="AE117" i="4"/>
  <c r="AM117" i="4" s="1"/>
  <c r="F117" i="4"/>
  <c r="B117" i="4" s="1"/>
  <c r="F116" i="4"/>
  <c r="B116" i="4" s="1"/>
  <c r="F115" i="4"/>
  <c r="B115" i="4" s="1"/>
  <c r="F114" i="4"/>
  <c r="B114" i="4" s="1"/>
  <c r="F113" i="4"/>
  <c r="B113" i="4" s="1"/>
  <c r="F112" i="4"/>
  <c r="B112" i="4" s="1"/>
  <c r="F111" i="4"/>
  <c r="B111" i="4" s="1"/>
  <c r="F110" i="4"/>
  <c r="B110" i="4" s="1"/>
  <c r="F109" i="4"/>
  <c r="B109" i="4" s="1"/>
  <c r="K108" i="4"/>
  <c r="F108" i="4"/>
  <c r="B108" i="4" s="1"/>
  <c r="K107" i="4"/>
  <c r="F107" i="4"/>
  <c r="B107" i="4" s="1"/>
  <c r="K106" i="4"/>
  <c r="F106" i="4"/>
  <c r="B106" i="4" s="1"/>
  <c r="K105" i="4"/>
  <c r="F105" i="4"/>
  <c r="B105" i="4" s="1"/>
  <c r="K104" i="4"/>
  <c r="F104" i="4"/>
  <c r="B104" i="4" s="1"/>
  <c r="K103" i="4"/>
  <c r="F103" i="4"/>
  <c r="B103" i="4" s="1"/>
  <c r="K102" i="4"/>
  <c r="F102" i="4"/>
  <c r="B102" i="4" s="1"/>
  <c r="F119" i="4"/>
  <c r="B119" i="4" s="1"/>
  <c r="K119" i="4"/>
  <c r="F120" i="4"/>
  <c r="B120" i="4" s="1"/>
  <c r="K120" i="4"/>
  <c r="F121" i="4"/>
  <c r="B121" i="4" s="1"/>
  <c r="K121" i="4"/>
  <c r="F122" i="4"/>
  <c r="B122" i="4" s="1"/>
  <c r="K122" i="4"/>
  <c r="F123" i="4"/>
  <c r="B123" i="4" s="1"/>
  <c r="K123" i="4"/>
  <c r="BH54" i="5" l="1"/>
  <c r="BH70" i="5"/>
  <c r="AZ70" i="5"/>
  <c r="AZ50" i="5"/>
  <c r="BH50" i="5"/>
  <c r="AG114" i="4"/>
  <c r="AO114" i="4" s="1"/>
  <c r="AG103" i="4"/>
  <c r="AO103" i="4" s="1"/>
  <c r="AG102" i="4"/>
  <c r="AO102" i="4" s="1"/>
  <c r="AG115" i="4"/>
  <c r="AO115" i="4" s="1"/>
  <c r="O114" i="4"/>
  <c r="Q114" i="4" s="1"/>
  <c r="O115" i="4"/>
  <c r="AG112" i="4"/>
  <c r="AO112" i="4" s="1"/>
  <c r="O103" i="4"/>
  <c r="O112" i="4"/>
  <c r="AG111" i="4"/>
  <c r="AO111" i="4" s="1"/>
  <c r="AG110" i="4"/>
  <c r="AO110" i="4" s="1"/>
  <c r="O110" i="4"/>
  <c r="Q110" i="4" s="1"/>
  <c r="O106" i="4"/>
  <c r="AG116" i="4"/>
  <c r="AO116" i="4" s="1"/>
  <c r="O116" i="4"/>
  <c r="Q116" i="4" s="1"/>
  <c r="O111" i="4"/>
  <c r="O109" i="4"/>
  <c r="O108" i="4"/>
  <c r="Q108" i="4" s="1"/>
  <c r="AG104" i="4"/>
  <c r="AO104" i="4" s="1"/>
  <c r="AG117" i="4"/>
  <c r="AO117" i="4" s="1"/>
  <c r="O117" i="4"/>
  <c r="Q117" i="4" s="1"/>
  <c r="AG113" i="4"/>
  <c r="AO113" i="4" s="1"/>
  <c r="AG108" i="4"/>
  <c r="AO108" i="4" s="1"/>
  <c r="AG107" i="4"/>
  <c r="AO107" i="4" s="1"/>
  <c r="O107" i="4"/>
  <c r="Q107" i="4" s="1"/>
  <c r="AG106" i="4"/>
  <c r="AO106" i="4" s="1"/>
  <c r="AG105" i="4"/>
  <c r="AO105" i="4" s="1"/>
  <c r="O105" i="4"/>
  <c r="Q105" i="4" s="1"/>
  <c r="O104" i="4"/>
  <c r="Q104" i="4" s="1"/>
  <c r="O102" i="4"/>
  <c r="Q102" i="4" s="1"/>
  <c r="O113" i="4"/>
  <c r="Q113" i="4" s="1"/>
  <c r="AE93" i="4"/>
  <c r="AE94" i="4"/>
  <c r="AE95" i="4"/>
  <c r="AE96" i="4"/>
  <c r="AE97" i="4"/>
  <c r="AE98" i="4"/>
  <c r="AE99" i="4"/>
  <c r="AE100" i="4"/>
  <c r="AE119" i="4"/>
  <c r="AM119" i="4" s="1"/>
  <c r="AE120" i="4"/>
  <c r="AM120" i="4" s="1"/>
  <c r="AE121" i="4"/>
  <c r="AM121" i="4" s="1"/>
  <c r="AE122" i="4"/>
  <c r="AM122" i="4" s="1"/>
  <c r="AE123" i="4"/>
  <c r="AM123" i="4" s="1"/>
  <c r="AE124" i="4"/>
  <c r="AM124" i="4" s="1"/>
  <c r="AE125" i="4"/>
  <c r="AM125" i="4" s="1"/>
  <c r="AE126" i="4"/>
  <c r="AM126" i="4" s="1"/>
  <c r="AE127" i="4"/>
  <c r="AM127" i="4" s="1"/>
  <c r="AE128" i="4"/>
  <c r="AM128" i="4" s="1"/>
  <c r="AE129" i="4"/>
  <c r="AE130" i="4"/>
  <c r="AE131" i="4"/>
  <c r="AE132" i="4"/>
  <c r="AE133" i="4"/>
  <c r="AE134" i="4"/>
  <c r="AE135" i="4"/>
  <c r="AE136" i="4"/>
  <c r="AE138" i="4"/>
  <c r="AM138" i="4" s="1"/>
  <c r="AE139" i="4"/>
  <c r="AM139" i="4" s="1"/>
  <c r="AE140" i="4"/>
  <c r="AM140" i="4" s="1"/>
  <c r="AE141" i="4"/>
  <c r="AM141" i="4" s="1"/>
  <c r="AE142" i="4"/>
  <c r="AM142" i="4" s="1"/>
  <c r="AE143" i="4"/>
  <c r="AM143" i="4" s="1"/>
  <c r="AE144" i="4"/>
  <c r="AM144" i="4" s="1"/>
  <c r="AE145" i="4"/>
  <c r="AM145" i="4" s="1"/>
  <c r="AE146" i="4"/>
  <c r="AM146" i="4" s="1"/>
  <c r="AE147" i="4"/>
  <c r="AM147" i="4" s="1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F42" i="4"/>
  <c r="AN42" i="4" s="1"/>
  <c r="AF43" i="4"/>
  <c r="AN43" i="4" s="1"/>
  <c r="AF44" i="4"/>
  <c r="AN44" i="4" s="1"/>
  <c r="AF45" i="4"/>
  <c r="AN45" i="4" s="1"/>
  <c r="AF46" i="4"/>
  <c r="AN46" i="4" s="1"/>
  <c r="AF47" i="4"/>
  <c r="AN47" i="4" s="1"/>
  <c r="AF48" i="4"/>
  <c r="AN48" i="4" s="1"/>
  <c r="AF49" i="4"/>
  <c r="AN49" i="4" s="1"/>
  <c r="AF50" i="4"/>
  <c r="AN50" i="4" s="1"/>
  <c r="AF51" i="4"/>
  <c r="AN51" i="4" s="1"/>
  <c r="AF52" i="4"/>
  <c r="AN52" i="4" s="1"/>
  <c r="AF53" i="4"/>
  <c r="AN53" i="4" s="1"/>
  <c r="AF55" i="4"/>
  <c r="AN55" i="4" s="1"/>
  <c r="AF56" i="4"/>
  <c r="AN56" i="4" s="1"/>
  <c r="AF57" i="4"/>
  <c r="AN57" i="4" s="1"/>
  <c r="AF58" i="4"/>
  <c r="AN58" i="4" s="1"/>
  <c r="AF59" i="4"/>
  <c r="AN59" i="4" s="1"/>
  <c r="AF60" i="4"/>
  <c r="AN60" i="4" s="1"/>
  <c r="AF61" i="4"/>
  <c r="AN61" i="4" s="1"/>
  <c r="AF62" i="4"/>
  <c r="AN62" i="4" s="1"/>
  <c r="AF63" i="4"/>
  <c r="AN63" i="4" s="1"/>
  <c r="AF64" i="4"/>
  <c r="AN64" i="4" s="1"/>
  <c r="AF65" i="4"/>
  <c r="AN65" i="4" s="1"/>
  <c r="AF66" i="4"/>
  <c r="AN66" i="4" s="1"/>
  <c r="AF68" i="4"/>
  <c r="AN68" i="4" s="1"/>
  <c r="AF69" i="4"/>
  <c r="AN69" i="4" s="1"/>
  <c r="AF70" i="4"/>
  <c r="AN70" i="4" s="1"/>
  <c r="AF71" i="4"/>
  <c r="AN71" i="4" s="1"/>
  <c r="AF72" i="4"/>
  <c r="AN72" i="4" s="1"/>
  <c r="AF73" i="4"/>
  <c r="AN73" i="4" s="1"/>
  <c r="AF74" i="4"/>
  <c r="AN74" i="4" s="1"/>
  <c r="AF75" i="4"/>
  <c r="AN75" i="4" s="1"/>
  <c r="AF76" i="4"/>
  <c r="AN76" i="4" s="1"/>
  <c r="AF77" i="4"/>
  <c r="AN77" i="4" s="1"/>
  <c r="AF78" i="4"/>
  <c r="AN78" i="4" s="1"/>
  <c r="AF79" i="4"/>
  <c r="AN79" i="4" s="1"/>
  <c r="AF11" i="4"/>
  <c r="AN11" i="4" s="1"/>
  <c r="AF12" i="4"/>
  <c r="AN12" i="4" s="1"/>
  <c r="AF13" i="4"/>
  <c r="AN13" i="4" s="1"/>
  <c r="AF14" i="4"/>
  <c r="AN14" i="4" s="1"/>
  <c r="AF15" i="4"/>
  <c r="AN15" i="4" s="1"/>
  <c r="AF16" i="4"/>
  <c r="AN16" i="4" s="1"/>
  <c r="AF17" i="4"/>
  <c r="AN17" i="4" s="1"/>
  <c r="AF18" i="4"/>
  <c r="AN18" i="4" s="1"/>
  <c r="AF19" i="4"/>
  <c r="AN19" i="4" s="1"/>
  <c r="AF20" i="4"/>
  <c r="AN20" i="4" s="1"/>
  <c r="AF21" i="4"/>
  <c r="AN21" i="4" s="1"/>
  <c r="AF22" i="4"/>
  <c r="AN22" i="4" s="1"/>
  <c r="AF23" i="4"/>
  <c r="AN23" i="4" s="1"/>
  <c r="AF24" i="4"/>
  <c r="AN24" i="4" s="1"/>
  <c r="AF25" i="4"/>
  <c r="AN25" i="4" s="1"/>
  <c r="AF26" i="4"/>
  <c r="AN26" i="4" s="1"/>
  <c r="AF27" i="4"/>
  <c r="AN27" i="4" s="1"/>
  <c r="AF29" i="4"/>
  <c r="AN29" i="4" s="1"/>
  <c r="AF30" i="4"/>
  <c r="AN30" i="4" s="1"/>
  <c r="AF31" i="4"/>
  <c r="AN31" i="4" s="1"/>
  <c r="AF32" i="4"/>
  <c r="AN32" i="4" s="1"/>
  <c r="AF33" i="4"/>
  <c r="AN33" i="4" s="1"/>
  <c r="AF34" i="4"/>
  <c r="AN34" i="4" s="1"/>
  <c r="AF35" i="4"/>
  <c r="AN35" i="4" s="1"/>
  <c r="AF36" i="4"/>
  <c r="AN36" i="4" s="1"/>
  <c r="AF37" i="4"/>
  <c r="AN37" i="4" s="1"/>
  <c r="AF38" i="4"/>
  <c r="AN38" i="4" s="1"/>
  <c r="AF39" i="4"/>
  <c r="AN39" i="4" s="1"/>
  <c r="AF40" i="4"/>
  <c r="AN40" i="4" s="1"/>
  <c r="AF10" i="4"/>
  <c r="AN10" i="4" s="1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9" i="4"/>
  <c r="U30" i="4"/>
  <c r="U31" i="4"/>
  <c r="U32" i="4"/>
  <c r="U33" i="4"/>
  <c r="U34" i="4"/>
  <c r="U35" i="4"/>
  <c r="U36" i="4"/>
  <c r="U37" i="4"/>
  <c r="U38" i="4"/>
  <c r="U39" i="4"/>
  <c r="U40" i="4"/>
  <c r="U42" i="4"/>
  <c r="U43" i="4"/>
  <c r="U44" i="4"/>
  <c r="U45" i="4"/>
  <c r="U46" i="4"/>
  <c r="U47" i="4"/>
  <c r="U48" i="4"/>
  <c r="U49" i="4"/>
  <c r="U50" i="4"/>
  <c r="U51" i="4"/>
  <c r="U52" i="4"/>
  <c r="U53" i="4"/>
  <c r="U55" i="4"/>
  <c r="U56" i="4"/>
  <c r="U57" i="4"/>
  <c r="U58" i="4"/>
  <c r="U59" i="4"/>
  <c r="U60" i="4"/>
  <c r="U61" i="4"/>
  <c r="U62" i="4"/>
  <c r="U63" i="4"/>
  <c r="U64" i="4"/>
  <c r="U65" i="4"/>
  <c r="U66" i="4"/>
  <c r="U68" i="4"/>
  <c r="U69" i="4"/>
  <c r="U70" i="4"/>
  <c r="U71" i="4"/>
  <c r="U72" i="4"/>
  <c r="U73" i="4"/>
  <c r="U74" i="4"/>
  <c r="U75" i="4"/>
  <c r="U76" i="4"/>
  <c r="U77" i="4"/>
  <c r="U78" i="4"/>
  <c r="U79" i="4"/>
  <c r="U93" i="4"/>
  <c r="U94" i="4"/>
  <c r="U95" i="4"/>
  <c r="U96" i="4"/>
  <c r="U97" i="4"/>
  <c r="U98" i="4"/>
  <c r="U99" i="4"/>
  <c r="U100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8" i="4"/>
  <c r="U139" i="4"/>
  <c r="U140" i="4"/>
  <c r="U141" i="4"/>
  <c r="U142" i="4"/>
  <c r="U143" i="4"/>
  <c r="U144" i="4"/>
  <c r="U145" i="4"/>
  <c r="U146" i="4"/>
  <c r="U147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0" i="4"/>
  <c r="Y93" i="4"/>
  <c r="Y94" i="4"/>
  <c r="Y95" i="4"/>
  <c r="Y96" i="4"/>
  <c r="Y97" i="4"/>
  <c r="Y98" i="4"/>
  <c r="Y99" i="4"/>
  <c r="Y100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8" i="4"/>
  <c r="Y139" i="4"/>
  <c r="Y140" i="4"/>
  <c r="Y141" i="4"/>
  <c r="Y142" i="4"/>
  <c r="Y143" i="4"/>
  <c r="Y144" i="4"/>
  <c r="Y145" i="4"/>
  <c r="Y146" i="4"/>
  <c r="Y147" i="4"/>
  <c r="L93" i="4"/>
  <c r="N93" i="4" s="1"/>
  <c r="L94" i="4"/>
  <c r="N94" i="4" s="1"/>
  <c r="L95" i="4"/>
  <c r="N95" i="4" s="1"/>
  <c r="L96" i="4"/>
  <c r="N96" i="4" s="1"/>
  <c r="L97" i="4"/>
  <c r="N97" i="4" s="1"/>
  <c r="L98" i="4"/>
  <c r="N98" i="4" s="1"/>
  <c r="L99" i="4"/>
  <c r="N99" i="4" s="1"/>
  <c r="L100" i="4"/>
  <c r="N100" i="4" s="1"/>
  <c r="AG119" i="4"/>
  <c r="AO119" i="4" s="1"/>
  <c r="O120" i="4"/>
  <c r="O121" i="4"/>
  <c r="O123" i="4"/>
  <c r="O125" i="4"/>
  <c r="O127" i="4"/>
  <c r="O129" i="4"/>
  <c r="O131" i="4"/>
  <c r="O141" i="4"/>
  <c r="L142" i="4"/>
  <c r="N142" i="4" s="1"/>
  <c r="L143" i="4"/>
  <c r="N143" i="4" s="1"/>
  <c r="L144" i="4"/>
  <c r="N144" i="4" s="1"/>
  <c r="L145" i="4"/>
  <c r="N145" i="4" s="1"/>
  <c r="AG146" i="4"/>
  <c r="AO146" i="4" s="1"/>
  <c r="AG147" i="4"/>
  <c r="AO147" i="4" s="1"/>
  <c r="P129" i="4" l="1"/>
  <c r="S129" i="4" s="1"/>
  <c r="Q129" i="4"/>
  <c r="P115" i="4"/>
  <c r="Q115" i="4"/>
  <c r="P127" i="4"/>
  <c r="S127" i="4" s="1"/>
  <c r="Q127" i="4"/>
  <c r="P109" i="4"/>
  <c r="Q109" i="4"/>
  <c r="AH109" i="4" s="1"/>
  <c r="AP109" i="4" s="1"/>
  <c r="P106" i="4"/>
  <c r="Q106" i="4"/>
  <c r="AH106" i="4" s="1"/>
  <c r="AP106" i="4" s="1"/>
  <c r="P112" i="4"/>
  <c r="Q112" i="4"/>
  <c r="P121" i="4"/>
  <c r="S121" i="4" s="1"/>
  <c r="Q121" i="4"/>
  <c r="P120" i="4"/>
  <c r="S120" i="4" s="1"/>
  <c r="Q120" i="4"/>
  <c r="AH120" i="4" s="1"/>
  <c r="AP120" i="4" s="1"/>
  <c r="P141" i="4"/>
  <c r="S141" i="4" s="1"/>
  <c r="Q141" i="4"/>
  <c r="P125" i="4"/>
  <c r="S125" i="4" s="1"/>
  <c r="Q125" i="4"/>
  <c r="AH125" i="4" s="1"/>
  <c r="AP125" i="4" s="1"/>
  <c r="P131" i="4"/>
  <c r="S131" i="4" s="1"/>
  <c r="Q131" i="4"/>
  <c r="P123" i="4"/>
  <c r="S123" i="4" s="1"/>
  <c r="Q123" i="4"/>
  <c r="AH123" i="4" s="1"/>
  <c r="AP123" i="4" s="1"/>
  <c r="P111" i="4"/>
  <c r="Q111" i="4"/>
  <c r="AH111" i="4" s="1"/>
  <c r="AP111" i="4" s="1"/>
  <c r="P103" i="4"/>
  <c r="S103" i="4" s="1"/>
  <c r="Q103" i="4"/>
  <c r="AH103" i="4" s="1"/>
  <c r="AP103" i="4" s="1"/>
  <c r="R112" i="4"/>
  <c r="R111" i="4"/>
  <c r="AH112" i="4"/>
  <c r="AP112" i="4" s="1"/>
  <c r="R115" i="4"/>
  <c r="T103" i="4"/>
  <c r="AI103" i="4" s="1"/>
  <c r="AQ103" i="4" s="1"/>
  <c r="AH115" i="4"/>
  <c r="AP115" i="4" s="1"/>
  <c r="P114" i="4"/>
  <c r="S114" i="4" s="1"/>
  <c r="AH114" i="4"/>
  <c r="AP114" i="4" s="1"/>
  <c r="P110" i="4"/>
  <c r="S110" i="4" s="1"/>
  <c r="AH110" i="4"/>
  <c r="AP110" i="4" s="1"/>
  <c r="P108" i="4"/>
  <c r="S108" i="4" s="1"/>
  <c r="AH108" i="4"/>
  <c r="AP108" i="4" s="1"/>
  <c r="P116" i="4"/>
  <c r="S116" i="4" s="1"/>
  <c r="AH116" i="4"/>
  <c r="AP116" i="4" s="1"/>
  <c r="P102" i="4"/>
  <c r="S102" i="4" s="1"/>
  <c r="AH102" i="4"/>
  <c r="AP102" i="4" s="1"/>
  <c r="P104" i="4"/>
  <c r="S104" i="4" s="1"/>
  <c r="AH104" i="4"/>
  <c r="AP104" i="4" s="1"/>
  <c r="P107" i="4"/>
  <c r="S107" i="4" s="1"/>
  <c r="AH107" i="4"/>
  <c r="AP107" i="4" s="1"/>
  <c r="P105" i="4"/>
  <c r="S105" i="4" s="1"/>
  <c r="AH105" i="4"/>
  <c r="AP105" i="4" s="1"/>
  <c r="P117" i="4"/>
  <c r="S117" i="4" s="1"/>
  <c r="AH117" i="4"/>
  <c r="AP117" i="4" s="1"/>
  <c r="P113" i="4"/>
  <c r="S113" i="4" s="1"/>
  <c r="AH113" i="4"/>
  <c r="AP113" i="4" s="1"/>
  <c r="O119" i="4"/>
  <c r="Q119" i="4" s="1"/>
  <c r="O94" i="4"/>
  <c r="O146" i="4"/>
  <c r="O147" i="4"/>
  <c r="Q147" i="4" s="1"/>
  <c r="O145" i="4"/>
  <c r="Q145" i="4" s="1"/>
  <c r="L147" i="4"/>
  <c r="N147" i="4" s="1"/>
  <c r="L146" i="4"/>
  <c r="N146" i="4" s="1"/>
  <c r="T120" i="4"/>
  <c r="R120" i="4"/>
  <c r="T141" i="4"/>
  <c r="V141" i="4" s="1"/>
  <c r="R141" i="4"/>
  <c r="L139" i="4"/>
  <c r="N139" i="4" s="1"/>
  <c r="AG139" i="4"/>
  <c r="AO139" i="4" s="1"/>
  <c r="L136" i="4"/>
  <c r="N136" i="4" s="1"/>
  <c r="AG136" i="4"/>
  <c r="L134" i="4"/>
  <c r="N134" i="4" s="1"/>
  <c r="AG134" i="4"/>
  <c r="L132" i="4"/>
  <c r="N132" i="4" s="1"/>
  <c r="AG132" i="4"/>
  <c r="T131" i="4"/>
  <c r="R131" i="4"/>
  <c r="L130" i="4"/>
  <c r="N130" i="4" s="1"/>
  <c r="AG130" i="4"/>
  <c r="T129" i="4"/>
  <c r="R129" i="4"/>
  <c r="L128" i="4"/>
  <c r="N128" i="4" s="1"/>
  <c r="AG128" i="4"/>
  <c r="AO128" i="4" s="1"/>
  <c r="R127" i="4"/>
  <c r="T127" i="4"/>
  <c r="L126" i="4"/>
  <c r="N126" i="4" s="1"/>
  <c r="AG126" i="4"/>
  <c r="AO126" i="4" s="1"/>
  <c r="R125" i="4"/>
  <c r="T125" i="4"/>
  <c r="L124" i="4"/>
  <c r="N124" i="4" s="1"/>
  <c r="AG124" i="4"/>
  <c r="AO124" i="4" s="1"/>
  <c r="T123" i="4"/>
  <c r="V123" i="4" s="1"/>
  <c r="L122" i="4"/>
  <c r="N122" i="4" s="1"/>
  <c r="AG122" i="4"/>
  <c r="AO122" i="4" s="1"/>
  <c r="R121" i="4"/>
  <c r="T121" i="4"/>
  <c r="AG144" i="4"/>
  <c r="AO144" i="4" s="1"/>
  <c r="AG143" i="4"/>
  <c r="AO143" i="4" s="1"/>
  <c r="AG142" i="4"/>
  <c r="AO142" i="4" s="1"/>
  <c r="L140" i="4"/>
  <c r="N140" i="4" s="1"/>
  <c r="AG140" i="4"/>
  <c r="AO140" i="4" s="1"/>
  <c r="O143" i="4"/>
  <c r="L141" i="4"/>
  <c r="N141" i="4" s="1"/>
  <c r="AG141" i="4"/>
  <c r="AO141" i="4" s="1"/>
  <c r="O139" i="4"/>
  <c r="L138" i="4"/>
  <c r="N138" i="4" s="1"/>
  <c r="AG138" i="4"/>
  <c r="AO138" i="4" s="1"/>
  <c r="L135" i="4"/>
  <c r="N135" i="4" s="1"/>
  <c r="AG135" i="4"/>
  <c r="L133" i="4"/>
  <c r="N133" i="4" s="1"/>
  <c r="AG133" i="4"/>
  <c r="O132" i="4"/>
  <c r="Q132" i="4" s="1"/>
  <c r="AH131" i="4"/>
  <c r="L131" i="4"/>
  <c r="N131" i="4" s="1"/>
  <c r="AG131" i="4"/>
  <c r="O130" i="4"/>
  <c r="Q130" i="4" s="1"/>
  <c r="AH129" i="4"/>
  <c r="L129" i="4"/>
  <c r="N129" i="4" s="1"/>
  <c r="AG129" i="4"/>
  <c r="O128" i="4"/>
  <c r="Q128" i="4" s="1"/>
  <c r="AH127" i="4"/>
  <c r="AP127" i="4" s="1"/>
  <c r="L127" i="4"/>
  <c r="N127" i="4" s="1"/>
  <c r="AG127" i="4"/>
  <c r="AO127" i="4" s="1"/>
  <c r="O126" i="4"/>
  <c r="Q126" i="4" s="1"/>
  <c r="L125" i="4"/>
  <c r="N125" i="4" s="1"/>
  <c r="AG125" i="4"/>
  <c r="AO125" i="4" s="1"/>
  <c r="O124" i="4"/>
  <c r="Q124" i="4" s="1"/>
  <c r="L123" i="4"/>
  <c r="N123" i="4" s="1"/>
  <c r="AG123" i="4"/>
  <c r="AO123" i="4" s="1"/>
  <c r="O122" i="4"/>
  <c r="Q122" i="4" s="1"/>
  <c r="AH121" i="4"/>
  <c r="AP121" i="4" s="1"/>
  <c r="L121" i="4"/>
  <c r="N121" i="4" s="1"/>
  <c r="AG121" i="4"/>
  <c r="AO121" i="4" s="1"/>
  <c r="L120" i="4"/>
  <c r="N120" i="4" s="1"/>
  <c r="AG120" i="4"/>
  <c r="AO120" i="4" s="1"/>
  <c r="L119" i="4"/>
  <c r="N119" i="4" s="1"/>
  <c r="O98" i="4"/>
  <c r="AG145" i="4"/>
  <c r="AO145" i="4" s="1"/>
  <c r="O100" i="4"/>
  <c r="O96" i="4"/>
  <c r="AG99" i="4"/>
  <c r="AG97" i="4"/>
  <c r="AG95" i="4"/>
  <c r="AG93" i="4"/>
  <c r="O99" i="4"/>
  <c r="Q99" i="4" s="1"/>
  <c r="O97" i="4"/>
  <c r="Q97" i="4" s="1"/>
  <c r="O95" i="4"/>
  <c r="Q95" i="4" s="1"/>
  <c r="O93" i="4"/>
  <c r="Q93" i="4" s="1"/>
  <c r="AG100" i="4"/>
  <c r="AG98" i="4"/>
  <c r="AG96" i="4"/>
  <c r="AG94" i="4"/>
  <c r="O144" i="4"/>
  <c r="Q144" i="4" s="1"/>
  <c r="O142" i="4"/>
  <c r="Q142" i="4" s="1"/>
  <c r="AH141" i="4"/>
  <c r="AP141" i="4" s="1"/>
  <c r="O140" i="4"/>
  <c r="Q140" i="4" s="1"/>
  <c r="O138" i="4"/>
  <c r="Q138" i="4" s="1"/>
  <c r="O135" i="4"/>
  <c r="Q135" i="4" s="1"/>
  <c r="O133" i="4"/>
  <c r="Q133" i="4" s="1"/>
  <c r="O136" i="4"/>
  <c r="Q136" i="4" s="1"/>
  <c r="O134" i="4"/>
  <c r="Q134" i="4" s="1"/>
  <c r="R123" i="4" l="1"/>
  <c r="R103" i="4"/>
  <c r="P98" i="4"/>
  <c r="S98" i="4" s="1"/>
  <c r="Q98" i="4"/>
  <c r="S112" i="4"/>
  <c r="T112" i="4" s="1"/>
  <c r="R109" i="4"/>
  <c r="S109" i="4"/>
  <c r="T109" i="4" s="1"/>
  <c r="S115" i="4"/>
  <c r="T115" i="4" s="1"/>
  <c r="P96" i="4"/>
  <c r="S96" i="4" s="1"/>
  <c r="Q96" i="4"/>
  <c r="P143" i="4"/>
  <c r="S143" i="4" s="1"/>
  <c r="Q143" i="4"/>
  <c r="AH143" i="4" s="1"/>
  <c r="AP143" i="4" s="1"/>
  <c r="P100" i="4"/>
  <c r="S100" i="4" s="1"/>
  <c r="Q100" i="4"/>
  <c r="P139" i="4"/>
  <c r="S139" i="4" s="1"/>
  <c r="Q139" i="4"/>
  <c r="AH139" i="4" s="1"/>
  <c r="AP139" i="4" s="1"/>
  <c r="P146" i="4"/>
  <c r="S146" i="4" s="1"/>
  <c r="Q146" i="4"/>
  <c r="P94" i="4"/>
  <c r="Q94" i="4"/>
  <c r="AH94" i="4" s="1"/>
  <c r="S111" i="4"/>
  <c r="T111" i="4" s="1"/>
  <c r="R106" i="4"/>
  <c r="S106" i="4"/>
  <c r="T106" i="4" s="1"/>
  <c r="V106" i="4" s="1"/>
  <c r="AI120" i="4"/>
  <c r="AQ120" i="4" s="1"/>
  <c r="V120" i="4"/>
  <c r="AI127" i="4"/>
  <c r="AQ127" i="4" s="1"/>
  <c r="V127" i="4"/>
  <c r="AJ127" i="4" s="1"/>
  <c r="AR127" i="4" s="1"/>
  <c r="AI131" i="4"/>
  <c r="V131" i="4"/>
  <c r="AJ131" i="4" s="1"/>
  <c r="V103" i="4"/>
  <c r="Z103" i="4" s="1"/>
  <c r="AB103" i="4" s="1"/>
  <c r="AA103" i="4" s="1"/>
  <c r="AC103" i="4" s="1"/>
  <c r="AI121" i="4"/>
  <c r="AQ121" i="4" s="1"/>
  <c r="V121" i="4"/>
  <c r="AJ121" i="4" s="1"/>
  <c r="AR121" i="4" s="1"/>
  <c r="AI125" i="4"/>
  <c r="AQ125" i="4" s="1"/>
  <c r="V125" i="4"/>
  <c r="Z125" i="4" s="1"/>
  <c r="AB125" i="4" s="1"/>
  <c r="AK125" i="4" s="1"/>
  <c r="AS125" i="4" s="1"/>
  <c r="AI129" i="4"/>
  <c r="V129" i="4"/>
  <c r="T146" i="4"/>
  <c r="V146" i="4" s="1"/>
  <c r="X103" i="4"/>
  <c r="AH100" i="4"/>
  <c r="AI141" i="4"/>
  <c r="AQ141" i="4" s="1"/>
  <c r="X141" i="4"/>
  <c r="AH98" i="4"/>
  <c r="AH146" i="4"/>
  <c r="AP146" i="4" s="1"/>
  <c r="T114" i="4"/>
  <c r="V114" i="4" s="1"/>
  <c r="R114" i="4"/>
  <c r="R110" i="4"/>
  <c r="T110" i="4"/>
  <c r="V110" i="4" s="1"/>
  <c r="R116" i="4"/>
  <c r="T116" i="4"/>
  <c r="V116" i="4" s="1"/>
  <c r="R108" i="4"/>
  <c r="T108" i="4"/>
  <c r="V108" i="4" s="1"/>
  <c r="R117" i="4"/>
  <c r="T117" i="4"/>
  <c r="V117" i="4" s="1"/>
  <c r="R105" i="4"/>
  <c r="T105" i="4"/>
  <c r="V105" i="4" s="1"/>
  <c r="T107" i="4"/>
  <c r="V107" i="4" s="1"/>
  <c r="R107" i="4"/>
  <c r="R104" i="4"/>
  <c r="T104" i="4"/>
  <c r="V104" i="4" s="1"/>
  <c r="R102" i="4"/>
  <c r="T102" i="4"/>
  <c r="V102" i="4" s="1"/>
  <c r="R113" i="4"/>
  <c r="T113" i="4"/>
  <c r="V113" i="4" s="1"/>
  <c r="AH96" i="4"/>
  <c r="AI123" i="4"/>
  <c r="AQ123" i="4" s="1"/>
  <c r="X123" i="4"/>
  <c r="T96" i="4"/>
  <c r="T100" i="4"/>
  <c r="T98" i="4"/>
  <c r="P119" i="4"/>
  <c r="S119" i="4" s="1"/>
  <c r="AH119" i="4"/>
  <c r="AP119" i="4" s="1"/>
  <c r="R98" i="4"/>
  <c r="R100" i="4"/>
  <c r="P145" i="4"/>
  <c r="S145" i="4" s="1"/>
  <c r="AH145" i="4"/>
  <c r="AP145" i="4" s="1"/>
  <c r="P147" i="4"/>
  <c r="S147" i="4" s="1"/>
  <c r="AH147" i="4"/>
  <c r="AP147" i="4" s="1"/>
  <c r="X121" i="4"/>
  <c r="AJ125" i="4"/>
  <c r="AR125" i="4" s="1"/>
  <c r="X125" i="4"/>
  <c r="R96" i="4"/>
  <c r="T139" i="4"/>
  <c r="R139" i="4"/>
  <c r="X131" i="4"/>
  <c r="AJ120" i="4"/>
  <c r="AR120" i="4" s="1"/>
  <c r="X120" i="4"/>
  <c r="Z120" i="4"/>
  <c r="AB120" i="4" s="1"/>
  <c r="AK120" i="4" s="1"/>
  <c r="AS120" i="4" s="1"/>
  <c r="P122" i="4"/>
  <c r="S122" i="4" s="1"/>
  <c r="AH122" i="4"/>
  <c r="AP122" i="4" s="1"/>
  <c r="P124" i="4"/>
  <c r="S124" i="4" s="1"/>
  <c r="AH124" i="4"/>
  <c r="AP124" i="4" s="1"/>
  <c r="P126" i="4"/>
  <c r="S126" i="4" s="1"/>
  <c r="AH126" i="4"/>
  <c r="AP126" i="4" s="1"/>
  <c r="P128" i="4"/>
  <c r="S128" i="4" s="1"/>
  <c r="AH128" i="4"/>
  <c r="AP128" i="4" s="1"/>
  <c r="P130" i="4"/>
  <c r="S130" i="4" s="1"/>
  <c r="AH130" i="4"/>
  <c r="P132" i="4"/>
  <c r="S132" i="4" s="1"/>
  <c r="AH132" i="4"/>
  <c r="R143" i="4"/>
  <c r="T143" i="4"/>
  <c r="AJ123" i="4"/>
  <c r="AR123" i="4" s="1"/>
  <c r="Z123" i="4"/>
  <c r="AB123" i="4" s="1"/>
  <c r="AK123" i="4" s="1"/>
  <c r="AS123" i="4" s="1"/>
  <c r="X127" i="4"/>
  <c r="AJ129" i="4"/>
  <c r="X129" i="4"/>
  <c r="Z129" i="4"/>
  <c r="AB129" i="4" s="1"/>
  <c r="AK129" i="4" s="1"/>
  <c r="AJ141" i="4"/>
  <c r="AR141" i="4" s="1"/>
  <c r="Z141" i="4"/>
  <c r="P93" i="4"/>
  <c r="S93" i="4" s="1"/>
  <c r="AH93" i="4"/>
  <c r="P95" i="4"/>
  <c r="S95" i="4" s="1"/>
  <c r="AH95" i="4"/>
  <c r="P97" i="4"/>
  <c r="S97" i="4" s="1"/>
  <c r="AH97" i="4"/>
  <c r="P99" i="4"/>
  <c r="S99" i="4" s="1"/>
  <c r="AH99" i="4"/>
  <c r="P134" i="4"/>
  <c r="S134" i="4" s="1"/>
  <c r="AH134" i="4"/>
  <c r="P133" i="4"/>
  <c r="S133" i="4" s="1"/>
  <c r="AH133" i="4"/>
  <c r="P136" i="4"/>
  <c r="S136" i="4" s="1"/>
  <c r="AH136" i="4"/>
  <c r="P135" i="4"/>
  <c r="S135" i="4" s="1"/>
  <c r="AH135" i="4"/>
  <c r="P138" i="4"/>
  <c r="S138" i="4" s="1"/>
  <c r="AH138" i="4"/>
  <c r="AP138" i="4" s="1"/>
  <c r="P140" i="4"/>
  <c r="S140" i="4" s="1"/>
  <c r="AH140" i="4"/>
  <c r="AP140" i="4" s="1"/>
  <c r="P142" i="4"/>
  <c r="S142" i="4" s="1"/>
  <c r="AH142" i="4"/>
  <c r="AP142" i="4" s="1"/>
  <c r="P144" i="4"/>
  <c r="S144" i="4" s="1"/>
  <c r="AH144" i="4"/>
  <c r="AP144" i="4" s="1"/>
  <c r="X106" i="4" l="1"/>
  <c r="R146" i="4"/>
  <c r="Z131" i="4"/>
  <c r="AB131" i="4" s="1"/>
  <c r="AK131" i="4" s="1"/>
  <c r="V111" i="4"/>
  <c r="AI111" i="4"/>
  <c r="AQ111" i="4" s="1"/>
  <c r="AJ111" i="4"/>
  <c r="AR111" i="4" s="1"/>
  <c r="Z111" i="4"/>
  <c r="AB111" i="4" s="1"/>
  <c r="AA111" i="4" s="1"/>
  <c r="AC111" i="4" s="1"/>
  <c r="X111" i="4"/>
  <c r="V112" i="4"/>
  <c r="AJ112" i="4" s="1"/>
  <c r="AR112" i="4" s="1"/>
  <c r="X112" i="4"/>
  <c r="AI112" i="4"/>
  <c r="V115" i="4"/>
  <c r="AJ115" i="4" s="1"/>
  <c r="AR115" i="4" s="1"/>
  <c r="AI115" i="4"/>
  <c r="AQ115" i="4" s="1"/>
  <c r="X115" i="4"/>
  <c r="AJ106" i="4"/>
  <c r="AR106" i="4" s="1"/>
  <c r="R94" i="4"/>
  <c r="S94" i="4"/>
  <c r="T94" i="4" s="1"/>
  <c r="V94" i="4" s="1"/>
  <c r="Z94" i="4" s="1"/>
  <c r="AB94" i="4" s="1"/>
  <c r="AA94" i="4" s="1"/>
  <c r="AC94" i="4" s="1"/>
  <c r="Z106" i="4"/>
  <c r="AB106" i="4" s="1"/>
  <c r="AA106" i="4" s="1"/>
  <c r="AC106" i="4" s="1"/>
  <c r="V109" i="4"/>
  <c r="AI109" i="4"/>
  <c r="AQ109" i="4" s="1"/>
  <c r="AJ109" i="4"/>
  <c r="AR109" i="4" s="1"/>
  <c r="X109" i="4"/>
  <c r="Z109" i="4"/>
  <c r="AB109" i="4" s="1"/>
  <c r="AA109" i="4" s="1"/>
  <c r="AC109" i="4" s="1"/>
  <c r="AI106" i="4"/>
  <c r="AQ106" i="4" s="1"/>
  <c r="AJ103" i="4"/>
  <c r="AR103" i="4" s="1"/>
  <c r="AA123" i="4"/>
  <c r="AC123" i="4" s="1"/>
  <c r="Z127" i="4"/>
  <c r="AB127" i="4" s="1"/>
  <c r="AK127" i="4" s="1"/>
  <c r="AS127" i="4" s="1"/>
  <c r="AD120" i="4"/>
  <c r="Z146" i="4"/>
  <c r="AB146" i="4" s="1"/>
  <c r="AK146" i="4" s="1"/>
  <c r="AS146" i="4" s="1"/>
  <c r="Z121" i="4"/>
  <c r="AB121" i="4" s="1"/>
  <c r="AA121" i="4" s="1"/>
  <c r="AC121" i="4" s="1"/>
  <c r="AJ146" i="4"/>
  <c r="AR146" i="4" s="1"/>
  <c r="AI139" i="4"/>
  <c r="AQ139" i="4" s="1"/>
  <c r="V139" i="4"/>
  <c r="AJ139" i="4" s="1"/>
  <c r="AR139" i="4" s="1"/>
  <c r="V96" i="4"/>
  <c r="Z96" i="4" s="1"/>
  <c r="AB96" i="4" s="1"/>
  <c r="AA96" i="4" s="1"/>
  <c r="AC96" i="4" s="1"/>
  <c r="AI143" i="4"/>
  <c r="AQ143" i="4" s="1"/>
  <c r="V143" i="4"/>
  <c r="Z143" i="4" s="1"/>
  <c r="X98" i="4"/>
  <c r="V98" i="4"/>
  <c r="Z98" i="4" s="1"/>
  <c r="AB98" i="4" s="1"/>
  <c r="AA98" i="4" s="1"/>
  <c r="AC98" i="4" s="1"/>
  <c r="V100" i="4"/>
  <c r="Z100" i="4" s="1"/>
  <c r="AB100" i="4" s="1"/>
  <c r="AA100" i="4" s="1"/>
  <c r="AC100" i="4" s="1"/>
  <c r="X100" i="4"/>
  <c r="X94" i="4"/>
  <c r="AI146" i="4"/>
  <c r="AQ146" i="4" s="1"/>
  <c r="X146" i="4"/>
  <c r="AD131" i="4"/>
  <c r="AA120" i="4"/>
  <c r="AC120" i="4" s="1"/>
  <c r="AL131" i="4"/>
  <c r="AD123" i="4"/>
  <c r="AA129" i="4"/>
  <c r="AC129" i="4" s="1"/>
  <c r="AD125" i="4"/>
  <c r="X96" i="4"/>
  <c r="AK103" i="4"/>
  <c r="AS103" i="4" s="1"/>
  <c r="X114" i="4"/>
  <c r="AI114" i="4"/>
  <c r="AQ114" i="4" s="1"/>
  <c r="Z114" i="4"/>
  <c r="AJ114" i="4"/>
  <c r="AR114" i="4" s="1"/>
  <c r="AK109" i="4"/>
  <c r="AS109" i="4" s="1"/>
  <c r="AK106" i="4"/>
  <c r="AS106" i="4" s="1"/>
  <c r="X110" i="4"/>
  <c r="AI110" i="4"/>
  <c r="AQ110" i="4" s="1"/>
  <c r="AJ110" i="4"/>
  <c r="AR110" i="4" s="1"/>
  <c r="Z110" i="4"/>
  <c r="AD106" i="4"/>
  <c r="X108" i="4"/>
  <c r="AI108" i="4"/>
  <c r="AQ108" i="4" s="1"/>
  <c r="AJ108" i="4"/>
  <c r="AR108" i="4" s="1"/>
  <c r="Z108" i="4"/>
  <c r="X116" i="4"/>
  <c r="AI116" i="4"/>
  <c r="AQ116" i="4" s="1"/>
  <c r="Z116" i="4"/>
  <c r="AJ116" i="4"/>
  <c r="AR116" i="4" s="1"/>
  <c r="X102" i="4"/>
  <c r="AI102" i="4"/>
  <c r="AQ102" i="4" s="1"/>
  <c r="AJ102" i="4"/>
  <c r="AR102" i="4" s="1"/>
  <c r="Z102" i="4"/>
  <c r="X105" i="4"/>
  <c r="AI105" i="4"/>
  <c r="AQ105" i="4" s="1"/>
  <c r="Z105" i="4"/>
  <c r="AJ105" i="4"/>
  <c r="AR105" i="4" s="1"/>
  <c r="X107" i="4"/>
  <c r="AI107" i="4"/>
  <c r="AQ107" i="4" s="1"/>
  <c r="Z107" i="4"/>
  <c r="AJ107" i="4"/>
  <c r="AR107" i="4" s="1"/>
  <c r="AJ104" i="4"/>
  <c r="AR104" i="4" s="1"/>
  <c r="Z104" i="4"/>
  <c r="X104" i="4"/>
  <c r="AI104" i="4"/>
  <c r="AQ104" i="4" s="1"/>
  <c r="AJ117" i="4"/>
  <c r="AR117" i="4" s="1"/>
  <c r="Z117" i="4"/>
  <c r="X117" i="4"/>
  <c r="AI117" i="4"/>
  <c r="AQ117" i="4" s="1"/>
  <c r="AD129" i="4"/>
  <c r="AI98" i="4"/>
  <c r="AI100" i="4"/>
  <c r="AD109" i="4"/>
  <c r="AJ113" i="4"/>
  <c r="AR113" i="4" s="1"/>
  <c r="X113" i="4"/>
  <c r="Z113" i="4"/>
  <c r="AI113" i="4"/>
  <c r="AQ113" i="4" s="1"/>
  <c r="AD103" i="4"/>
  <c r="AA131" i="4"/>
  <c r="AC131" i="4" s="1"/>
  <c r="AA125" i="4"/>
  <c r="AC125" i="4" s="1"/>
  <c r="AI96" i="4"/>
  <c r="T119" i="4"/>
  <c r="V119" i="4" s="1"/>
  <c r="R119" i="4"/>
  <c r="AI94" i="4"/>
  <c r="AL129" i="4"/>
  <c r="T147" i="4"/>
  <c r="R147" i="4"/>
  <c r="R145" i="4"/>
  <c r="T145" i="4"/>
  <c r="AL123" i="4"/>
  <c r="AJ143" i="4"/>
  <c r="AR143" i="4" s="1"/>
  <c r="X143" i="4"/>
  <c r="X139" i="4"/>
  <c r="R144" i="4"/>
  <c r="T144" i="4"/>
  <c r="R142" i="4"/>
  <c r="T142" i="4"/>
  <c r="T140" i="4"/>
  <c r="R140" i="4"/>
  <c r="R138" i="4"/>
  <c r="T138" i="4"/>
  <c r="R135" i="4"/>
  <c r="T135" i="4"/>
  <c r="R136" i="4"/>
  <c r="T136" i="4"/>
  <c r="T133" i="4"/>
  <c r="R133" i="4"/>
  <c r="R134" i="4"/>
  <c r="T134" i="4"/>
  <c r="AB141" i="4"/>
  <c r="AA141" i="4" s="1"/>
  <c r="AC141" i="4" s="1"/>
  <c r="R132" i="4"/>
  <c r="T132" i="4"/>
  <c r="R130" i="4"/>
  <c r="T130" i="4"/>
  <c r="T128" i="4"/>
  <c r="R128" i="4"/>
  <c r="R126" i="4"/>
  <c r="T126" i="4"/>
  <c r="R124" i="4"/>
  <c r="T124" i="4"/>
  <c r="R122" i="4"/>
  <c r="T122" i="4"/>
  <c r="AL120" i="4"/>
  <c r="AL125" i="4"/>
  <c r="R99" i="4"/>
  <c r="AI99" i="4"/>
  <c r="R97" i="4"/>
  <c r="T97" i="4"/>
  <c r="V97" i="4" s="1"/>
  <c r="R95" i="4"/>
  <c r="AI95" i="4"/>
  <c r="R93" i="4"/>
  <c r="T93" i="4"/>
  <c r="V93" i="4" s="1"/>
  <c r="AD111" i="4" l="1"/>
  <c r="Z115" i="4"/>
  <c r="Z112" i="4"/>
  <c r="AJ94" i="4"/>
  <c r="AK111" i="4"/>
  <c r="AS111" i="4" s="1"/>
  <c r="AQ112" i="4"/>
  <c r="AD127" i="4"/>
  <c r="Z139" i="4"/>
  <c r="AB139" i="4" s="1"/>
  <c r="AA139" i="4" s="1"/>
  <c r="AC139" i="4" s="1"/>
  <c r="AL127" i="4"/>
  <c r="AD121" i="4"/>
  <c r="AK121" i="4"/>
  <c r="AA146" i="4"/>
  <c r="AC146" i="4" s="1"/>
  <c r="AL146" i="4"/>
  <c r="AA127" i="4"/>
  <c r="AC127" i="4" s="1"/>
  <c r="AD146" i="4"/>
  <c r="AJ100" i="4"/>
  <c r="AI122" i="4"/>
  <c r="AQ122" i="4" s="1"/>
  <c r="V122" i="4"/>
  <c r="AJ122" i="4" s="1"/>
  <c r="AR122" i="4" s="1"/>
  <c r="AI130" i="4"/>
  <c r="V130" i="4"/>
  <c r="Z130" i="4" s="1"/>
  <c r="AJ96" i="4"/>
  <c r="AI133" i="4"/>
  <c r="V133" i="4"/>
  <c r="AI140" i="4"/>
  <c r="AQ140" i="4" s="1"/>
  <c r="V140" i="4"/>
  <c r="Z140" i="4" s="1"/>
  <c r="AI147" i="4"/>
  <c r="AQ147" i="4" s="1"/>
  <c r="V147" i="4"/>
  <c r="AJ147" i="4" s="1"/>
  <c r="AR147" i="4" s="1"/>
  <c r="AI124" i="4"/>
  <c r="AQ124" i="4" s="1"/>
  <c r="V124" i="4"/>
  <c r="AJ124" i="4" s="1"/>
  <c r="AR124" i="4" s="1"/>
  <c r="AI142" i="4"/>
  <c r="AQ142" i="4" s="1"/>
  <c r="V142" i="4"/>
  <c r="AI136" i="4"/>
  <c r="V136" i="4"/>
  <c r="AJ136" i="4" s="1"/>
  <c r="AI135" i="4"/>
  <c r="V135" i="4"/>
  <c r="AI132" i="4"/>
  <c r="V132" i="4"/>
  <c r="AJ132" i="4" s="1"/>
  <c r="AJ98" i="4"/>
  <c r="AI126" i="4"/>
  <c r="AQ126" i="4" s="1"/>
  <c r="V126" i="4"/>
  <c r="AJ126" i="4" s="1"/>
  <c r="AR126" i="4" s="1"/>
  <c r="AI144" i="4"/>
  <c r="AQ144" i="4" s="1"/>
  <c r="V144" i="4"/>
  <c r="Z144" i="4" s="1"/>
  <c r="AI134" i="4"/>
  <c r="V134" i="4"/>
  <c r="AJ134" i="4" s="1"/>
  <c r="AI138" i="4"/>
  <c r="AQ138" i="4" s="1"/>
  <c r="V138" i="4"/>
  <c r="AJ138" i="4" s="1"/>
  <c r="AR138" i="4" s="1"/>
  <c r="AI145" i="4"/>
  <c r="AQ145" i="4" s="1"/>
  <c r="V145" i="4"/>
  <c r="Z145" i="4" s="1"/>
  <c r="AI128" i="4"/>
  <c r="AQ128" i="4" s="1"/>
  <c r="V128" i="4"/>
  <c r="AJ128" i="4" s="1"/>
  <c r="AR128" i="4" s="1"/>
  <c r="AL106" i="4"/>
  <c r="AL103" i="4"/>
  <c r="AL111" i="4"/>
  <c r="AL109" i="4"/>
  <c r="AB114" i="4"/>
  <c r="AA114" i="4" s="1"/>
  <c r="AC114" i="4" s="1"/>
  <c r="AB110" i="4"/>
  <c r="AA110" i="4" s="1"/>
  <c r="AC110" i="4" s="1"/>
  <c r="AB108" i="4"/>
  <c r="AA108" i="4" s="1"/>
  <c r="AC108" i="4" s="1"/>
  <c r="AB116" i="4"/>
  <c r="AA116" i="4" s="1"/>
  <c r="AC116" i="4" s="1"/>
  <c r="AB117" i="4"/>
  <c r="AB104" i="4"/>
  <c r="AA104" i="4" s="1"/>
  <c r="AC104" i="4" s="1"/>
  <c r="AB102" i="4"/>
  <c r="AA102" i="4" s="1"/>
  <c r="AC102" i="4" s="1"/>
  <c r="AB107" i="4"/>
  <c r="AK107" i="4" s="1"/>
  <c r="AS107" i="4" s="1"/>
  <c r="AB105" i="4"/>
  <c r="AK105" i="4" s="1"/>
  <c r="AS105" i="4" s="1"/>
  <c r="AB113" i="4"/>
  <c r="AA113" i="4" s="1"/>
  <c r="AC113" i="4" s="1"/>
  <c r="T95" i="4"/>
  <c r="X95" i="4" s="1"/>
  <c r="T99" i="4"/>
  <c r="AI93" i="4"/>
  <c r="AI97" i="4"/>
  <c r="AI119" i="4"/>
  <c r="AQ119" i="4" s="1"/>
  <c r="X119" i="4"/>
  <c r="AJ119" i="4"/>
  <c r="AR119" i="4" s="1"/>
  <c r="Z119" i="4"/>
  <c r="X145" i="4"/>
  <c r="X147" i="4"/>
  <c r="Z147" i="4"/>
  <c r="AB147" i="4" s="1"/>
  <c r="AA147" i="4" s="1"/>
  <c r="AC147" i="4" s="1"/>
  <c r="AK141" i="4"/>
  <c r="X122" i="4"/>
  <c r="X130" i="4"/>
  <c r="X144" i="4"/>
  <c r="X126" i="4"/>
  <c r="X134" i="4"/>
  <c r="AJ135" i="4"/>
  <c r="X135" i="4"/>
  <c r="Z135" i="4"/>
  <c r="X124" i="4"/>
  <c r="X132" i="4"/>
  <c r="AB143" i="4"/>
  <c r="AA143" i="4" s="1"/>
  <c r="AC143" i="4" s="1"/>
  <c r="X128" i="4"/>
  <c r="AD141" i="4"/>
  <c r="AJ133" i="4"/>
  <c r="X133" i="4"/>
  <c r="Z133" i="4"/>
  <c r="X136" i="4"/>
  <c r="Z136" i="4"/>
  <c r="X138" i="4"/>
  <c r="X140" i="4"/>
  <c r="AJ142" i="4"/>
  <c r="AR142" i="4" s="1"/>
  <c r="Z142" i="4"/>
  <c r="X142" i="4"/>
  <c r="AK94" i="4"/>
  <c r="AL94" i="4" s="1"/>
  <c r="AK98" i="4"/>
  <c r="AK96" i="4"/>
  <c r="AK100" i="4"/>
  <c r="Z93" i="4"/>
  <c r="X93" i="4"/>
  <c r="AJ93" i="4"/>
  <c r="Z97" i="4"/>
  <c r="X97" i="4"/>
  <c r="AJ97" i="4"/>
  <c r="AD94" i="4"/>
  <c r="AD98" i="4"/>
  <c r="AD96" i="4"/>
  <c r="AD100" i="4"/>
  <c r="AL100" i="4" l="1"/>
  <c r="Z126" i="4"/>
  <c r="AJ145" i="4"/>
  <c r="AR145" i="4" s="1"/>
  <c r="Z138" i="4"/>
  <c r="AB112" i="4"/>
  <c r="AA112" i="4" s="1"/>
  <c r="AC112" i="4" s="1"/>
  <c r="AB115" i="4"/>
  <c r="AA115" i="4" s="1"/>
  <c r="AC115" i="4" s="1"/>
  <c r="AL98" i="4"/>
  <c r="AJ130" i="4"/>
  <c r="AL121" i="4"/>
  <c r="AS121" i="4"/>
  <c r="AL141" i="4"/>
  <c r="AS141" i="4"/>
  <c r="Z122" i="4"/>
  <c r="AB122" i="4" s="1"/>
  <c r="AJ144" i="4"/>
  <c r="AR144" i="4" s="1"/>
  <c r="Z128" i="4"/>
  <c r="AB128" i="4" s="1"/>
  <c r="AD128" i="4" s="1"/>
  <c r="Z132" i="4"/>
  <c r="AJ140" i="4"/>
  <c r="AR140" i="4" s="1"/>
  <c r="Z134" i="4"/>
  <c r="AB134" i="4" s="1"/>
  <c r="Z124" i="4"/>
  <c r="AB124" i="4" s="1"/>
  <c r="AA124" i="4" s="1"/>
  <c r="AC124" i="4" s="1"/>
  <c r="AL96" i="4"/>
  <c r="V99" i="4"/>
  <c r="Z99" i="4" s="1"/>
  <c r="AB99" i="4" s="1"/>
  <c r="AK99" i="4" s="1"/>
  <c r="V95" i="4"/>
  <c r="AJ95" i="4" s="1"/>
  <c r="AL107" i="4"/>
  <c r="AL105" i="4"/>
  <c r="X99" i="4"/>
  <c r="AD147" i="4"/>
  <c r="AK147" i="4"/>
  <c r="AS147" i="4" s="1"/>
  <c r="AK114" i="4"/>
  <c r="AS114" i="4" s="1"/>
  <c r="AD114" i="4"/>
  <c r="AD102" i="4"/>
  <c r="AK102" i="4"/>
  <c r="AS102" i="4" s="1"/>
  <c r="AD104" i="4"/>
  <c r="AD110" i="4"/>
  <c r="AD116" i="4"/>
  <c r="AK110" i="4"/>
  <c r="AS110" i="4" s="1"/>
  <c r="AD108" i="4"/>
  <c r="AK116" i="4"/>
  <c r="AS116" i="4" s="1"/>
  <c r="AK108" i="4"/>
  <c r="AS108" i="4" s="1"/>
  <c r="AA117" i="4"/>
  <c r="AC117" i="4" s="1"/>
  <c r="AD117" i="4"/>
  <c r="AK113" i="4"/>
  <c r="AS113" i="4" s="1"/>
  <c r="AA105" i="4"/>
  <c r="AC105" i="4" s="1"/>
  <c r="AD105" i="4"/>
  <c r="AA107" i="4"/>
  <c r="AC107" i="4" s="1"/>
  <c r="AD107" i="4"/>
  <c r="AK104" i="4"/>
  <c r="AS104" i="4" s="1"/>
  <c r="AK117" i="4"/>
  <c r="AS117" i="4" s="1"/>
  <c r="AD113" i="4"/>
  <c r="AB119" i="4"/>
  <c r="AA119" i="4" s="1"/>
  <c r="AC119" i="4" s="1"/>
  <c r="AK143" i="4"/>
  <c r="AK139" i="4"/>
  <c r="AB145" i="4"/>
  <c r="AD145" i="4" s="1"/>
  <c r="AD143" i="4"/>
  <c r="AD139" i="4"/>
  <c r="AB142" i="4"/>
  <c r="AD142" i="4" s="1"/>
  <c r="AB140" i="4"/>
  <c r="AA140" i="4" s="1"/>
  <c r="AC140" i="4" s="1"/>
  <c r="AB126" i="4"/>
  <c r="AB144" i="4"/>
  <c r="AA144" i="4" s="1"/>
  <c r="AC144" i="4" s="1"/>
  <c r="AB138" i="4"/>
  <c r="AA138" i="4" s="1"/>
  <c r="AC138" i="4" s="1"/>
  <c r="AB136" i="4"/>
  <c r="AA136" i="4" s="1"/>
  <c r="AC136" i="4" s="1"/>
  <c r="AB133" i="4"/>
  <c r="AD133" i="4" s="1"/>
  <c r="AB132" i="4"/>
  <c r="AD132" i="4" s="1"/>
  <c r="AB135" i="4"/>
  <c r="AA135" i="4" s="1"/>
  <c r="AC135" i="4" s="1"/>
  <c r="AB130" i="4"/>
  <c r="AD130" i="4" s="1"/>
  <c r="AB97" i="4"/>
  <c r="AB93" i="4"/>
  <c r="AK112" i="4" l="1"/>
  <c r="AD115" i="4"/>
  <c r="AS112" i="4"/>
  <c r="AL112" i="4"/>
  <c r="AK115" i="4"/>
  <c r="AD112" i="4"/>
  <c r="AL139" i="4"/>
  <c r="AS139" i="4"/>
  <c r="AL147" i="4"/>
  <c r="AL143" i="4"/>
  <c r="AS143" i="4"/>
  <c r="AJ99" i="4"/>
  <c r="AL99" i="4" s="1"/>
  <c r="Z95" i="4"/>
  <c r="AB95" i="4" s="1"/>
  <c r="AK95" i="4" s="1"/>
  <c r="AL95" i="4" s="1"/>
  <c r="AL117" i="4"/>
  <c r="AL113" i="4"/>
  <c r="AL116" i="4"/>
  <c r="AL110" i="4"/>
  <c r="AL102" i="4"/>
  <c r="AL104" i="4"/>
  <c r="AL108" i="4"/>
  <c r="AL114" i="4"/>
  <c r="AD119" i="4"/>
  <c r="AK119" i="4"/>
  <c r="AD135" i="4"/>
  <c r="AD136" i="4"/>
  <c r="AK145" i="4"/>
  <c r="AA145" i="4"/>
  <c r="AC145" i="4" s="1"/>
  <c r="AK138" i="4"/>
  <c r="AK140" i="4"/>
  <c r="AK135" i="4"/>
  <c r="AL135" i="4" s="1"/>
  <c r="AK144" i="4"/>
  <c r="AK124" i="4"/>
  <c r="AK130" i="4"/>
  <c r="AL130" i="4" s="1"/>
  <c r="AA130" i="4"/>
  <c r="AC130" i="4" s="1"/>
  <c r="AK122" i="4"/>
  <c r="AA122" i="4"/>
  <c r="AC122" i="4" s="1"/>
  <c r="AK126" i="4"/>
  <c r="AA126" i="4"/>
  <c r="AC126" i="4" s="1"/>
  <c r="AK134" i="4"/>
  <c r="AL134" i="4" s="1"/>
  <c r="AA134" i="4"/>
  <c r="AC134" i="4" s="1"/>
  <c r="AD124" i="4"/>
  <c r="AD140" i="4"/>
  <c r="AK132" i="4"/>
  <c r="AL132" i="4" s="1"/>
  <c r="AA132" i="4"/>
  <c r="AC132" i="4" s="1"/>
  <c r="AK133" i="4"/>
  <c r="AL133" i="4" s="1"/>
  <c r="AA133" i="4"/>
  <c r="AC133" i="4" s="1"/>
  <c r="AK136" i="4"/>
  <c r="AL136" i="4" s="1"/>
  <c r="AD138" i="4"/>
  <c r="AD122" i="4"/>
  <c r="AD144" i="4"/>
  <c r="AD126" i="4"/>
  <c r="AD134" i="4"/>
  <c r="AK128" i="4"/>
  <c r="AA128" i="4"/>
  <c r="AC128" i="4" s="1"/>
  <c r="AK142" i="4"/>
  <c r="AA142" i="4"/>
  <c r="AC142" i="4" s="1"/>
  <c r="AA93" i="4"/>
  <c r="AC93" i="4" s="1"/>
  <c r="AD93" i="4"/>
  <c r="AA97" i="4"/>
  <c r="AC97" i="4" s="1"/>
  <c r="AD97" i="4"/>
  <c r="AK93" i="4"/>
  <c r="AL93" i="4" s="1"/>
  <c r="AK97" i="4"/>
  <c r="AL97" i="4" s="1"/>
  <c r="AA99" i="4"/>
  <c r="AC99" i="4" s="1"/>
  <c r="AD99" i="4"/>
  <c r="AS115" i="4" l="1"/>
  <c r="AL115" i="4"/>
  <c r="AL140" i="4"/>
  <c r="AS140" i="4"/>
  <c r="AL138" i="4"/>
  <c r="AS138" i="4"/>
  <c r="AL124" i="4"/>
  <c r="AS124" i="4"/>
  <c r="AL128" i="4"/>
  <c r="AS128" i="4"/>
  <c r="AL126" i="4"/>
  <c r="AS126" i="4"/>
  <c r="AL119" i="4"/>
  <c r="AS119" i="4"/>
  <c r="AL122" i="4"/>
  <c r="AS122" i="4"/>
  <c r="AL145" i="4"/>
  <c r="AS145" i="4"/>
  <c r="AL142" i="4"/>
  <c r="AS142" i="4"/>
  <c r="AL144" i="4"/>
  <c r="AS144" i="4"/>
  <c r="AD95" i="4"/>
  <c r="AA95" i="4"/>
  <c r="AC95" i="4" s="1"/>
  <c r="F136" i="4" l="1"/>
  <c r="B136" i="4" s="1"/>
  <c r="F135" i="4"/>
  <c r="B135" i="4" s="1"/>
  <c r="F134" i="4"/>
  <c r="B134" i="4" s="1"/>
  <c r="F133" i="4"/>
  <c r="B133" i="4" s="1"/>
  <c r="F132" i="4"/>
  <c r="B132" i="4" s="1"/>
  <c r="F131" i="4"/>
  <c r="B131" i="4" s="1"/>
  <c r="F130" i="4"/>
  <c r="B130" i="4" s="1"/>
  <c r="F129" i="4"/>
  <c r="B129" i="4" s="1"/>
  <c r="F128" i="4"/>
  <c r="B128" i="4" s="1"/>
  <c r="F127" i="4"/>
  <c r="B127" i="4" s="1"/>
  <c r="F126" i="4"/>
  <c r="B126" i="4" s="1"/>
  <c r="K125" i="4"/>
  <c r="F125" i="4"/>
  <c r="B125" i="4" s="1"/>
  <c r="K124" i="4"/>
  <c r="F124" i="4"/>
  <c r="B124" i="4" s="1"/>
  <c r="F29" i="4"/>
  <c r="B29" i="4" s="1"/>
  <c r="F30" i="4"/>
  <c r="B30" i="4" s="1"/>
  <c r="F31" i="4"/>
  <c r="B31" i="4" s="1"/>
  <c r="F32" i="4"/>
  <c r="B32" i="4" s="1"/>
  <c r="F33" i="4"/>
  <c r="B33" i="4" s="1"/>
  <c r="F34" i="4"/>
  <c r="B34" i="4" s="1"/>
  <c r="F35" i="4"/>
  <c r="B35" i="4" s="1"/>
  <c r="F36" i="4"/>
  <c r="B36" i="4" s="1"/>
  <c r="F37" i="4"/>
  <c r="B37" i="4" s="1"/>
  <c r="F38" i="4"/>
  <c r="B38" i="4" s="1"/>
  <c r="F39" i="4"/>
  <c r="B39" i="4" s="1"/>
  <c r="F40" i="4"/>
  <c r="B40" i="4" s="1"/>
  <c r="F42" i="4"/>
  <c r="B42" i="4" s="1"/>
  <c r="F43" i="4"/>
  <c r="B43" i="4" s="1"/>
  <c r="F44" i="4"/>
  <c r="B44" i="4" s="1"/>
  <c r="F45" i="4"/>
  <c r="B45" i="4" s="1"/>
  <c r="F46" i="4"/>
  <c r="B46" i="4" s="1"/>
  <c r="F47" i="4"/>
  <c r="B47" i="4" s="1"/>
  <c r="F48" i="4"/>
  <c r="B48" i="4" s="1"/>
  <c r="F49" i="4"/>
  <c r="B49" i="4" s="1"/>
  <c r="F50" i="4"/>
  <c r="B50" i="4" s="1"/>
  <c r="F51" i="4"/>
  <c r="B51" i="4" s="1"/>
  <c r="F52" i="4"/>
  <c r="B52" i="4" s="1"/>
  <c r="F53" i="4"/>
  <c r="B53" i="4" s="1"/>
  <c r="F55" i="4"/>
  <c r="B55" i="4" s="1"/>
  <c r="F56" i="4"/>
  <c r="B56" i="4" s="1"/>
  <c r="F57" i="4"/>
  <c r="B57" i="4" s="1"/>
  <c r="F58" i="4"/>
  <c r="B58" i="4" s="1"/>
  <c r="F59" i="4"/>
  <c r="B59" i="4" s="1"/>
  <c r="F60" i="4"/>
  <c r="B60" i="4" s="1"/>
  <c r="F61" i="4"/>
  <c r="B61" i="4" s="1"/>
  <c r="F62" i="4"/>
  <c r="B62" i="4" s="1"/>
  <c r="F63" i="4"/>
  <c r="B63" i="4" s="1"/>
  <c r="F64" i="4"/>
  <c r="B64" i="4" s="1"/>
  <c r="F65" i="4"/>
  <c r="B65" i="4" s="1"/>
  <c r="F66" i="4"/>
  <c r="B66" i="4" s="1"/>
  <c r="F68" i="4"/>
  <c r="B68" i="4" s="1"/>
  <c r="F69" i="4"/>
  <c r="B69" i="4" s="1"/>
  <c r="F70" i="4"/>
  <c r="B70" i="4" s="1"/>
  <c r="F71" i="4"/>
  <c r="B71" i="4" s="1"/>
  <c r="F72" i="4"/>
  <c r="B72" i="4" s="1"/>
  <c r="F73" i="4"/>
  <c r="B73" i="4" s="1"/>
  <c r="F74" i="4"/>
  <c r="B74" i="4" s="1"/>
  <c r="F75" i="4"/>
  <c r="B75" i="4" s="1"/>
  <c r="F76" i="4"/>
  <c r="B76" i="4" s="1"/>
  <c r="F77" i="4"/>
  <c r="B77" i="4" s="1"/>
  <c r="F78" i="4"/>
  <c r="B78" i="4" s="1"/>
  <c r="F79" i="4"/>
  <c r="B79" i="4" s="1"/>
  <c r="B138" i="4"/>
  <c r="B139" i="4"/>
  <c r="B140" i="4"/>
  <c r="B141" i="4"/>
  <c r="B142" i="4"/>
  <c r="B143" i="4"/>
  <c r="B144" i="4"/>
  <c r="B145" i="4"/>
  <c r="B146" i="4"/>
  <c r="B147" i="4"/>
  <c r="F149" i="4"/>
  <c r="B149" i="4" s="1"/>
  <c r="F150" i="4"/>
  <c r="B150" i="4" s="1"/>
  <c r="F151" i="4"/>
  <c r="B151" i="4" s="1"/>
  <c r="F152" i="4"/>
  <c r="B152" i="4" s="1"/>
  <c r="F153" i="4"/>
  <c r="B153" i="4" s="1"/>
  <c r="F154" i="4"/>
  <c r="B154" i="4" s="1"/>
  <c r="F155" i="4"/>
  <c r="B155" i="4" s="1"/>
  <c r="F156" i="4"/>
  <c r="B156" i="4" s="1"/>
  <c r="F157" i="4"/>
  <c r="B157" i="4" s="1"/>
  <c r="F158" i="4"/>
  <c r="B158" i="4" s="1"/>
  <c r="F159" i="4"/>
  <c r="B159" i="4" s="1"/>
  <c r="F160" i="4"/>
  <c r="B160" i="4" s="1"/>
  <c r="F161" i="4"/>
  <c r="B161" i="4" s="1"/>
  <c r="F162" i="4"/>
  <c r="B162" i="4" s="1"/>
  <c r="F163" i="4"/>
  <c r="B163" i="4" s="1"/>
  <c r="F164" i="4"/>
  <c r="B164" i="4" s="1"/>
  <c r="F11" i="4"/>
  <c r="B11" i="4" s="1"/>
  <c r="F12" i="4"/>
  <c r="B12" i="4" s="1"/>
  <c r="F13" i="4"/>
  <c r="B13" i="4" s="1"/>
  <c r="F14" i="4"/>
  <c r="B14" i="4" s="1"/>
  <c r="F15" i="4"/>
  <c r="B15" i="4" s="1"/>
  <c r="F16" i="4"/>
  <c r="B16" i="4" s="1"/>
  <c r="F17" i="4"/>
  <c r="B17" i="4" s="1"/>
  <c r="F18" i="4"/>
  <c r="B18" i="4" s="1"/>
  <c r="F19" i="4"/>
  <c r="B19" i="4" s="1"/>
  <c r="F20" i="4"/>
  <c r="B20" i="4" s="1"/>
  <c r="F21" i="4"/>
  <c r="B21" i="4" s="1"/>
  <c r="F22" i="4"/>
  <c r="B22" i="4" s="1"/>
  <c r="F23" i="4"/>
  <c r="B23" i="4" s="1"/>
  <c r="F24" i="4"/>
  <c r="B24" i="4" s="1"/>
  <c r="F25" i="4"/>
  <c r="B25" i="4" s="1"/>
  <c r="F26" i="4"/>
  <c r="B26" i="4" s="1"/>
  <c r="F27" i="4"/>
  <c r="B27" i="4" s="1"/>
  <c r="F10" i="4"/>
  <c r="B10" i="4" s="1"/>
  <c r="AN164" i="4" l="1"/>
  <c r="AN163" i="4"/>
  <c r="AN162" i="4"/>
  <c r="AN161" i="4"/>
  <c r="AN160" i="4"/>
  <c r="AN159" i="4"/>
  <c r="AN158" i="4"/>
  <c r="AN157" i="4"/>
  <c r="AN156" i="4"/>
  <c r="AN155" i="4"/>
  <c r="AN154" i="4"/>
  <c r="AN153" i="4"/>
  <c r="AN152" i="4"/>
  <c r="AN151" i="4"/>
  <c r="AN150" i="4"/>
  <c r="AN149" i="4"/>
  <c r="BB89" i="5" l="1"/>
  <c r="BB88" i="5"/>
  <c r="BB87" i="5"/>
  <c r="BB86" i="5"/>
  <c r="BB85" i="5"/>
  <c r="BB84" i="5"/>
  <c r="BB83" i="5"/>
  <c r="BB82" i="5"/>
  <c r="BB81" i="5"/>
  <c r="BA47" i="5"/>
  <c r="BA46" i="5"/>
  <c r="BA45" i="5"/>
  <c r="BA44" i="5"/>
  <c r="BA43" i="5"/>
  <c r="BA42" i="5"/>
  <c r="BA41" i="5"/>
  <c r="BA40" i="5"/>
  <c r="BA39" i="5"/>
  <c r="Y29" i="4" l="1"/>
  <c r="Y30" i="4"/>
  <c r="Y31" i="4"/>
  <c r="Y32" i="4"/>
  <c r="Y33" i="4"/>
  <c r="Y34" i="4"/>
  <c r="Y35" i="4"/>
  <c r="Y36" i="4"/>
  <c r="Y37" i="4"/>
  <c r="Y38" i="4"/>
  <c r="Y39" i="4"/>
  <c r="Y40" i="4"/>
  <c r="AR81" i="5" l="1"/>
  <c r="BA81" i="5" s="1"/>
  <c r="AR82" i="5"/>
  <c r="BA82" i="5" s="1"/>
  <c r="AR83" i="5"/>
  <c r="BA83" i="5" s="1"/>
  <c r="AR84" i="5"/>
  <c r="BA84" i="5" s="1"/>
  <c r="AR85" i="5"/>
  <c r="BA85" i="5" s="1"/>
  <c r="AR86" i="5"/>
  <c r="BA86" i="5" s="1"/>
  <c r="AR87" i="5"/>
  <c r="BA87" i="5" s="1"/>
  <c r="AR88" i="5"/>
  <c r="BA88" i="5" s="1"/>
  <c r="AR89" i="5"/>
  <c r="BA89" i="5" s="1"/>
  <c r="AS40" i="5"/>
  <c r="BB40" i="5" s="1"/>
  <c r="AS41" i="5"/>
  <c r="BB41" i="5" s="1"/>
  <c r="AS42" i="5"/>
  <c r="BB42" i="5" s="1"/>
  <c r="AS43" i="5"/>
  <c r="BB43" i="5" s="1"/>
  <c r="AS44" i="5"/>
  <c r="BB44" i="5" s="1"/>
  <c r="AS45" i="5"/>
  <c r="BB45" i="5" s="1"/>
  <c r="AS46" i="5"/>
  <c r="BB46" i="5" s="1"/>
  <c r="AS47" i="5"/>
  <c r="BB47" i="5" s="1"/>
  <c r="AS39" i="5"/>
  <c r="BB39" i="5" s="1"/>
  <c r="AI39" i="5"/>
  <c r="AI40" i="5"/>
  <c r="AI41" i="5"/>
  <c r="AI42" i="5"/>
  <c r="AI43" i="5"/>
  <c r="AI44" i="5"/>
  <c r="AI45" i="5"/>
  <c r="AI46" i="5"/>
  <c r="AI47" i="5"/>
  <c r="AI81" i="5"/>
  <c r="AI82" i="5"/>
  <c r="AI83" i="5"/>
  <c r="AI84" i="5"/>
  <c r="AI85" i="5"/>
  <c r="AI86" i="5"/>
  <c r="AI87" i="5"/>
  <c r="AI88" i="5"/>
  <c r="AI89" i="5"/>
  <c r="AM83" i="5"/>
  <c r="AM84" i="5"/>
  <c r="AM85" i="5"/>
  <c r="AM86" i="5"/>
  <c r="AM87" i="5"/>
  <c r="AM88" i="5"/>
  <c r="AM89" i="5"/>
  <c r="Z39" i="5"/>
  <c r="Z40" i="5"/>
  <c r="Z41" i="5"/>
  <c r="Z42" i="5"/>
  <c r="Z43" i="5"/>
  <c r="Z44" i="5"/>
  <c r="Z45" i="5"/>
  <c r="Z46" i="5"/>
  <c r="Z47" i="5"/>
  <c r="Z81" i="5"/>
  <c r="Z82" i="5"/>
  <c r="Z83" i="5"/>
  <c r="Z84" i="5"/>
  <c r="Z85" i="5"/>
  <c r="Z86" i="5"/>
  <c r="Z87" i="5"/>
  <c r="Z88" i="5"/>
  <c r="Z89" i="5"/>
  <c r="AM81" i="5"/>
  <c r="AM82" i="5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4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42" i="4"/>
  <c r="Y43" i="4"/>
  <c r="Y44" i="4"/>
  <c r="Y45" i="4"/>
  <c r="Y46" i="4"/>
  <c r="Y47" i="4"/>
  <c r="Y48" i="4"/>
  <c r="Y49" i="4"/>
  <c r="Y50" i="4"/>
  <c r="Y51" i="4"/>
  <c r="Y52" i="4"/>
  <c r="Y53" i="4"/>
  <c r="Y55" i="4"/>
  <c r="Y56" i="4"/>
  <c r="Y57" i="4"/>
  <c r="Y58" i="4"/>
  <c r="Y59" i="4"/>
  <c r="Y60" i="4"/>
  <c r="Y61" i="4"/>
  <c r="Y62" i="4"/>
  <c r="Y63" i="4"/>
  <c r="Y64" i="4"/>
  <c r="Y65" i="4"/>
  <c r="Y66" i="4"/>
  <c r="Y68" i="4"/>
  <c r="Y69" i="4"/>
  <c r="Y70" i="4"/>
  <c r="Y71" i="4"/>
  <c r="Y72" i="4"/>
  <c r="Y73" i="4"/>
  <c r="Y74" i="4"/>
  <c r="Y75" i="4"/>
  <c r="Y76" i="4"/>
  <c r="Y77" i="4"/>
  <c r="Y78" i="4"/>
  <c r="Y79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K150" i="4"/>
  <c r="K151" i="4"/>
  <c r="K152" i="4"/>
  <c r="K153" i="4"/>
  <c r="K154" i="4"/>
  <c r="K155" i="4"/>
  <c r="K149" i="4"/>
  <c r="Y164" i="4"/>
  <c r="Y163" i="4"/>
  <c r="Y162" i="4"/>
  <c r="Y161" i="4"/>
  <c r="Y160" i="4"/>
  <c r="Y159" i="4"/>
  <c r="Y150" i="4"/>
  <c r="Y151" i="4"/>
  <c r="Y152" i="4"/>
  <c r="Y153" i="4"/>
  <c r="Y154" i="4"/>
  <c r="Y155" i="4"/>
  <c r="Y156" i="4"/>
  <c r="Y157" i="4"/>
  <c r="Y158" i="4"/>
  <c r="Y149" i="4"/>
  <c r="P89" i="5" l="1"/>
  <c r="Y89" i="5"/>
  <c r="P87" i="5"/>
  <c r="Y87" i="5"/>
  <c r="P85" i="5"/>
  <c r="Y85" i="5"/>
  <c r="P83" i="5"/>
  <c r="Y83" i="5"/>
  <c r="AU83" i="5" s="1"/>
  <c r="BD83" i="5" s="1"/>
  <c r="P81" i="5"/>
  <c r="Y81" i="5"/>
  <c r="P88" i="5"/>
  <c r="Y88" i="5"/>
  <c r="AU88" i="5" s="1"/>
  <c r="BD88" i="5" s="1"/>
  <c r="P86" i="5"/>
  <c r="Y86" i="5"/>
  <c r="AU86" i="5" s="1"/>
  <c r="BD86" i="5" s="1"/>
  <c r="P84" i="5"/>
  <c r="Y84" i="5"/>
  <c r="AU84" i="5" s="1"/>
  <c r="BD84" i="5" s="1"/>
  <c r="P82" i="5"/>
  <c r="Y82" i="5"/>
  <c r="L161" i="4"/>
  <c r="N161" i="4" s="1"/>
  <c r="L159" i="4"/>
  <c r="N159" i="4" s="1"/>
  <c r="L157" i="4"/>
  <c r="L155" i="4"/>
  <c r="L153" i="4"/>
  <c r="L151" i="4"/>
  <c r="L149" i="4"/>
  <c r="L162" i="4"/>
  <c r="N162" i="4" s="1"/>
  <c r="AO162" i="4"/>
  <c r="O160" i="4"/>
  <c r="L158" i="4"/>
  <c r="L156" i="4"/>
  <c r="AO156" i="4"/>
  <c r="L154" i="4"/>
  <c r="AO154" i="4"/>
  <c r="L152" i="4"/>
  <c r="AO152" i="4"/>
  <c r="L150" i="4"/>
  <c r="AO150" i="4"/>
  <c r="L163" i="4"/>
  <c r="N163" i="4" s="1"/>
  <c r="AO163" i="4"/>
  <c r="L164" i="4"/>
  <c r="N164" i="4" s="1"/>
  <c r="AO164" i="4"/>
  <c r="AT88" i="5"/>
  <c r="BC88" i="5" s="1"/>
  <c r="AT86" i="5"/>
  <c r="BC86" i="5" s="1"/>
  <c r="AT84" i="5"/>
  <c r="BC84" i="5" s="1"/>
  <c r="AT82" i="5"/>
  <c r="BC82" i="5" s="1"/>
  <c r="AT89" i="5"/>
  <c r="BC89" i="5" s="1"/>
  <c r="AT87" i="5"/>
  <c r="BC87" i="5" s="1"/>
  <c r="AT85" i="5"/>
  <c r="BC85" i="5" s="1"/>
  <c r="AT83" i="5"/>
  <c r="BC83" i="5" s="1"/>
  <c r="AT81" i="5"/>
  <c r="BC81" i="5" s="1"/>
  <c r="AO161" i="4"/>
  <c r="AO159" i="4"/>
  <c r="AO158" i="4"/>
  <c r="AO155" i="4"/>
  <c r="AO153" i="4"/>
  <c r="AO151" i="4"/>
  <c r="AO149" i="4"/>
  <c r="AO160" i="4"/>
  <c r="AO157" i="4"/>
  <c r="AU89" i="5"/>
  <c r="BD89" i="5" s="1"/>
  <c r="AU87" i="5"/>
  <c r="BD87" i="5" s="1"/>
  <c r="AU85" i="5"/>
  <c r="BD85" i="5" s="1"/>
  <c r="AU81" i="5"/>
  <c r="BD81" i="5" s="1"/>
  <c r="AU82" i="5"/>
  <c r="BD82" i="5" s="1"/>
  <c r="L160" i="4"/>
  <c r="N160" i="4" s="1"/>
  <c r="O161" i="4"/>
  <c r="Q161" i="4" s="1"/>
  <c r="O162" i="4"/>
  <c r="Q162" i="4" s="1"/>
  <c r="O163" i="4"/>
  <c r="Q163" i="4" s="1"/>
  <c r="O164" i="4"/>
  <c r="Q164" i="4" s="1"/>
  <c r="O159" i="4"/>
  <c r="Q159" i="4" s="1"/>
  <c r="AM40" i="5"/>
  <c r="AM41" i="5"/>
  <c r="AM42" i="5"/>
  <c r="AM43" i="5"/>
  <c r="AM44" i="5"/>
  <c r="AM45" i="5"/>
  <c r="AM46" i="5"/>
  <c r="AM47" i="5"/>
  <c r="AM39" i="5"/>
  <c r="Q160" i="4" l="1"/>
  <c r="AH160" i="4" s="1"/>
  <c r="AP160" i="4" s="1"/>
  <c r="P160" i="4"/>
  <c r="P163" i="4"/>
  <c r="S163" i="4" s="1"/>
  <c r="AH163" i="4"/>
  <c r="AP163" i="4" s="1"/>
  <c r="P161" i="4"/>
  <c r="S161" i="4" s="1"/>
  <c r="AH161" i="4"/>
  <c r="AP161" i="4" s="1"/>
  <c r="P159" i="4"/>
  <c r="S159" i="4" s="1"/>
  <c r="AH159" i="4"/>
  <c r="AP159" i="4" s="1"/>
  <c r="P164" i="4"/>
  <c r="S164" i="4" s="1"/>
  <c r="AH164" i="4"/>
  <c r="AP164" i="4" s="1"/>
  <c r="P162" i="4"/>
  <c r="S162" i="4" s="1"/>
  <c r="AH162" i="4"/>
  <c r="AP162" i="4" s="1"/>
  <c r="AG11" i="4"/>
  <c r="AO11" i="4" s="1"/>
  <c r="AG12" i="4"/>
  <c r="AO12" i="4" s="1"/>
  <c r="AG13" i="4"/>
  <c r="AO13" i="4" s="1"/>
  <c r="AG14" i="4"/>
  <c r="AO14" i="4" s="1"/>
  <c r="AG15" i="4"/>
  <c r="AO15" i="4" s="1"/>
  <c r="AG16" i="4"/>
  <c r="AO16" i="4" s="1"/>
  <c r="AG17" i="4"/>
  <c r="AO17" i="4" s="1"/>
  <c r="AG18" i="4"/>
  <c r="AO18" i="4" s="1"/>
  <c r="AG19" i="4"/>
  <c r="AO19" i="4" s="1"/>
  <c r="AG20" i="4"/>
  <c r="AO20" i="4" s="1"/>
  <c r="AG21" i="4"/>
  <c r="AO21" i="4" s="1"/>
  <c r="AG22" i="4"/>
  <c r="AO22" i="4" s="1"/>
  <c r="AG23" i="4"/>
  <c r="AO23" i="4" s="1"/>
  <c r="AG24" i="4"/>
  <c r="AO24" i="4" s="1"/>
  <c r="AG25" i="4"/>
  <c r="AO25" i="4" s="1"/>
  <c r="AG26" i="4"/>
  <c r="AO26" i="4" s="1"/>
  <c r="AG27" i="4"/>
  <c r="AO27" i="4" s="1"/>
  <c r="AG29" i="4"/>
  <c r="AO29" i="4" s="1"/>
  <c r="AG30" i="4"/>
  <c r="AO30" i="4" s="1"/>
  <c r="AG31" i="4"/>
  <c r="AO31" i="4" s="1"/>
  <c r="AG32" i="4"/>
  <c r="AO32" i="4" s="1"/>
  <c r="AG33" i="4"/>
  <c r="AO33" i="4" s="1"/>
  <c r="AG34" i="4"/>
  <c r="AO34" i="4" s="1"/>
  <c r="AG35" i="4"/>
  <c r="AO35" i="4" s="1"/>
  <c r="AG36" i="4"/>
  <c r="AO36" i="4" s="1"/>
  <c r="AG37" i="4"/>
  <c r="AO37" i="4" s="1"/>
  <c r="AG38" i="4"/>
  <c r="AO38" i="4" s="1"/>
  <c r="AG39" i="4"/>
  <c r="AO39" i="4" s="1"/>
  <c r="AG40" i="4"/>
  <c r="AO40" i="4" s="1"/>
  <c r="AG42" i="4"/>
  <c r="AO42" i="4" s="1"/>
  <c r="AG43" i="4"/>
  <c r="AO43" i="4" s="1"/>
  <c r="AG44" i="4"/>
  <c r="AO44" i="4" s="1"/>
  <c r="AG45" i="4"/>
  <c r="AO45" i="4" s="1"/>
  <c r="AG46" i="4"/>
  <c r="AO46" i="4" s="1"/>
  <c r="AG47" i="4"/>
  <c r="AO47" i="4" s="1"/>
  <c r="AG48" i="4"/>
  <c r="AO48" i="4" s="1"/>
  <c r="AG49" i="4"/>
  <c r="AO49" i="4" s="1"/>
  <c r="AG50" i="4"/>
  <c r="AO50" i="4" s="1"/>
  <c r="AG51" i="4"/>
  <c r="AO51" i="4" s="1"/>
  <c r="AG52" i="4"/>
  <c r="AO52" i="4" s="1"/>
  <c r="AG53" i="4"/>
  <c r="AO53" i="4" s="1"/>
  <c r="AG55" i="4"/>
  <c r="AO55" i="4" s="1"/>
  <c r="AG56" i="4"/>
  <c r="AO56" i="4" s="1"/>
  <c r="AG57" i="4"/>
  <c r="AO57" i="4" s="1"/>
  <c r="AG58" i="4"/>
  <c r="AO58" i="4" s="1"/>
  <c r="AG59" i="4"/>
  <c r="AO59" i="4" s="1"/>
  <c r="AG60" i="4"/>
  <c r="AO60" i="4" s="1"/>
  <c r="AG61" i="4"/>
  <c r="AO61" i="4" s="1"/>
  <c r="AG62" i="4"/>
  <c r="AO62" i="4" s="1"/>
  <c r="AG63" i="4"/>
  <c r="AO63" i="4" s="1"/>
  <c r="AG64" i="4"/>
  <c r="AO64" i="4" s="1"/>
  <c r="AG65" i="4"/>
  <c r="AO65" i="4" s="1"/>
  <c r="AG66" i="4"/>
  <c r="AO66" i="4" s="1"/>
  <c r="S160" i="4" l="1"/>
  <c r="T160" i="4" s="1"/>
  <c r="R160" i="4"/>
  <c r="O10" i="4"/>
  <c r="AG10" i="4"/>
  <c r="AO10" i="4" s="1"/>
  <c r="O32" i="4"/>
  <c r="L27" i="4"/>
  <c r="N27" i="4" s="1"/>
  <c r="O21" i="4"/>
  <c r="O19" i="4"/>
  <c r="L17" i="4"/>
  <c r="N17" i="4" s="1"/>
  <c r="L15" i="4"/>
  <c r="N15" i="4" s="1"/>
  <c r="O26" i="4"/>
  <c r="O24" i="4"/>
  <c r="O22" i="4"/>
  <c r="O20" i="4"/>
  <c r="O18" i="4"/>
  <c r="L16" i="4"/>
  <c r="N16" i="4" s="1"/>
  <c r="L14" i="4"/>
  <c r="N14" i="4" s="1"/>
  <c r="O12" i="4"/>
  <c r="L38" i="4"/>
  <c r="N38" i="4" s="1"/>
  <c r="L31" i="4"/>
  <c r="N31" i="4" s="1"/>
  <c r="L30" i="4"/>
  <c r="N30" i="4" s="1"/>
  <c r="L40" i="4"/>
  <c r="N40" i="4" s="1"/>
  <c r="L36" i="4"/>
  <c r="N36" i="4" s="1"/>
  <c r="L35" i="4"/>
  <c r="N35" i="4" s="1"/>
  <c r="L33" i="4"/>
  <c r="N33" i="4" s="1"/>
  <c r="O40" i="4"/>
  <c r="L39" i="4"/>
  <c r="N39" i="4" s="1"/>
  <c r="L37" i="4"/>
  <c r="N37" i="4" s="1"/>
  <c r="O35" i="4"/>
  <c r="L34" i="4"/>
  <c r="N34" i="4" s="1"/>
  <c r="L32" i="4"/>
  <c r="N32" i="4" s="1"/>
  <c r="O30" i="4"/>
  <c r="L29" i="4"/>
  <c r="N29" i="4" s="1"/>
  <c r="L52" i="4"/>
  <c r="N52" i="4" s="1"/>
  <c r="L50" i="4"/>
  <c r="N50" i="4" s="1"/>
  <c r="L48" i="4"/>
  <c r="N48" i="4" s="1"/>
  <c r="L46" i="4"/>
  <c r="N46" i="4" s="1"/>
  <c r="L44" i="4"/>
  <c r="N44" i="4" s="1"/>
  <c r="L42" i="4"/>
  <c r="N42" i="4" s="1"/>
  <c r="L53" i="4"/>
  <c r="N53" i="4" s="1"/>
  <c r="L51" i="4"/>
  <c r="N51" i="4" s="1"/>
  <c r="L49" i="4"/>
  <c r="N49" i="4" s="1"/>
  <c r="L47" i="4"/>
  <c r="N47" i="4" s="1"/>
  <c r="L45" i="4"/>
  <c r="N45" i="4" s="1"/>
  <c r="L43" i="4"/>
  <c r="N43" i="4" s="1"/>
  <c r="O63" i="4"/>
  <c r="O61" i="4"/>
  <c r="O59" i="4"/>
  <c r="O57" i="4"/>
  <c r="L55" i="4"/>
  <c r="N55" i="4" s="1"/>
  <c r="L56" i="4"/>
  <c r="N56" i="4" s="1"/>
  <c r="T162" i="4"/>
  <c r="R162" i="4"/>
  <c r="T164" i="4"/>
  <c r="V164" i="4" s="1"/>
  <c r="R164" i="4"/>
  <c r="T159" i="4"/>
  <c r="V159" i="4" s="1"/>
  <c r="R159" i="4"/>
  <c r="T161" i="4"/>
  <c r="V161" i="4" s="1"/>
  <c r="R161" i="4"/>
  <c r="T163" i="4"/>
  <c r="V163" i="4" s="1"/>
  <c r="R163" i="4"/>
  <c r="O15" i="4"/>
  <c r="O31" i="4"/>
  <c r="O29" i="4"/>
  <c r="O56" i="4"/>
  <c r="Q56" i="4" s="1"/>
  <c r="O51" i="4"/>
  <c r="Q51" i="4" s="1"/>
  <c r="O47" i="4"/>
  <c r="Q47" i="4" s="1"/>
  <c r="O43" i="4"/>
  <c r="Q43" i="4" s="1"/>
  <c r="O38" i="4"/>
  <c r="Q38" i="4" s="1"/>
  <c r="O36" i="4"/>
  <c r="Q36" i="4" s="1"/>
  <c r="O17" i="4"/>
  <c r="Q17" i="4" s="1"/>
  <c r="O53" i="4"/>
  <c r="Q53" i="4" s="1"/>
  <c r="O49" i="4"/>
  <c r="Q49" i="4" s="1"/>
  <c r="O45" i="4"/>
  <c r="Q45" i="4" s="1"/>
  <c r="O39" i="4"/>
  <c r="Q39" i="4" s="1"/>
  <c r="O37" i="4"/>
  <c r="Q37" i="4" s="1"/>
  <c r="O34" i="4"/>
  <c r="Q34" i="4" s="1"/>
  <c r="O33" i="4"/>
  <c r="Q33" i="4" s="1"/>
  <c r="O65" i="4"/>
  <c r="Q65" i="4" s="1"/>
  <c r="O55" i="4"/>
  <c r="Q55" i="4" s="1"/>
  <c r="O52" i="4"/>
  <c r="Q52" i="4" s="1"/>
  <c r="O50" i="4"/>
  <c r="Q50" i="4" s="1"/>
  <c r="O48" i="4"/>
  <c r="Q48" i="4" s="1"/>
  <c r="O46" i="4"/>
  <c r="Q46" i="4" s="1"/>
  <c r="O44" i="4"/>
  <c r="Q44" i="4" s="1"/>
  <c r="O42" i="4"/>
  <c r="Q42" i="4" s="1"/>
  <c r="O16" i="4"/>
  <c r="Q16" i="4" s="1"/>
  <c r="O14" i="4"/>
  <c r="Q14" i="4" s="1"/>
  <c r="L66" i="4"/>
  <c r="N66" i="4" s="1"/>
  <c r="L64" i="4"/>
  <c r="N64" i="4" s="1"/>
  <c r="L62" i="4"/>
  <c r="N62" i="4" s="1"/>
  <c r="L60" i="4"/>
  <c r="N60" i="4" s="1"/>
  <c r="L58" i="4"/>
  <c r="N58" i="4" s="1"/>
  <c r="O66" i="4"/>
  <c r="Q66" i="4" s="1"/>
  <c r="L65" i="4"/>
  <c r="N65" i="4" s="1"/>
  <c r="O64" i="4"/>
  <c r="Q64" i="4" s="1"/>
  <c r="L63" i="4"/>
  <c r="N63" i="4" s="1"/>
  <c r="O62" i="4"/>
  <c r="Q62" i="4" s="1"/>
  <c r="L61" i="4"/>
  <c r="N61" i="4" s="1"/>
  <c r="O60" i="4"/>
  <c r="Q60" i="4" s="1"/>
  <c r="L59" i="4"/>
  <c r="N59" i="4" s="1"/>
  <c r="O58" i="4"/>
  <c r="Q58" i="4" s="1"/>
  <c r="L57" i="4"/>
  <c r="N57" i="4" s="1"/>
  <c r="L25" i="4"/>
  <c r="N25" i="4" s="1"/>
  <c r="L23" i="4"/>
  <c r="N23" i="4" s="1"/>
  <c r="L21" i="4"/>
  <c r="N21" i="4" s="1"/>
  <c r="L19" i="4"/>
  <c r="N19" i="4" s="1"/>
  <c r="O27" i="4"/>
  <c r="Q27" i="4" s="1"/>
  <c r="L26" i="4"/>
  <c r="N26" i="4" s="1"/>
  <c r="O25" i="4"/>
  <c r="Q25" i="4" s="1"/>
  <c r="L24" i="4"/>
  <c r="N24" i="4" s="1"/>
  <c r="O23" i="4"/>
  <c r="Q23" i="4" s="1"/>
  <c r="L22" i="4"/>
  <c r="N22" i="4" s="1"/>
  <c r="L20" i="4"/>
  <c r="N20" i="4" s="1"/>
  <c r="L18" i="4"/>
  <c r="N18" i="4" s="1"/>
  <c r="L13" i="4"/>
  <c r="N13" i="4" s="1"/>
  <c r="L11" i="4"/>
  <c r="N11" i="4" s="1"/>
  <c r="O13" i="4"/>
  <c r="Q13" i="4" s="1"/>
  <c r="L12" i="4"/>
  <c r="N12" i="4" s="1"/>
  <c r="O11" i="4"/>
  <c r="Q11" i="4" s="1"/>
  <c r="L10" i="4"/>
  <c r="N10" i="4" s="1"/>
  <c r="V160" i="4" l="1"/>
  <c r="AI160" i="4"/>
  <c r="AQ160" i="4" s="1"/>
  <c r="Z160" i="4"/>
  <c r="AJ160" i="4"/>
  <c r="AR160" i="4" s="1"/>
  <c r="X160" i="4"/>
  <c r="Q31" i="4"/>
  <c r="AH31" i="4" s="1"/>
  <c r="AP31" i="4" s="1"/>
  <c r="P61" i="4"/>
  <c r="S61" i="4" s="1"/>
  <c r="Q61" i="4"/>
  <c r="AH61" i="4" s="1"/>
  <c r="AP61" i="4" s="1"/>
  <c r="P18" i="4"/>
  <c r="S18" i="4" s="1"/>
  <c r="Q18" i="4"/>
  <c r="P26" i="4"/>
  <c r="S26" i="4" s="1"/>
  <c r="Q26" i="4"/>
  <c r="P21" i="4"/>
  <c r="S21" i="4" s="1"/>
  <c r="Q21" i="4"/>
  <c r="Q32" i="4"/>
  <c r="AH32" i="4" s="1"/>
  <c r="AP32" i="4" s="1"/>
  <c r="P15" i="4"/>
  <c r="S15" i="4" s="1"/>
  <c r="Q15" i="4"/>
  <c r="P63" i="4"/>
  <c r="S63" i="4" s="1"/>
  <c r="Q63" i="4"/>
  <c r="Q40" i="4"/>
  <c r="AH40" i="4" s="1"/>
  <c r="AP40" i="4" s="1"/>
  <c r="P12" i="4"/>
  <c r="Q12" i="4"/>
  <c r="P20" i="4"/>
  <c r="Q20" i="4"/>
  <c r="Q57" i="4"/>
  <c r="AH57" i="4" s="1"/>
  <c r="AP57" i="4" s="1"/>
  <c r="P35" i="4"/>
  <c r="Q35" i="4"/>
  <c r="AH35" i="4" s="1"/>
  <c r="AP35" i="4" s="1"/>
  <c r="P22" i="4"/>
  <c r="S22" i="4" s="1"/>
  <c r="Q22" i="4"/>
  <c r="P10" i="4"/>
  <c r="Q10" i="4"/>
  <c r="AH10" i="4" s="1"/>
  <c r="AP10" i="4" s="1"/>
  <c r="Q29" i="4"/>
  <c r="AH29" i="4" s="1"/>
  <c r="AP29" i="4" s="1"/>
  <c r="P59" i="4"/>
  <c r="S59" i="4" s="1"/>
  <c r="Q59" i="4"/>
  <c r="Q30" i="4"/>
  <c r="AH30" i="4" s="1"/>
  <c r="AP30" i="4" s="1"/>
  <c r="P24" i="4"/>
  <c r="S24" i="4" s="1"/>
  <c r="Q24" i="4"/>
  <c r="P19" i="4"/>
  <c r="S19" i="4" s="1"/>
  <c r="Q19" i="4"/>
  <c r="AH19" i="4" s="1"/>
  <c r="AP19" i="4" s="1"/>
  <c r="AI162" i="4"/>
  <c r="AQ162" i="4" s="1"/>
  <c r="V162" i="4"/>
  <c r="AH59" i="4"/>
  <c r="AP59" i="4" s="1"/>
  <c r="X162" i="4"/>
  <c r="P40" i="4"/>
  <c r="R40" i="4" s="1"/>
  <c r="P57" i="4"/>
  <c r="S57" i="4" s="1"/>
  <c r="AH12" i="4"/>
  <c r="AP12" i="4" s="1"/>
  <c r="P32" i="4"/>
  <c r="S32" i="4" s="1"/>
  <c r="X163" i="4"/>
  <c r="AI163" i="4"/>
  <c r="AQ163" i="4" s="1"/>
  <c r="X161" i="4"/>
  <c r="AI161" i="4"/>
  <c r="AQ161" i="4" s="1"/>
  <c r="X159" i="4"/>
  <c r="AI159" i="4"/>
  <c r="AQ159" i="4" s="1"/>
  <c r="X164" i="4"/>
  <c r="AI164" i="4"/>
  <c r="AQ164" i="4" s="1"/>
  <c r="R26" i="4"/>
  <c r="R24" i="4"/>
  <c r="R19" i="4"/>
  <c r="AH22" i="4"/>
  <c r="AP22" i="4" s="1"/>
  <c r="T59" i="4"/>
  <c r="R61" i="4"/>
  <c r="P30" i="4"/>
  <c r="AH20" i="4"/>
  <c r="AP20" i="4" s="1"/>
  <c r="AH24" i="4"/>
  <c r="AP24" i="4" s="1"/>
  <c r="T63" i="4"/>
  <c r="AH21" i="4"/>
  <c r="AP21" i="4" s="1"/>
  <c r="AH26" i="4"/>
  <c r="AP26" i="4" s="1"/>
  <c r="AH63" i="4"/>
  <c r="AP63" i="4" s="1"/>
  <c r="AH18" i="4"/>
  <c r="AP18" i="4" s="1"/>
  <c r="P29" i="4"/>
  <c r="AH15" i="4"/>
  <c r="AP15" i="4" s="1"/>
  <c r="P31" i="4"/>
  <c r="T57" i="4"/>
  <c r="T61" i="4"/>
  <c r="R63" i="4"/>
  <c r="Z163" i="4"/>
  <c r="AJ163" i="4"/>
  <c r="AR163" i="4" s="1"/>
  <c r="Z161" i="4"/>
  <c r="AJ161" i="4"/>
  <c r="AR161" i="4" s="1"/>
  <c r="Z159" i="4"/>
  <c r="AJ159" i="4"/>
  <c r="AR159" i="4" s="1"/>
  <c r="Z164" i="4"/>
  <c r="AJ164" i="4"/>
  <c r="AR164" i="4" s="1"/>
  <c r="Z162" i="4"/>
  <c r="AJ162" i="4"/>
  <c r="AR162" i="4" s="1"/>
  <c r="AB160" i="4"/>
  <c r="AA160" i="4" s="1"/>
  <c r="AC160" i="4" s="1"/>
  <c r="T19" i="4"/>
  <c r="V19" i="4" s="1"/>
  <c r="T22" i="4"/>
  <c r="V22" i="4" s="1"/>
  <c r="T26" i="4"/>
  <c r="V26" i="4" s="1"/>
  <c r="P13" i="4"/>
  <c r="AH13" i="4"/>
  <c r="AP13" i="4" s="1"/>
  <c r="P25" i="4"/>
  <c r="AH25" i="4"/>
  <c r="AP25" i="4" s="1"/>
  <c r="P60" i="4"/>
  <c r="AH60" i="4"/>
  <c r="AP60" i="4" s="1"/>
  <c r="P64" i="4"/>
  <c r="AH64" i="4"/>
  <c r="AP64" i="4" s="1"/>
  <c r="P14" i="4"/>
  <c r="S14" i="4" s="1"/>
  <c r="AH14" i="4"/>
  <c r="AP14" i="4" s="1"/>
  <c r="P42" i="4"/>
  <c r="S42" i="4" s="1"/>
  <c r="AH42" i="4"/>
  <c r="AP42" i="4" s="1"/>
  <c r="P46" i="4"/>
  <c r="S46" i="4" s="1"/>
  <c r="AH46" i="4"/>
  <c r="AP46" i="4" s="1"/>
  <c r="P50" i="4"/>
  <c r="S50" i="4" s="1"/>
  <c r="AH50" i="4"/>
  <c r="AP50" i="4" s="1"/>
  <c r="P55" i="4"/>
  <c r="S55" i="4" s="1"/>
  <c r="AH55" i="4"/>
  <c r="AP55" i="4" s="1"/>
  <c r="P33" i="4"/>
  <c r="S33" i="4" s="1"/>
  <c r="AH33" i="4"/>
  <c r="AP33" i="4" s="1"/>
  <c r="P39" i="4"/>
  <c r="S39" i="4" s="1"/>
  <c r="AH39" i="4"/>
  <c r="AP39" i="4" s="1"/>
  <c r="P45" i="4"/>
  <c r="S45" i="4" s="1"/>
  <c r="AH45" i="4"/>
  <c r="AP45" i="4" s="1"/>
  <c r="P49" i="4"/>
  <c r="S49" i="4" s="1"/>
  <c r="AH49" i="4"/>
  <c r="AP49" i="4" s="1"/>
  <c r="P53" i="4"/>
  <c r="S53" i="4" s="1"/>
  <c r="AH53" i="4"/>
  <c r="AP53" i="4" s="1"/>
  <c r="P36" i="4"/>
  <c r="S36" i="4" s="1"/>
  <c r="AH36" i="4"/>
  <c r="AP36" i="4" s="1"/>
  <c r="P43" i="4"/>
  <c r="S43" i="4" s="1"/>
  <c r="AH43" i="4"/>
  <c r="AP43" i="4" s="1"/>
  <c r="P51" i="4"/>
  <c r="S51" i="4" s="1"/>
  <c r="AH51" i="4"/>
  <c r="AP51" i="4" s="1"/>
  <c r="P11" i="4"/>
  <c r="AH11" i="4"/>
  <c r="AP11" i="4" s="1"/>
  <c r="P23" i="4"/>
  <c r="S23" i="4" s="1"/>
  <c r="AH23" i="4"/>
  <c r="AP23" i="4" s="1"/>
  <c r="P27" i="4"/>
  <c r="S27" i="4" s="1"/>
  <c r="AH27" i="4"/>
  <c r="AP27" i="4" s="1"/>
  <c r="P58" i="4"/>
  <c r="AH58" i="4"/>
  <c r="AP58" i="4" s="1"/>
  <c r="P62" i="4"/>
  <c r="AH62" i="4"/>
  <c r="AP62" i="4" s="1"/>
  <c r="P66" i="4"/>
  <c r="AH66" i="4"/>
  <c r="AP66" i="4" s="1"/>
  <c r="P16" i="4"/>
  <c r="S16" i="4" s="1"/>
  <c r="AH16" i="4"/>
  <c r="AP16" i="4" s="1"/>
  <c r="P44" i="4"/>
  <c r="S44" i="4" s="1"/>
  <c r="AH44" i="4"/>
  <c r="AP44" i="4" s="1"/>
  <c r="P48" i="4"/>
  <c r="S48" i="4" s="1"/>
  <c r="AH48" i="4"/>
  <c r="AP48" i="4" s="1"/>
  <c r="P52" i="4"/>
  <c r="S52" i="4" s="1"/>
  <c r="AH52" i="4"/>
  <c r="AP52" i="4" s="1"/>
  <c r="P65" i="4"/>
  <c r="S65" i="4" s="1"/>
  <c r="AH65" i="4"/>
  <c r="AP65" i="4" s="1"/>
  <c r="P34" i="4"/>
  <c r="S34" i="4" s="1"/>
  <c r="AH34" i="4"/>
  <c r="AP34" i="4" s="1"/>
  <c r="P37" i="4"/>
  <c r="S37" i="4" s="1"/>
  <c r="AH37" i="4"/>
  <c r="AP37" i="4" s="1"/>
  <c r="P17" i="4"/>
  <c r="S17" i="4" s="1"/>
  <c r="AH17" i="4"/>
  <c r="AP17" i="4" s="1"/>
  <c r="P38" i="4"/>
  <c r="S38" i="4" s="1"/>
  <c r="AH38" i="4"/>
  <c r="AP38" i="4" s="1"/>
  <c r="P47" i="4"/>
  <c r="S47" i="4" s="1"/>
  <c r="AH47" i="4"/>
  <c r="AP47" i="4" s="1"/>
  <c r="P56" i="4"/>
  <c r="S56" i="4" s="1"/>
  <c r="AH56" i="4"/>
  <c r="AP56" i="4" s="1"/>
  <c r="R22" i="4" l="1"/>
  <c r="S35" i="4"/>
  <c r="T35" i="4" s="1"/>
  <c r="R20" i="4"/>
  <c r="S20" i="4"/>
  <c r="S30" i="4"/>
  <c r="T30" i="4" s="1"/>
  <c r="R15" i="4"/>
  <c r="R18" i="4"/>
  <c r="S40" i="4"/>
  <c r="T40" i="4" s="1"/>
  <c r="R12" i="4"/>
  <c r="S12" i="4"/>
  <c r="T12" i="4" s="1"/>
  <c r="V12" i="4" s="1"/>
  <c r="R10" i="4"/>
  <c r="S10" i="4"/>
  <c r="AI10" i="4" s="1"/>
  <c r="AQ10" i="4" s="1"/>
  <c r="T21" i="4"/>
  <c r="V21" i="4" s="1"/>
  <c r="S62" i="4"/>
  <c r="T62" i="4" s="1"/>
  <c r="R11" i="4"/>
  <c r="S11" i="4"/>
  <c r="T11" i="4" s="1"/>
  <c r="V11" i="4" s="1"/>
  <c r="R64" i="4"/>
  <c r="S64" i="4"/>
  <c r="S25" i="4"/>
  <c r="AI25" i="4" s="1"/>
  <c r="AQ25" i="4" s="1"/>
  <c r="T24" i="4"/>
  <c r="V24" i="4" s="1"/>
  <c r="R59" i="4"/>
  <c r="R29" i="4"/>
  <c r="S29" i="4"/>
  <c r="T29" i="4" s="1"/>
  <c r="R21" i="4"/>
  <c r="S66" i="4"/>
  <c r="T66" i="4" s="1"/>
  <c r="S58" i="4"/>
  <c r="T58" i="4" s="1"/>
  <c r="X58" i="4" s="1"/>
  <c r="S60" i="4"/>
  <c r="T60" i="4" s="1"/>
  <c r="R13" i="4"/>
  <c r="S13" i="4"/>
  <c r="R31" i="4"/>
  <c r="S31" i="4"/>
  <c r="T18" i="4"/>
  <c r="V18" i="4" s="1"/>
  <c r="AJ18" i="4" s="1"/>
  <c r="AR18" i="4" s="1"/>
  <c r="T15" i="4"/>
  <c r="T20" i="4"/>
  <c r="AJ20" i="4" s="1"/>
  <c r="AR20" i="4" s="1"/>
  <c r="R35" i="4"/>
  <c r="R60" i="4"/>
  <c r="R62" i="4"/>
  <c r="R57" i="4"/>
  <c r="AI57" i="4"/>
  <c r="AQ57" i="4" s="1"/>
  <c r="V57" i="4"/>
  <c r="Z57" i="4" s="1"/>
  <c r="AB57" i="4" s="1"/>
  <c r="AA57" i="4" s="1"/>
  <c r="AC57" i="4" s="1"/>
  <c r="AI63" i="4"/>
  <c r="AQ63" i="4" s="1"/>
  <c r="V63" i="4"/>
  <c r="AJ63" i="4" s="1"/>
  <c r="AR63" i="4" s="1"/>
  <c r="V20" i="4"/>
  <c r="Z20" i="4" s="1"/>
  <c r="AB20" i="4" s="1"/>
  <c r="AA20" i="4" s="1"/>
  <c r="AC20" i="4" s="1"/>
  <c r="AI61" i="4"/>
  <c r="AQ61" i="4" s="1"/>
  <c r="V61" i="4"/>
  <c r="Z61" i="4" s="1"/>
  <c r="AB61" i="4" s="1"/>
  <c r="AA61" i="4" s="1"/>
  <c r="AC61" i="4" s="1"/>
  <c r="V15" i="4"/>
  <c r="AJ15" i="4" s="1"/>
  <c r="AR15" i="4" s="1"/>
  <c r="AI59" i="4"/>
  <c r="AQ59" i="4" s="1"/>
  <c r="V59" i="4"/>
  <c r="AJ59" i="4" s="1"/>
  <c r="AR59" i="4" s="1"/>
  <c r="X57" i="4"/>
  <c r="R23" i="4"/>
  <c r="T31" i="4"/>
  <c r="R58" i="4"/>
  <c r="X20" i="4"/>
  <c r="R30" i="4"/>
  <c r="T10" i="4"/>
  <c r="V10" i="4" s="1"/>
  <c r="AI20" i="4"/>
  <c r="AQ20" i="4" s="1"/>
  <c r="T32" i="4"/>
  <c r="V32" i="4" s="1"/>
  <c r="R32" i="4"/>
  <c r="AI15" i="4"/>
  <c r="AQ15" i="4" s="1"/>
  <c r="AI21" i="4"/>
  <c r="AQ21" i="4" s="1"/>
  <c r="AI26" i="4"/>
  <c r="AQ26" i="4" s="1"/>
  <c r="AI22" i="4"/>
  <c r="AQ22" i="4" s="1"/>
  <c r="AI18" i="4"/>
  <c r="AQ18" i="4" s="1"/>
  <c r="AI27" i="4"/>
  <c r="AQ27" i="4" s="1"/>
  <c r="AI23" i="4"/>
  <c r="AQ23" i="4" s="1"/>
  <c r="AI19" i="4"/>
  <c r="AQ19" i="4" s="1"/>
  <c r="AI24" i="4"/>
  <c r="AQ24" i="4" s="1"/>
  <c r="AI12" i="4"/>
  <c r="AQ12" i="4" s="1"/>
  <c r="X59" i="4"/>
  <c r="Z63" i="4"/>
  <c r="AB63" i="4" s="1"/>
  <c r="AA63" i="4" s="1"/>
  <c r="X63" i="4"/>
  <c r="X61" i="4"/>
  <c r="T64" i="4"/>
  <c r="X15" i="4"/>
  <c r="R66" i="4"/>
  <c r="AD160" i="4"/>
  <c r="AB162" i="4"/>
  <c r="AA162" i="4" s="1"/>
  <c r="AC162" i="4" s="1"/>
  <c r="AB161" i="4"/>
  <c r="AA161" i="4" s="1"/>
  <c r="AC161" i="4" s="1"/>
  <c r="AK160" i="4"/>
  <c r="AB164" i="4"/>
  <c r="AB159" i="4"/>
  <c r="AA159" i="4" s="1"/>
  <c r="AC159" i="4" s="1"/>
  <c r="AB163" i="4"/>
  <c r="AK163" i="4" s="1"/>
  <c r="AJ26" i="4"/>
  <c r="AR26" i="4" s="1"/>
  <c r="Z26" i="4"/>
  <c r="X26" i="4"/>
  <c r="AJ24" i="4"/>
  <c r="AR24" i="4" s="1"/>
  <c r="Z24" i="4"/>
  <c r="X24" i="4"/>
  <c r="AJ22" i="4"/>
  <c r="AR22" i="4" s="1"/>
  <c r="Z22" i="4"/>
  <c r="X22" i="4"/>
  <c r="Z12" i="4"/>
  <c r="AJ12" i="4"/>
  <c r="AR12" i="4" s="1"/>
  <c r="X12" i="4"/>
  <c r="R27" i="4"/>
  <c r="R25" i="4"/>
  <c r="T13" i="4"/>
  <c r="V13" i="4" s="1"/>
  <c r="AJ21" i="4"/>
  <c r="AR21" i="4" s="1"/>
  <c r="Z19" i="4"/>
  <c r="AJ19" i="4"/>
  <c r="AR19" i="4" s="1"/>
  <c r="X19" i="4"/>
  <c r="T23" i="4"/>
  <c r="V23" i="4" s="1"/>
  <c r="T56" i="4"/>
  <c r="R56" i="4"/>
  <c r="R47" i="4"/>
  <c r="T47" i="4"/>
  <c r="T38" i="4"/>
  <c r="R38" i="4"/>
  <c r="AI17" i="4"/>
  <c r="AQ17" i="4" s="1"/>
  <c r="R17" i="4"/>
  <c r="T37" i="4"/>
  <c r="R37" i="4"/>
  <c r="T34" i="4"/>
  <c r="R34" i="4"/>
  <c r="T65" i="4"/>
  <c r="R65" i="4"/>
  <c r="T52" i="4"/>
  <c r="R52" i="4"/>
  <c r="R48" i="4"/>
  <c r="T48" i="4"/>
  <c r="R44" i="4"/>
  <c r="T44" i="4"/>
  <c r="R16" i="4"/>
  <c r="T16" i="4"/>
  <c r="V16" i="4" s="1"/>
  <c r="T36" i="4"/>
  <c r="R36" i="4"/>
  <c r="T53" i="4"/>
  <c r="R53" i="4"/>
  <c r="T49" i="4"/>
  <c r="R49" i="4"/>
  <c r="R45" i="4"/>
  <c r="T45" i="4"/>
  <c r="T39" i="4"/>
  <c r="R39" i="4"/>
  <c r="T33" i="4"/>
  <c r="R33" i="4"/>
  <c r="T55" i="4"/>
  <c r="R55" i="4"/>
  <c r="R50" i="4"/>
  <c r="T50" i="4"/>
  <c r="R46" i="4"/>
  <c r="T46" i="4"/>
  <c r="R42" i="4"/>
  <c r="T42" i="4"/>
  <c r="R14" i="4"/>
  <c r="T14" i="4"/>
  <c r="V14" i="4" s="1"/>
  <c r="T51" i="4"/>
  <c r="R51" i="4"/>
  <c r="R43" i="4"/>
  <c r="T43" i="4"/>
  <c r="AJ57" i="4" l="1"/>
  <c r="AR57" i="4" s="1"/>
  <c r="V29" i="4"/>
  <c r="Z29" i="4" s="1"/>
  <c r="AI29" i="4"/>
  <c r="AQ29" i="4" s="1"/>
  <c r="AI66" i="4"/>
  <c r="AQ66" i="4" s="1"/>
  <c r="X66" i="4"/>
  <c r="V66" i="4"/>
  <c r="AJ66" i="4" s="1"/>
  <c r="AR66" i="4" s="1"/>
  <c r="V60" i="4"/>
  <c r="Z60" i="4" s="1"/>
  <c r="AB60" i="4" s="1"/>
  <c r="AA60" i="4" s="1"/>
  <c r="AC60" i="4" s="1"/>
  <c r="AJ60" i="4"/>
  <c r="AR60" i="4" s="1"/>
  <c r="AI60" i="4"/>
  <c r="AQ60" i="4" s="1"/>
  <c r="X60" i="4"/>
  <c r="X40" i="4"/>
  <c r="V40" i="4"/>
  <c r="AJ40" i="4" s="1"/>
  <c r="AR40" i="4" s="1"/>
  <c r="AI40" i="4"/>
  <c r="AQ40" i="4" s="1"/>
  <c r="V30" i="4"/>
  <c r="AJ30" i="4" s="1"/>
  <c r="AR30" i="4" s="1"/>
  <c r="AI30" i="4"/>
  <c r="AQ30" i="4" s="1"/>
  <c r="X30" i="4"/>
  <c r="V62" i="4"/>
  <c r="Z62" i="4" s="1"/>
  <c r="X62" i="4"/>
  <c r="AI62" i="4"/>
  <c r="AQ62" i="4" s="1"/>
  <c r="V35" i="4"/>
  <c r="Z35" i="4" s="1"/>
  <c r="X35" i="4"/>
  <c r="AI35" i="4"/>
  <c r="AQ35" i="4" s="1"/>
  <c r="Z21" i="4"/>
  <c r="X29" i="4"/>
  <c r="V58" i="4"/>
  <c r="Z58" i="4" s="1"/>
  <c r="AB58" i="4" s="1"/>
  <c r="AA58" i="4" s="1"/>
  <c r="AC58" i="4" s="1"/>
  <c r="T25" i="4"/>
  <c r="AJ29" i="4"/>
  <c r="AR29" i="4" s="1"/>
  <c r="X18" i="4"/>
  <c r="AI58" i="4"/>
  <c r="AQ58" i="4" s="1"/>
  <c r="X21" i="4"/>
  <c r="AJ10" i="4"/>
  <c r="AR10" i="4" s="1"/>
  <c r="AJ62" i="4"/>
  <c r="AR62" i="4" s="1"/>
  <c r="Z15" i="4"/>
  <c r="AB15" i="4" s="1"/>
  <c r="AA15" i="4" s="1"/>
  <c r="AC15" i="4" s="1"/>
  <c r="Z18" i="4"/>
  <c r="AB18" i="4" s="1"/>
  <c r="AA18" i="4" s="1"/>
  <c r="AC18" i="4" s="1"/>
  <c r="AJ61" i="4"/>
  <c r="AR61" i="4" s="1"/>
  <c r="Z59" i="4"/>
  <c r="AB59" i="4" s="1"/>
  <c r="AA59" i="4" s="1"/>
  <c r="AC59" i="4" s="1"/>
  <c r="AI50" i="4"/>
  <c r="AQ50" i="4" s="1"/>
  <c r="V50" i="4"/>
  <c r="AJ50" i="4" s="1"/>
  <c r="AR50" i="4" s="1"/>
  <c r="AI55" i="4"/>
  <c r="AQ55" i="4" s="1"/>
  <c r="V55" i="4"/>
  <c r="Z55" i="4" s="1"/>
  <c r="AI33" i="4"/>
  <c r="AQ33" i="4" s="1"/>
  <c r="V33" i="4"/>
  <c r="AI53" i="4"/>
  <c r="AQ53" i="4" s="1"/>
  <c r="V53" i="4"/>
  <c r="Z53" i="4" s="1"/>
  <c r="AI37" i="4"/>
  <c r="AQ37" i="4" s="1"/>
  <c r="V37" i="4"/>
  <c r="Z37" i="4" s="1"/>
  <c r="AI56" i="4"/>
  <c r="AQ56" i="4" s="1"/>
  <c r="V56" i="4"/>
  <c r="AJ56" i="4" s="1"/>
  <c r="AR56" i="4" s="1"/>
  <c r="AI39" i="4"/>
  <c r="AQ39" i="4" s="1"/>
  <c r="V39" i="4"/>
  <c r="AI36" i="4"/>
  <c r="AQ36" i="4" s="1"/>
  <c r="V36" i="4"/>
  <c r="Z36" i="4" s="1"/>
  <c r="AI52" i="4"/>
  <c r="AQ52" i="4" s="1"/>
  <c r="V52" i="4"/>
  <c r="AJ52" i="4" s="1"/>
  <c r="AR52" i="4" s="1"/>
  <c r="AI46" i="4"/>
  <c r="AQ46" i="4" s="1"/>
  <c r="V46" i="4"/>
  <c r="Z46" i="4" s="1"/>
  <c r="AI51" i="4"/>
  <c r="AQ51" i="4" s="1"/>
  <c r="V51" i="4"/>
  <c r="AI65" i="4"/>
  <c r="AQ65" i="4" s="1"/>
  <c r="V65" i="4"/>
  <c r="AJ65" i="4" s="1"/>
  <c r="AR65" i="4" s="1"/>
  <c r="AI38" i="4"/>
  <c r="AQ38" i="4" s="1"/>
  <c r="V38" i="4"/>
  <c r="AJ38" i="4" s="1"/>
  <c r="AR38" i="4" s="1"/>
  <c r="AI31" i="4"/>
  <c r="AQ31" i="4" s="1"/>
  <c r="V31" i="4"/>
  <c r="Z31" i="4" s="1"/>
  <c r="AB31" i="4" s="1"/>
  <c r="AA31" i="4" s="1"/>
  <c r="AC31" i="4" s="1"/>
  <c r="AI45" i="4"/>
  <c r="AQ45" i="4" s="1"/>
  <c r="V45" i="4"/>
  <c r="AI44" i="4"/>
  <c r="AQ44" i="4" s="1"/>
  <c r="V44" i="4"/>
  <c r="Z44" i="4" s="1"/>
  <c r="AI47" i="4"/>
  <c r="AQ47" i="4" s="1"/>
  <c r="V47" i="4"/>
  <c r="AJ47" i="4" s="1"/>
  <c r="AR47" i="4" s="1"/>
  <c r="AI43" i="4"/>
  <c r="AQ43" i="4" s="1"/>
  <c r="V43" i="4"/>
  <c r="Z43" i="4" s="1"/>
  <c r="AI49" i="4"/>
  <c r="AQ49" i="4" s="1"/>
  <c r="V49" i="4"/>
  <c r="AI34" i="4"/>
  <c r="AQ34" i="4" s="1"/>
  <c r="V34" i="4"/>
  <c r="AJ34" i="4" s="1"/>
  <c r="AR34" i="4" s="1"/>
  <c r="X64" i="4"/>
  <c r="V64" i="4"/>
  <c r="AJ64" i="4" s="1"/>
  <c r="AR64" i="4" s="1"/>
  <c r="Z40" i="4"/>
  <c r="AB40" i="4" s="1"/>
  <c r="AA40" i="4" s="1"/>
  <c r="AC40" i="4" s="1"/>
  <c r="AI42" i="4"/>
  <c r="AQ42" i="4" s="1"/>
  <c r="V42" i="4"/>
  <c r="AI48" i="4"/>
  <c r="AQ48" i="4" s="1"/>
  <c r="V48" i="4"/>
  <c r="Z48" i="4" s="1"/>
  <c r="T17" i="4"/>
  <c r="V17" i="4" s="1"/>
  <c r="X31" i="4"/>
  <c r="AJ31" i="4"/>
  <c r="AR31" i="4" s="1"/>
  <c r="X10" i="4"/>
  <c r="Z10" i="4"/>
  <c r="AB10" i="4" s="1"/>
  <c r="AA10" i="4" s="1"/>
  <c r="AC10" i="4" s="1"/>
  <c r="T27" i="4"/>
  <c r="AI32" i="4"/>
  <c r="AQ32" i="4" s="1"/>
  <c r="X32" i="4"/>
  <c r="AJ32" i="4"/>
  <c r="AR32" i="4" s="1"/>
  <c r="Z32" i="4"/>
  <c r="AB32" i="4" s="1"/>
  <c r="AA32" i="4" s="1"/>
  <c r="AC32" i="4" s="1"/>
  <c r="AI64" i="4"/>
  <c r="AQ64" i="4" s="1"/>
  <c r="AI13" i="4"/>
  <c r="AQ13" i="4" s="1"/>
  <c r="AI14" i="4"/>
  <c r="AQ14" i="4" s="1"/>
  <c r="AI11" i="4"/>
  <c r="AQ11" i="4" s="1"/>
  <c r="AI16" i="4"/>
  <c r="AQ16" i="4" s="1"/>
  <c r="AC63" i="4"/>
  <c r="AK57" i="4"/>
  <c r="AD57" i="4"/>
  <c r="AK61" i="4"/>
  <c r="AL160" i="4"/>
  <c r="AS160" i="4"/>
  <c r="AK63" i="4"/>
  <c r="AK18" i="4"/>
  <c r="AL163" i="4"/>
  <c r="AS163" i="4"/>
  <c r="AD61" i="4"/>
  <c r="AD63" i="4"/>
  <c r="AD18" i="4"/>
  <c r="AK159" i="4"/>
  <c r="AK161" i="4"/>
  <c r="X37" i="4"/>
  <c r="AJ33" i="4"/>
  <c r="AR33" i="4" s="1"/>
  <c r="X33" i="4"/>
  <c r="Z33" i="4"/>
  <c r="X39" i="4"/>
  <c r="Z39" i="4"/>
  <c r="AJ39" i="4"/>
  <c r="AR39" i="4" s="1"/>
  <c r="X36" i="4"/>
  <c r="X34" i="4"/>
  <c r="X38" i="4"/>
  <c r="AB29" i="4"/>
  <c r="AA29" i="4" s="1"/>
  <c r="AC29" i="4" s="1"/>
  <c r="AD161" i="4"/>
  <c r="AD162" i="4"/>
  <c r="AD164" i="4"/>
  <c r="AA164" i="4"/>
  <c r="AC164" i="4" s="1"/>
  <c r="AK162" i="4"/>
  <c r="AD163" i="4"/>
  <c r="AA163" i="4"/>
  <c r="AC163" i="4" s="1"/>
  <c r="AD159" i="4"/>
  <c r="AK164" i="4"/>
  <c r="AK15" i="4"/>
  <c r="AK20" i="4"/>
  <c r="Z23" i="4"/>
  <c r="AJ23" i="4"/>
  <c r="AR23" i="4" s="1"/>
  <c r="X23" i="4"/>
  <c r="AB19" i="4"/>
  <c r="AA19" i="4" s="1"/>
  <c r="AC19" i="4" s="1"/>
  <c r="Z11" i="4"/>
  <c r="AJ11" i="4"/>
  <c r="AR11" i="4" s="1"/>
  <c r="X11" i="4"/>
  <c r="AB24" i="4"/>
  <c r="AA24" i="4" s="1"/>
  <c r="AC24" i="4" s="1"/>
  <c r="Z14" i="4"/>
  <c r="AJ14" i="4"/>
  <c r="AR14" i="4" s="1"/>
  <c r="X14" i="4"/>
  <c r="Z16" i="4"/>
  <c r="AJ16" i="4"/>
  <c r="AR16" i="4" s="1"/>
  <c r="X16" i="4"/>
  <c r="AB21" i="4"/>
  <c r="AA21" i="4" s="1"/>
  <c r="AC21" i="4" s="1"/>
  <c r="Z13" i="4"/>
  <c r="AJ13" i="4"/>
  <c r="AR13" i="4" s="1"/>
  <c r="X13" i="4"/>
  <c r="AD15" i="4"/>
  <c r="AD20" i="4"/>
  <c r="AB12" i="4"/>
  <c r="AA12" i="4" s="1"/>
  <c r="AC12" i="4" s="1"/>
  <c r="AB22" i="4"/>
  <c r="AA22" i="4" s="1"/>
  <c r="AC22" i="4" s="1"/>
  <c r="AB26" i="4"/>
  <c r="AA26" i="4" s="1"/>
  <c r="AC26" i="4" s="1"/>
  <c r="AJ43" i="4"/>
  <c r="AR43" i="4" s="1"/>
  <c r="X43" i="4"/>
  <c r="Z42" i="4"/>
  <c r="AJ42" i="4"/>
  <c r="AR42" i="4" s="1"/>
  <c r="X42" i="4"/>
  <c r="Z51" i="4"/>
  <c r="AJ51" i="4"/>
  <c r="AR51" i="4" s="1"/>
  <c r="X51" i="4"/>
  <c r="AJ49" i="4"/>
  <c r="AR49" i="4" s="1"/>
  <c r="Z49" i="4"/>
  <c r="X49" i="4"/>
  <c r="X53" i="4"/>
  <c r="X52" i="4"/>
  <c r="X46" i="4"/>
  <c r="X50" i="4"/>
  <c r="Z45" i="4"/>
  <c r="AJ45" i="4"/>
  <c r="AR45" i="4" s="1"/>
  <c r="X45" i="4"/>
  <c r="X44" i="4"/>
  <c r="X48" i="4"/>
  <c r="X47" i="4"/>
  <c r="X55" i="4"/>
  <c r="X65" i="4"/>
  <c r="Z56" i="4"/>
  <c r="X56" i="4"/>
  <c r="AB62" i="4"/>
  <c r="AA62" i="4" s="1"/>
  <c r="AC62" i="4" s="1"/>
  <c r="AK10" i="4"/>
  <c r="AD10" i="4"/>
  <c r="Z30" i="4" l="1"/>
  <c r="AJ35" i="4"/>
  <c r="AR35" i="4" s="1"/>
  <c r="AB35" i="4"/>
  <c r="AA35" i="4" s="1"/>
  <c r="AC35" i="4" s="1"/>
  <c r="AK40" i="4"/>
  <c r="AS40" i="4" s="1"/>
  <c r="Z65" i="4"/>
  <c r="AB65" i="4" s="1"/>
  <c r="AA65" i="4" s="1"/>
  <c r="AC65" i="4" s="1"/>
  <c r="AJ55" i="4"/>
  <c r="AR55" i="4" s="1"/>
  <c r="AJ48" i="4"/>
  <c r="AR48" i="4" s="1"/>
  <c r="V25" i="4"/>
  <c r="Z25" i="4" s="1"/>
  <c r="X25" i="4"/>
  <c r="AJ58" i="4"/>
  <c r="AR58" i="4" s="1"/>
  <c r="Z66" i="4"/>
  <c r="AB66" i="4" s="1"/>
  <c r="AA66" i="4" s="1"/>
  <c r="AC66" i="4" s="1"/>
  <c r="AL63" i="4"/>
  <c r="AS63" i="4"/>
  <c r="AD59" i="4"/>
  <c r="AL10" i="4"/>
  <c r="AS10" i="4"/>
  <c r="Z34" i="4"/>
  <c r="AB34" i="4" s="1"/>
  <c r="AA34" i="4" s="1"/>
  <c r="AC34" i="4" s="1"/>
  <c r="AJ44" i="4"/>
  <c r="AR44" i="4" s="1"/>
  <c r="AL15" i="4"/>
  <c r="AS15" i="4"/>
  <c r="AL61" i="4"/>
  <c r="AS61" i="4"/>
  <c r="AJ53" i="4"/>
  <c r="AR53" i="4" s="1"/>
  <c r="AJ36" i="4"/>
  <c r="AR36" i="4" s="1"/>
  <c r="AL57" i="4"/>
  <c r="AS57" i="4"/>
  <c r="AL20" i="4"/>
  <c r="AS20" i="4"/>
  <c r="AL18" i="4"/>
  <c r="AS18" i="4"/>
  <c r="AK59" i="4"/>
  <c r="AL40" i="4"/>
  <c r="AJ37" i="4"/>
  <c r="AR37" i="4" s="1"/>
  <c r="Z52" i="4"/>
  <c r="AB52" i="4" s="1"/>
  <c r="AA52" i="4" s="1"/>
  <c r="AC52" i="4" s="1"/>
  <c r="X17" i="4"/>
  <c r="Z47" i="4"/>
  <c r="AB47" i="4" s="1"/>
  <c r="AA47" i="4" s="1"/>
  <c r="AC47" i="4" s="1"/>
  <c r="AJ17" i="4"/>
  <c r="AR17" i="4" s="1"/>
  <c r="Z17" i="4"/>
  <c r="Z64" i="4"/>
  <c r="AB64" i="4" s="1"/>
  <c r="AA64" i="4" s="1"/>
  <c r="AC64" i="4" s="1"/>
  <c r="Z50" i="4"/>
  <c r="AB50" i="4" s="1"/>
  <c r="AA50" i="4" s="1"/>
  <c r="AC50" i="4" s="1"/>
  <c r="Z38" i="4"/>
  <c r="AJ46" i="4"/>
  <c r="AR46" i="4" s="1"/>
  <c r="AD40" i="4"/>
  <c r="V27" i="4"/>
  <c r="AJ27" i="4" s="1"/>
  <c r="AR27" i="4" s="1"/>
  <c r="X27" i="4"/>
  <c r="AD32" i="4"/>
  <c r="AK32" i="4"/>
  <c r="AK29" i="4"/>
  <c r="AL161" i="4"/>
  <c r="AS161" i="4"/>
  <c r="AL164" i="4"/>
  <c r="AS164" i="4"/>
  <c r="AL162" i="4"/>
  <c r="AS162" i="4"/>
  <c r="AL159" i="4"/>
  <c r="AS159" i="4"/>
  <c r="AK31" i="4"/>
  <c r="AB38" i="4"/>
  <c r="AA38" i="4" s="1"/>
  <c r="AC38" i="4" s="1"/>
  <c r="AB37" i="4"/>
  <c r="AA37" i="4" s="1"/>
  <c r="AC37" i="4" s="1"/>
  <c r="AD31" i="4"/>
  <c r="AD29" i="4"/>
  <c r="AB36" i="4"/>
  <c r="AA36" i="4" s="1"/>
  <c r="AC36" i="4" s="1"/>
  <c r="AB39" i="4"/>
  <c r="AA39" i="4" s="1"/>
  <c r="AC39" i="4" s="1"/>
  <c r="AB33" i="4"/>
  <c r="AA33" i="4" s="1"/>
  <c r="AC33" i="4" s="1"/>
  <c r="AK26" i="4"/>
  <c r="AK22" i="4"/>
  <c r="AK12" i="4"/>
  <c r="AK21" i="4"/>
  <c r="AK19" i="4"/>
  <c r="AD19" i="4"/>
  <c r="AD22" i="4"/>
  <c r="AK24" i="4"/>
  <c r="AD26" i="4"/>
  <c r="AB13" i="4"/>
  <c r="AA13" i="4" s="1"/>
  <c r="AC13" i="4" s="1"/>
  <c r="AB16" i="4"/>
  <c r="AA16" i="4" s="1"/>
  <c r="AC16" i="4" s="1"/>
  <c r="AB17" i="4"/>
  <c r="AA17" i="4" s="1"/>
  <c r="AC17" i="4" s="1"/>
  <c r="AD12" i="4"/>
  <c r="AD21" i="4"/>
  <c r="AB14" i="4"/>
  <c r="AA14" i="4" s="1"/>
  <c r="AC14" i="4" s="1"/>
  <c r="AD24" i="4"/>
  <c r="AB11" i="4"/>
  <c r="AA11" i="4" s="1"/>
  <c r="AC11" i="4" s="1"/>
  <c r="AB23" i="4"/>
  <c r="AA23" i="4" s="1"/>
  <c r="AC23" i="4" s="1"/>
  <c r="AB49" i="4"/>
  <c r="AA49" i="4" s="1"/>
  <c r="AC49" i="4" s="1"/>
  <c r="AB48" i="4"/>
  <c r="AA48" i="4" s="1"/>
  <c r="AC48" i="4" s="1"/>
  <c r="AB44" i="4"/>
  <c r="AA44" i="4" s="1"/>
  <c r="AC44" i="4" s="1"/>
  <c r="AB45" i="4"/>
  <c r="AA45" i="4" s="1"/>
  <c r="AC45" i="4" s="1"/>
  <c r="AB46" i="4"/>
  <c r="AA46" i="4" s="1"/>
  <c r="AC46" i="4" s="1"/>
  <c r="AB53" i="4"/>
  <c r="AA53" i="4" s="1"/>
  <c r="AC53" i="4" s="1"/>
  <c r="AB51" i="4"/>
  <c r="AA51" i="4" s="1"/>
  <c r="AC51" i="4" s="1"/>
  <c r="AB42" i="4"/>
  <c r="AA42" i="4" s="1"/>
  <c r="AC42" i="4" s="1"/>
  <c r="AB43" i="4"/>
  <c r="AA43" i="4" s="1"/>
  <c r="AC43" i="4" s="1"/>
  <c r="AD60" i="4"/>
  <c r="AD62" i="4"/>
  <c r="AD58" i="4"/>
  <c r="AK60" i="4"/>
  <c r="AK62" i="4"/>
  <c r="AK58" i="4"/>
  <c r="AB56" i="4"/>
  <c r="AA56" i="4" s="1"/>
  <c r="AC56" i="4" s="1"/>
  <c r="AB55" i="4"/>
  <c r="AA55" i="4" s="1"/>
  <c r="AC55" i="4" s="1"/>
  <c r="AD66" i="4"/>
  <c r="AK66" i="4"/>
  <c r="K13" i="4"/>
  <c r="K12" i="4"/>
  <c r="K11" i="4"/>
  <c r="K10" i="4"/>
  <c r="K36" i="4"/>
  <c r="K35" i="4"/>
  <c r="K34" i="4"/>
  <c r="K33" i="4"/>
  <c r="K32" i="4"/>
  <c r="K31" i="4"/>
  <c r="K30" i="4"/>
  <c r="K29" i="4"/>
  <c r="K49" i="4"/>
  <c r="K48" i="4"/>
  <c r="K47" i="4"/>
  <c r="K46" i="4"/>
  <c r="K45" i="4"/>
  <c r="K44" i="4"/>
  <c r="K43" i="4"/>
  <c r="K42" i="4"/>
  <c r="K62" i="4"/>
  <c r="K61" i="4"/>
  <c r="K60" i="4"/>
  <c r="K59" i="4"/>
  <c r="K58" i="4"/>
  <c r="K57" i="4"/>
  <c r="K56" i="4"/>
  <c r="K55" i="4"/>
  <c r="AG69" i="4"/>
  <c r="AO69" i="4" s="1"/>
  <c r="AG70" i="4"/>
  <c r="AO70" i="4" s="1"/>
  <c r="AG71" i="4"/>
  <c r="AO71" i="4" s="1"/>
  <c r="AG72" i="4"/>
  <c r="AO72" i="4" s="1"/>
  <c r="AG73" i="4"/>
  <c r="AO73" i="4" s="1"/>
  <c r="AG74" i="4"/>
  <c r="AO74" i="4" s="1"/>
  <c r="AG75" i="4"/>
  <c r="AO75" i="4" s="1"/>
  <c r="AG76" i="4"/>
  <c r="AO76" i="4" s="1"/>
  <c r="AG77" i="4"/>
  <c r="AO77" i="4" s="1"/>
  <c r="AG78" i="4"/>
  <c r="AO78" i="4" s="1"/>
  <c r="AG79" i="4"/>
  <c r="AO79" i="4" s="1"/>
  <c r="AG68" i="4"/>
  <c r="AO68" i="4" s="1"/>
  <c r="K75" i="4"/>
  <c r="K74" i="4"/>
  <c r="K73" i="4"/>
  <c r="K72" i="4"/>
  <c r="K71" i="4"/>
  <c r="K70" i="4"/>
  <c r="K69" i="4"/>
  <c r="K68" i="4"/>
  <c r="AK35" i="4" l="1"/>
  <c r="AB30" i="4"/>
  <c r="AK30" i="4"/>
  <c r="AD35" i="4"/>
  <c r="AB25" i="4"/>
  <c r="AA25" i="4" s="1"/>
  <c r="AC25" i="4" s="1"/>
  <c r="AJ25" i="4"/>
  <c r="AR25" i="4" s="1"/>
  <c r="AL58" i="4"/>
  <c r="AS58" i="4"/>
  <c r="AL32" i="4"/>
  <c r="AS32" i="4"/>
  <c r="AL59" i="4"/>
  <c r="AS59" i="4"/>
  <c r="AL62" i="4"/>
  <c r="AS62" i="4"/>
  <c r="AL19" i="4"/>
  <c r="AS19" i="4"/>
  <c r="AL66" i="4"/>
  <c r="AS66" i="4"/>
  <c r="AL12" i="4"/>
  <c r="AS12" i="4"/>
  <c r="AL22" i="4"/>
  <c r="AS22" i="4"/>
  <c r="AL26" i="4"/>
  <c r="AS26" i="4"/>
  <c r="AL60" i="4"/>
  <c r="AS60" i="4"/>
  <c r="AL24" i="4"/>
  <c r="AS24" i="4"/>
  <c r="AL31" i="4"/>
  <c r="AS31" i="4"/>
  <c r="AL21" i="4"/>
  <c r="AS21" i="4"/>
  <c r="AL29" i="4"/>
  <c r="AS29" i="4"/>
  <c r="AK64" i="4"/>
  <c r="AD64" i="4"/>
  <c r="Z27" i="4"/>
  <c r="AB27" i="4" s="1"/>
  <c r="AA27" i="4" s="1"/>
  <c r="AC27" i="4" s="1"/>
  <c r="AK14" i="4"/>
  <c r="AD39" i="4"/>
  <c r="AK34" i="4"/>
  <c r="AD34" i="4"/>
  <c r="AD47" i="4"/>
  <c r="AD36" i="4"/>
  <c r="AK33" i="4"/>
  <c r="AK39" i="4"/>
  <c r="AK36" i="4"/>
  <c r="AK37" i="4"/>
  <c r="AK38" i="4"/>
  <c r="AD33" i="4"/>
  <c r="AD37" i="4"/>
  <c r="AD38" i="4"/>
  <c r="AK55" i="4"/>
  <c r="AD43" i="4"/>
  <c r="AD42" i="4"/>
  <c r="AK42" i="4"/>
  <c r="AK51" i="4"/>
  <c r="AD44" i="4"/>
  <c r="AD48" i="4"/>
  <c r="AK17" i="4"/>
  <c r="AK16" i="4"/>
  <c r="AK13" i="4"/>
  <c r="AK52" i="4"/>
  <c r="AK50" i="4"/>
  <c r="AK44" i="4"/>
  <c r="AK48" i="4"/>
  <c r="AK47" i="4"/>
  <c r="AK49" i="4"/>
  <c r="AD14" i="4"/>
  <c r="AD55" i="4"/>
  <c r="AD65" i="4"/>
  <c r="AD17" i="4"/>
  <c r="AK23" i="4"/>
  <c r="AK11" i="4"/>
  <c r="AD16" i="4"/>
  <c r="AD13" i="4"/>
  <c r="AD23" i="4"/>
  <c r="AD11" i="4"/>
  <c r="AK43" i="4"/>
  <c r="AD51" i="4"/>
  <c r="AK53" i="4"/>
  <c r="AD52" i="4"/>
  <c r="AD46" i="4"/>
  <c r="AK46" i="4"/>
  <c r="AD50" i="4"/>
  <c r="AD45" i="4"/>
  <c r="AK45" i="4"/>
  <c r="AD49" i="4"/>
  <c r="AD53" i="4"/>
  <c r="AK65" i="4"/>
  <c r="AD56" i="4"/>
  <c r="AK56" i="4"/>
  <c r="L68" i="4"/>
  <c r="L78" i="4"/>
  <c r="N78" i="4" s="1"/>
  <c r="L76" i="4"/>
  <c r="N76" i="4" s="1"/>
  <c r="L74" i="4"/>
  <c r="N74" i="4" s="1"/>
  <c r="L72" i="4"/>
  <c r="N72" i="4" s="1"/>
  <c r="L70" i="4"/>
  <c r="N70" i="4" s="1"/>
  <c r="L79" i="4"/>
  <c r="N79" i="4" s="1"/>
  <c r="L77" i="4"/>
  <c r="N77" i="4" s="1"/>
  <c r="L75" i="4"/>
  <c r="N75" i="4" s="1"/>
  <c r="L73" i="4"/>
  <c r="N73" i="4" s="1"/>
  <c r="L71" i="4"/>
  <c r="N71" i="4" s="1"/>
  <c r="L69" i="4"/>
  <c r="N69" i="4" s="1"/>
  <c r="O79" i="4"/>
  <c r="Q79" i="4" s="1"/>
  <c r="O78" i="4"/>
  <c r="Q78" i="4" s="1"/>
  <c r="O77" i="4"/>
  <c r="Q77" i="4" s="1"/>
  <c r="O76" i="4"/>
  <c r="Q76" i="4" s="1"/>
  <c r="O75" i="4"/>
  <c r="Q75" i="4" s="1"/>
  <c r="O74" i="4"/>
  <c r="Q74" i="4" s="1"/>
  <c r="O73" i="4"/>
  <c r="Q73" i="4" s="1"/>
  <c r="O72" i="4"/>
  <c r="Q72" i="4" s="1"/>
  <c r="O71" i="4"/>
  <c r="Q71" i="4" s="1"/>
  <c r="O70" i="4"/>
  <c r="Q70" i="4" s="1"/>
  <c r="O69" i="4"/>
  <c r="Q69" i="4" s="1"/>
  <c r="AL30" i="4" l="1"/>
  <c r="AS30" i="4"/>
  <c r="AA30" i="4"/>
  <c r="AC30" i="4" s="1"/>
  <c r="AD30" i="4"/>
  <c r="AS35" i="4"/>
  <c r="AL35" i="4"/>
  <c r="AK27" i="4"/>
  <c r="AL27" i="4" s="1"/>
  <c r="AK25" i="4"/>
  <c r="AS25" i="4" s="1"/>
  <c r="AD25" i="4"/>
  <c r="AL56" i="4"/>
  <c r="AS56" i="4"/>
  <c r="AL46" i="4"/>
  <c r="AS46" i="4"/>
  <c r="AL16" i="4"/>
  <c r="AS16" i="4"/>
  <c r="AL55" i="4"/>
  <c r="AS55" i="4"/>
  <c r="AL33" i="4"/>
  <c r="AS33" i="4"/>
  <c r="AL49" i="4"/>
  <c r="AS49" i="4"/>
  <c r="AL17" i="4"/>
  <c r="AS17" i="4"/>
  <c r="AL64" i="4"/>
  <c r="AS64" i="4"/>
  <c r="AL65" i="4"/>
  <c r="AS65" i="4"/>
  <c r="AL53" i="4"/>
  <c r="AS53" i="4"/>
  <c r="AL11" i="4"/>
  <c r="AS11" i="4"/>
  <c r="AL48" i="4"/>
  <c r="AS48" i="4"/>
  <c r="AL47" i="4"/>
  <c r="AS47" i="4"/>
  <c r="AL23" i="4"/>
  <c r="AS23" i="4"/>
  <c r="AL44" i="4"/>
  <c r="AS44" i="4"/>
  <c r="AL51" i="4"/>
  <c r="AS51" i="4"/>
  <c r="AL38" i="4"/>
  <c r="AS38" i="4"/>
  <c r="AL34" i="4"/>
  <c r="AS34" i="4"/>
  <c r="AL45" i="4"/>
  <c r="AS45" i="4"/>
  <c r="AL43" i="4"/>
  <c r="AS43" i="4"/>
  <c r="AL50" i="4"/>
  <c r="AS50" i="4"/>
  <c r="AL42" i="4"/>
  <c r="AS42" i="4"/>
  <c r="AL37" i="4"/>
  <c r="AS37" i="4"/>
  <c r="AS27" i="4"/>
  <c r="AL52" i="4"/>
  <c r="AS52" i="4"/>
  <c r="AL36" i="4"/>
  <c r="AS36" i="4"/>
  <c r="AL14" i="4"/>
  <c r="AS14" i="4"/>
  <c r="AL13" i="4"/>
  <c r="AS13" i="4"/>
  <c r="AL39" i="4"/>
  <c r="AS39" i="4"/>
  <c r="AD27" i="4"/>
  <c r="P70" i="4"/>
  <c r="S70" i="4" s="1"/>
  <c r="AH70" i="4"/>
  <c r="AP70" i="4" s="1"/>
  <c r="P72" i="4"/>
  <c r="S72" i="4" s="1"/>
  <c r="AH72" i="4"/>
  <c r="AP72" i="4" s="1"/>
  <c r="P74" i="4"/>
  <c r="S74" i="4" s="1"/>
  <c r="AH74" i="4"/>
  <c r="AP74" i="4" s="1"/>
  <c r="P76" i="4"/>
  <c r="S76" i="4" s="1"/>
  <c r="AH76" i="4"/>
  <c r="AP76" i="4" s="1"/>
  <c r="P78" i="4"/>
  <c r="S78" i="4" s="1"/>
  <c r="AH78" i="4"/>
  <c r="AP78" i="4" s="1"/>
  <c r="P69" i="4"/>
  <c r="S69" i="4" s="1"/>
  <c r="AH69" i="4"/>
  <c r="AP69" i="4" s="1"/>
  <c r="P71" i="4"/>
  <c r="S71" i="4" s="1"/>
  <c r="AH71" i="4"/>
  <c r="AP71" i="4" s="1"/>
  <c r="P73" i="4"/>
  <c r="S73" i="4" s="1"/>
  <c r="AH73" i="4"/>
  <c r="AP73" i="4" s="1"/>
  <c r="P75" i="4"/>
  <c r="S75" i="4" s="1"/>
  <c r="AH75" i="4"/>
  <c r="AP75" i="4" s="1"/>
  <c r="P77" i="4"/>
  <c r="S77" i="4" s="1"/>
  <c r="AH77" i="4"/>
  <c r="AP77" i="4" s="1"/>
  <c r="P79" i="4"/>
  <c r="S79" i="4" s="1"/>
  <c r="AH79" i="4"/>
  <c r="AP79" i="4" s="1"/>
  <c r="AL25" i="4" l="1"/>
  <c r="R79" i="4"/>
  <c r="T79" i="4"/>
  <c r="R77" i="4"/>
  <c r="T77" i="4"/>
  <c r="R75" i="4"/>
  <c r="T75" i="4"/>
  <c r="R73" i="4"/>
  <c r="T73" i="4"/>
  <c r="R71" i="4"/>
  <c r="T71" i="4"/>
  <c r="R69" i="4"/>
  <c r="T69" i="4"/>
  <c r="T78" i="4"/>
  <c r="R78" i="4"/>
  <c r="T76" i="4"/>
  <c r="R76" i="4"/>
  <c r="T74" i="4"/>
  <c r="R74" i="4"/>
  <c r="T72" i="4"/>
  <c r="R72" i="4"/>
  <c r="T70" i="4"/>
  <c r="R70" i="4"/>
  <c r="AI76" i="4" l="1"/>
  <c r="AQ76" i="4" s="1"/>
  <c r="V76" i="4"/>
  <c r="AI78" i="4"/>
  <c r="AQ78" i="4" s="1"/>
  <c r="V78" i="4"/>
  <c r="AJ78" i="4" s="1"/>
  <c r="AR78" i="4" s="1"/>
  <c r="AI70" i="4"/>
  <c r="AQ70" i="4" s="1"/>
  <c r="V70" i="4"/>
  <c r="Z70" i="4" s="1"/>
  <c r="AI75" i="4"/>
  <c r="AQ75" i="4" s="1"/>
  <c r="V75" i="4"/>
  <c r="AJ75" i="4" s="1"/>
  <c r="AR75" i="4" s="1"/>
  <c r="AI69" i="4"/>
  <c r="AQ69" i="4" s="1"/>
  <c r="V69" i="4"/>
  <c r="AI74" i="4"/>
  <c r="AQ74" i="4" s="1"/>
  <c r="V74" i="4"/>
  <c r="Z74" i="4" s="1"/>
  <c r="AI79" i="4"/>
  <c r="AQ79" i="4" s="1"/>
  <c r="V79" i="4"/>
  <c r="Z79" i="4" s="1"/>
  <c r="AI73" i="4"/>
  <c r="AQ73" i="4" s="1"/>
  <c r="V73" i="4"/>
  <c r="Z73" i="4" s="1"/>
  <c r="AI72" i="4"/>
  <c r="AQ72" i="4" s="1"/>
  <c r="V72" i="4"/>
  <c r="AI77" i="4"/>
  <c r="AQ77" i="4" s="1"/>
  <c r="V77" i="4"/>
  <c r="Z77" i="4" s="1"/>
  <c r="AI71" i="4"/>
  <c r="AQ71" i="4" s="1"/>
  <c r="V71" i="4"/>
  <c r="Z71" i="4" s="1"/>
  <c r="X70" i="4"/>
  <c r="AJ72" i="4"/>
  <c r="AR72" i="4" s="1"/>
  <c r="Z72" i="4"/>
  <c r="X72" i="4"/>
  <c r="Z78" i="4"/>
  <c r="X78" i="4"/>
  <c r="X74" i="4"/>
  <c r="AJ76" i="4"/>
  <c r="AR76" i="4" s="1"/>
  <c r="Z76" i="4"/>
  <c r="X76" i="4"/>
  <c r="AJ69" i="4"/>
  <c r="AR69" i="4" s="1"/>
  <c r="X69" i="4"/>
  <c r="Z69" i="4"/>
  <c r="X71" i="4"/>
  <c r="X73" i="4"/>
  <c r="X75" i="4"/>
  <c r="X77" i="4"/>
  <c r="X79" i="4"/>
  <c r="AJ74" i="4" l="1"/>
  <c r="AR74" i="4" s="1"/>
  <c r="AJ79" i="4"/>
  <c r="AR79" i="4" s="1"/>
  <c r="AJ77" i="4"/>
  <c r="AR77" i="4" s="1"/>
  <c r="AJ70" i="4"/>
  <c r="AR70" i="4" s="1"/>
  <c r="Z75" i="4"/>
  <c r="AJ73" i="4"/>
  <c r="AR73" i="4" s="1"/>
  <c r="AJ71" i="4"/>
  <c r="AR71" i="4" s="1"/>
  <c r="AB76" i="4"/>
  <c r="AA76" i="4" s="1"/>
  <c r="AC76" i="4" s="1"/>
  <c r="AB74" i="4"/>
  <c r="AA74" i="4" s="1"/>
  <c r="AC74" i="4" s="1"/>
  <c r="AB78" i="4"/>
  <c r="AA78" i="4" s="1"/>
  <c r="AC78" i="4" s="1"/>
  <c r="AB72" i="4"/>
  <c r="AA72" i="4" s="1"/>
  <c r="AC72" i="4" s="1"/>
  <c r="AB70" i="4"/>
  <c r="AA70" i="4" s="1"/>
  <c r="AC70" i="4" s="1"/>
  <c r="AB79" i="4"/>
  <c r="AA79" i="4" s="1"/>
  <c r="AC79" i="4" s="1"/>
  <c r="AB77" i="4"/>
  <c r="AA77" i="4" s="1"/>
  <c r="AC77" i="4" s="1"/>
  <c r="AB75" i="4"/>
  <c r="AA75" i="4" s="1"/>
  <c r="AC75" i="4" s="1"/>
  <c r="AB73" i="4"/>
  <c r="AA73" i="4" s="1"/>
  <c r="AC73" i="4" s="1"/>
  <c r="AB71" i="4"/>
  <c r="AA71" i="4" s="1"/>
  <c r="AC71" i="4" s="1"/>
  <c r="AB69" i="4"/>
  <c r="AA69" i="4" s="1"/>
  <c r="AC69" i="4" s="1"/>
  <c r="N40" i="7"/>
  <c r="T40" i="7" s="1"/>
  <c r="N39" i="7"/>
  <c r="AO39" i="7" s="1"/>
  <c r="N38" i="7"/>
  <c r="T38" i="7" s="1"/>
  <c r="N37" i="7"/>
  <c r="T37" i="7" s="1"/>
  <c r="N36" i="7"/>
  <c r="T36" i="7" s="1"/>
  <c r="N35" i="7"/>
  <c r="N34" i="7"/>
  <c r="T34" i="7" s="1"/>
  <c r="N33" i="7"/>
  <c r="N32" i="7"/>
  <c r="T32" i="7" s="1"/>
  <c r="N30" i="7"/>
  <c r="T30" i="7" s="1"/>
  <c r="N29" i="7"/>
  <c r="T29" i="7" s="1"/>
  <c r="N28" i="7"/>
  <c r="T28" i="7" s="1"/>
  <c r="N27" i="7"/>
  <c r="N26" i="7"/>
  <c r="T26" i="7" s="1"/>
  <c r="N25" i="7"/>
  <c r="T25" i="7" s="1"/>
  <c r="N24" i="7"/>
  <c r="T24" i="7" s="1"/>
  <c r="N23" i="7"/>
  <c r="T23" i="7" s="1"/>
  <c r="N21" i="7"/>
  <c r="T21" i="7" s="1"/>
  <c r="N20" i="7"/>
  <c r="T20" i="7" s="1"/>
  <c r="N19" i="7"/>
  <c r="T19" i="7" s="1"/>
  <c r="N18" i="7"/>
  <c r="T18" i="7" s="1"/>
  <c r="N17" i="7"/>
  <c r="T17" i="7" s="1"/>
  <c r="N16" i="7"/>
  <c r="T16" i="7" s="1"/>
  <c r="N15" i="7"/>
  <c r="T15" i="7" s="1"/>
  <c r="N14" i="7"/>
  <c r="T14" i="7" s="1"/>
  <c r="AD40" i="7"/>
  <c r="AB40" i="7"/>
  <c r="AD39" i="7"/>
  <c r="AB39" i="7"/>
  <c r="AD38" i="7"/>
  <c r="AB38" i="7"/>
  <c r="AD37" i="7"/>
  <c r="AB37" i="7"/>
  <c r="AD36" i="7"/>
  <c r="AB36" i="7"/>
  <c r="AD35" i="7"/>
  <c r="AB35" i="7"/>
  <c r="AD34" i="7"/>
  <c r="AB34" i="7"/>
  <c r="AD33" i="7"/>
  <c r="AB33" i="7"/>
  <c r="AD32" i="7"/>
  <c r="AB32" i="7"/>
  <c r="AD30" i="7"/>
  <c r="AB30" i="7"/>
  <c r="AM30" i="7" s="1"/>
  <c r="AD29" i="7"/>
  <c r="AB29" i="7"/>
  <c r="AM29" i="7" s="1"/>
  <c r="AD28" i="7"/>
  <c r="AB28" i="7"/>
  <c r="AM28" i="7" s="1"/>
  <c r="AD27" i="7"/>
  <c r="AB27" i="7"/>
  <c r="AM27" i="7" s="1"/>
  <c r="T27" i="7"/>
  <c r="AD26" i="7"/>
  <c r="AB26" i="7"/>
  <c r="AM26" i="7" s="1"/>
  <c r="AD25" i="7"/>
  <c r="AB25" i="7"/>
  <c r="AM25" i="7" s="1"/>
  <c r="AD24" i="7"/>
  <c r="AB24" i="7"/>
  <c r="AM24" i="7" s="1"/>
  <c r="AD23" i="7"/>
  <c r="AB23" i="7"/>
  <c r="AM23" i="7" s="1"/>
  <c r="AD21" i="7"/>
  <c r="AB21" i="7"/>
  <c r="AN21" i="7" s="1"/>
  <c r="AD20" i="7"/>
  <c r="AB20" i="7"/>
  <c r="AN20" i="7" s="1"/>
  <c r="AD19" i="7"/>
  <c r="AB19" i="7"/>
  <c r="AN19" i="7" s="1"/>
  <c r="AD18" i="7"/>
  <c r="AB18" i="7"/>
  <c r="AN18" i="7" s="1"/>
  <c r="AD17" i="7"/>
  <c r="AB17" i="7"/>
  <c r="AN17" i="7" s="1"/>
  <c r="AD16" i="7"/>
  <c r="AB16" i="7"/>
  <c r="AN16" i="7" s="1"/>
  <c r="AD15" i="7"/>
  <c r="AB15" i="7"/>
  <c r="AN15" i="7" s="1"/>
  <c r="AD14" i="7"/>
  <c r="AB14" i="7"/>
  <c r="AN14" i="7" s="1"/>
  <c r="AY9" i="7"/>
  <c r="I31" i="6"/>
  <c r="AE31" i="6" s="1"/>
  <c r="I30" i="6"/>
  <c r="AG30" i="6" s="1"/>
  <c r="I29" i="6"/>
  <c r="AE29" i="6" s="1"/>
  <c r="I28" i="6"/>
  <c r="H28" i="6" s="1"/>
  <c r="J28" i="6" s="1"/>
  <c r="I27" i="6"/>
  <c r="AE27" i="6" s="1"/>
  <c r="I26" i="6"/>
  <c r="AG26" i="6" s="1"/>
  <c r="I25" i="6"/>
  <c r="AE25" i="6" s="1"/>
  <c r="I24" i="6"/>
  <c r="H24" i="6" s="1"/>
  <c r="J24" i="6" s="1"/>
  <c r="I20" i="6"/>
  <c r="AE20" i="6" s="1"/>
  <c r="I21" i="6"/>
  <c r="H21" i="6" s="1"/>
  <c r="J21" i="6" s="1"/>
  <c r="I15" i="6"/>
  <c r="H15" i="6" s="1"/>
  <c r="J15" i="6" s="1"/>
  <c r="I16" i="6"/>
  <c r="AE16" i="6" s="1"/>
  <c r="I17" i="6"/>
  <c r="H17" i="6" s="1"/>
  <c r="J17" i="6" s="1"/>
  <c r="I18" i="6"/>
  <c r="AE18" i="6" s="1"/>
  <c r="I19" i="6"/>
  <c r="H19" i="6" s="1"/>
  <c r="J19" i="6" s="1"/>
  <c r="AC31" i="6"/>
  <c r="X31" i="6"/>
  <c r="V31" i="6"/>
  <c r="AC30" i="6"/>
  <c r="X30" i="6"/>
  <c r="V30" i="6"/>
  <c r="AC29" i="6"/>
  <c r="X29" i="6"/>
  <c r="V29" i="6"/>
  <c r="AC28" i="6"/>
  <c r="X28" i="6"/>
  <c r="V28" i="6"/>
  <c r="AC27" i="6"/>
  <c r="X27" i="6"/>
  <c r="V27" i="6"/>
  <c r="AC26" i="6"/>
  <c r="X26" i="6"/>
  <c r="V26" i="6"/>
  <c r="AC25" i="6"/>
  <c r="X25" i="6"/>
  <c r="V25" i="6"/>
  <c r="AC24" i="6"/>
  <c r="X24" i="6"/>
  <c r="V24" i="6"/>
  <c r="AC21" i="6"/>
  <c r="X21" i="6"/>
  <c r="V21" i="6"/>
  <c r="AC20" i="6"/>
  <c r="X20" i="6"/>
  <c r="V20" i="6"/>
  <c r="AC19" i="6"/>
  <c r="X19" i="6"/>
  <c r="V19" i="6"/>
  <c r="AC18" i="6"/>
  <c r="X18" i="6"/>
  <c r="V18" i="6"/>
  <c r="AC17" i="6"/>
  <c r="X17" i="6"/>
  <c r="V17" i="6"/>
  <c r="AC16" i="6"/>
  <c r="X16" i="6"/>
  <c r="V16" i="6"/>
  <c r="AC15" i="6"/>
  <c r="X15" i="6"/>
  <c r="V15" i="6"/>
  <c r="AD69" i="4" l="1"/>
  <c r="AK69" i="4"/>
  <c r="AK71" i="4"/>
  <c r="AK75" i="4"/>
  <c r="AK78" i="4"/>
  <c r="AK77" i="4"/>
  <c r="AD70" i="4"/>
  <c r="AK76" i="4"/>
  <c r="AK79" i="4"/>
  <c r="AK73" i="4"/>
  <c r="AK70" i="4"/>
  <c r="AK72" i="4"/>
  <c r="AK74" i="4"/>
  <c r="AD71" i="4"/>
  <c r="AD73" i="4"/>
  <c r="AD75" i="4"/>
  <c r="AD77" i="4"/>
  <c r="AD79" i="4"/>
  <c r="AD72" i="4"/>
  <c r="AD78" i="4"/>
  <c r="AD74" i="4"/>
  <c r="AD76" i="4"/>
  <c r="AM35" i="7"/>
  <c r="L20" i="7"/>
  <c r="O20" i="7" s="1"/>
  <c r="R20" i="7"/>
  <c r="U20" i="7" s="1"/>
  <c r="X20" i="7" s="1"/>
  <c r="AO20" i="7"/>
  <c r="L32" i="7"/>
  <c r="Q32" i="7" s="1"/>
  <c r="R32" i="7"/>
  <c r="U32" i="7" s="1"/>
  <c r="Y32" i="7" s="1"/>
  <c r="AM33" i="7"/>
  <c r="L34" i="7"/>
  <c r="Q34" i="7" s="1"/>
  <c r="R34" i="7"/>
  <c r="U34" i="7" s="1"/>
  <c r="Y34" i="7" s="1"/>
  <c r="Z34" i="7" s="1"/>
  <c r="AO34" i="7"/>
  <c r="AM39" i="7"/>
  <c r="L40" i="7"/>
  <c r="Q40" i="7" s="1"/>
  <c r="R40" i="7"/>
  <c r="U40" i="7" s="1"/>
  <c r="Y40" i="7" s="1"/>
  <c r="L27" i="7"/>
  <c r="O27" i="7" s="1"/>
  <c r="R27" i="7"/>
  <c r="U27" i="7" s="1"/>
  <c r="AP27" i="7" s="1"/>
  <c r="AO27" i="7"/>
  <c r="L16" i="7"/>
  <c r="O16" i="7" s="1"/>
  <c r="R16" i="7"/>
  <c r="U16" i="7" s="1"/>
  <c r="X16" i="7" s="1"/>
  <c r="AO16" i="7"/>
  <c r="L23" i="7"/>
  <c r="O23" i="7" s="1"/>
  <c r="R23" i="7"/>
  <c r="U23" i="7" s="1"/>
  <c r="X23" i="7" s="1"/>
  <c r="AO23" i="7"/>
  <c r="AM32" i="7"/>
  <c r="L36" i="7"/>
  <c r="O36" i="7" s="1"/>
  <c r="R36" i="7"/>
  <c r="U36" i="7" s="1"/>
  <c r="X36" i="7" s="1"/>
  <c r="AO36" i="7"/>
  <c r="AM38" i="7"/>
  <c r="AM40" i="7"/>
  <c r="L14" i="7"/>
  <c r="O14" i="7" s="1"/>
  <c r="R14" i="7"/>
  <c r="U14" i="7" s="1"/>
  <c r="AP14" i="7" s="1"/>
  <c r="AO14" i="7"/>
  <c r="L18" i="7"/>
  <c r="O18" i="7" s="1"/>
  <c r="R18" i="7"/>
  <c r="U18" i="7" s="1"/>
  <c r="X18" i="7" s="1"/>
  <c r="AO18" i="7"/>
  <c r="L25" i="7"/>
  <c r="O25" i="7" s="1"/>
  <c r="R25" i="7"/>
  <c r="U25" i="7" s="1"/>
  <c r="X25" i="7" s="1"/>
  <c r="AO25" i="7"/>
  <c r="L29" i="7"/>
  <c r="O29" i="7" s="1"/>
  <c r="R29" i="7"/>
  <c r="U29" i="7" s="1"/>
  <c r="AP29" i="7" s="1"/>
  <c r="AO29" i="7"/>
  <c r="AO32" i="7"/>
  <c r="AM34" i="7"/>
  <c r="AM36" i="7"/>
  <c r="AM37" i="7"/>
  <c r="L38" i="7"/>
  <c r="O38" i="7" s="1"/>
  <c r="R38" i="7"/>
  <c r="U38" i="7" s="1"/>
  <c r="X38" i="7" s="1"/>
  <c r="AO38" i="7"/>
  <c r="AO40" i="7"/>
  <c r="AP20" i="7"/>
  <c r="Y20" i="7"/>
  <c r="Z20" i="7" s="1"/>
  <c r="L15" i="7"/>
  <c r="R15" i="7"/>
  <c r="U15" i="7" s="1"/>
  <c r="AO15" i="7"/>
  <c r="L17" i="7"/>
  <c r="R17" i="7"/>
  <c r="U17" i="7" s="1"/>
  <c r="AO17" i="7"/>
  <c r="L19" i="7"/>
  <c r="R19" i="7"/>
  <c r="U19" i="7" s="1"/>
  <c r="AO19" i="7"/>
  <c r="L21" i="7"/>
  <c r="R21" i="7"/>
  <c r="U21" i="7" s="1"/>
  <c r="AO21" i="7"/>
  <c r="X27" i="7"/>
  <c r="L24" i="7"/>
  <c r="R24" i="7"/>
  <c r="U24" i="7" s="1"/>
  <c r="AO24" i="7"/>
  <c r="L26" i="7"/>
  <c r="R26" i="7"/>
  <c r="U26" i="7" s="1"/>
  <c r="AO26" i="7"/>
  <c r="L28" i="7"/>
  <c r="R28" i="7"/>
  <c r="U28" i="7" s="1"/>
  <c r="AO28" i="7"/>
  <c r="L30" i="7"/>
  <c r="R30" i="7"/>
  <c r="U30" i="7" s="1"/>
  <c r="AO30" i="7"/>
  <c r="AO33" i="7"/>
  <c r="R33" i="7"/>
  <c r="U33" i="7" s="1"/>
  <c r="L33" i="7"/>
  <c r="T33" i="7"/>
  <c r="AO35" i="7"/>
  <c r="R35" i="7"/>
  <c r="U35" i="7" s="1"/>
  <c r="L35" i="7"/>
  <c r="T35" i="7"/>
  <c r="L37" i="7"/>
  <c r="R37" i="7"/>
  <c r="U37" i="7" s="1"/>
  <c r="AO37" i="7"/>
  <c r="L39" i="7"/>
  <c r="R39" i="7"/>
  <c r="U39" i="7" s="1"/>
  <c r="T39" i="7"/>
  <c r="K15" i="6"/>
  <c r="L15" i="6" s="1"/>
  <c r="AE15" i="6"/>
  <c r="H18" i="6"/>
  <c r="J18" i="6" s="1"/>
  <c r="K19" i="6"/>
  <c r="L19" i="6" s="1"/>
  <c r="N19" i="6" s="1"/>
  <c r="AE19" i="6"/>
  <c r="AE24" i="6"/>
  <c r="AE28" i="6"/>
  <c r="H16" i="6"/>
  <c r="J16" i="6" s="1"/>
  <c r="H20" i="6"/>
  <c r="J20" i="6" s="1"/>
  <c r="K24" i="6"/>
  <c r="L24" i="6" s="1"/>
  <c r="O24" i="6" s="1"/>
  <c r="H25" i="6"/>
  <c r="J25" i="6" s="1"/>
  <c r="H27" i="6"/>
  <c r="J27" i="6" s="1"/>
  <c r="K28" i="6"/>
  <c r="L28" i="6" s="1"/>
  <c r="O28" i="6" s="1"/>
  <c r="H29" i="6"/>
  <c r="J29" i="6" s="1"/>
  <c r="H31" i="6"/>
  <c r="J31" i="6" s="1"/>
  <c r="AG17" i="6"/>
  <c r="AG21" i="6"/>
  <c r="AG15" i="6"/>
  <c r="K17" i="6"/>
  <c r="L17" i="6" s="1"/>
  <c r="AE17" i="6"/>
  <c r="AG19" i="6"/>
  <c r="K21" i="6"/>
  <c r="L21" i="6" s="1"/>
  <c r="AE21" i="6"/>
  <c r="H26" i="6"/>
  <c r="J26" i="6" s="1"/>
  <c r="AE26" i="6"/>
  <c r="K26" i="6"/>
  <c r="L26" i="6" s="1"/>
  <c r="H30" i="6"/>
  <c r="J30" i="6" s="1"/>
  <c r="AE30" i="6"/>
  <c r="K30" i="6"/>
  <c r="L30" i="6" s="1"/>
  <c r="K16" i="6"/>
  <c r="L16" i="6" s="1"/>
  <c r="AG16" i="6"/>
  <c r="K18" i="6"/>
  <c r="L18" i="6" s="1"/>
  <c r="AG18" i="6"/>
  <c r="K20" i="6"/>
  <c r="L20" i="6" s="1"/>
  <c r="AG20" i="6"/>
  <c r="AG24" i="6"/>
  <c r="AG28" i="6"/>
  <c r="K25" i="6"/>
  <c r="L25" i="6" s="1"/>
  <c r="AG25" i="6"/>
  <c r="K27" i="6"/>
  <c r="L27" i="6" s="1"/>
  <c r="AG27" i="6"/>
  <c r="K29" i="6"/>
  <c r="L29" i="6" s="1"/>
  <c r="AG29" i="6"/>
  <c r="K31" i="6"/>
  <c r="L31" i="6" s="1"/>
  <c r="AG31" i="6"/>
  <c r="P21" i="5"/>
  <c r="AT47" i="5"/>
  <c r="BC47" i="5" s="1"/>
  <c r="AT46" i="5"/>
  <c r="BC46" i="5" s="1"/>
  <c r="AT45" i="5"/>
  <c r="BC45" i="5" s="1"/>
  <c r="AT44" i="5"/>
  <c r="BC44" i="5" s="1"/>
  <c r="AT43" i="5"/>
  <c r="BC43" i="5" s="1"/>
  <c r="AT42" i="5"/>
  <c r="BC42" i="5" s="1"/>
  <c r="AT41" i="5"/>
  <c r="BC41" i="5" s="1"/>
  <c r="AT40" i="5"/>
  <c r="BC40" i="5" s="1"/>
  <c r="AT39" i="5"/>
  <c r="BC39" i="5" s="1"/>
  <c r="AR38" i="3"/>
  <c r="AP32" i="7" l="1"/>
  <c r="T21" i="5"/>
  <c r="R21" i="5"/>
  <c r="AL76" i="4"/>
  <c r="AS76" i="4"/>
  <c r="AL78" i="4"/>
  <c r="AS78" i="4"/>
  <c r="AL77" i="4"/>
  <c r="AS77" i="4"/>
  <c r="AL72" i="4"/>
  <c r="AS72" i="4"/>
  <c r="AL75" i="4"/>
  <c r="AS75" i="4"/>
  <c r="AL70" i="4"/>
  <c r="AS70" i="4"/>
  <c r="AL71" i="4"/>
  <c r="AS71" i="4"/>
  <c r="AL73" i="4"/>
  <c r="AS73" i="4"/>
  <c r="AL69" i="4"/>
  <c r="AS69" i="4"/>
  <c r="AL74" i="4"/>
  <c r="AS74" i="4"/>
  <c r="AL79" i="4"/>
  <c r="AS79" i="4"/>
  <c r="AP18" i="7"/>
  <c r="AP36" i="7"/>
  <c r="N24" i="6"/>
  <c r="AP16" i="7"/>
  <c r="Y23" i="7"/>
  <c r="Z23" i="7" s="1"/>
  <c r="AQ23" i="7" s="1"/>
  <c r="AP23" i="7"/>
  <c r="X40" i="7"/>
  <c r="AP38" i="7"/>
  <c r="AU40" i="5"/>
  <c r="BD40" i="5" s="1"/>
  <c r="AU42" i="5"/>
  <c r="BD42" i="5" s="1"/>
  <c r="AU44" i="5"/>
  <c r="BD44" i="5" s="1"/>
  <c r="AU47" i="5"/>
  <c r="BD47" i="5" s="1"/>
  <c r="AU41" i="5"/>
  <c r="BD41" i="5" s="1"/>
  <c r="AU43" i="5"/>
  <c r="BD43" i="5" s="1"/>
  <c r="AU45" i="5"/>
  <c r="BD45" i="5" s="1"/>
  <c r="AU46" i="5"/>
  <c r="BD46" i="5" s="1"/>
  <c r="P24" i="6"/>
  <c r="O19" i="6"/>
  <c r="P19" i="6" s="1"/>
  <c r="R19" i="6" s="1"/>
  <c r="AJ19" i="6" s="1"/>
  <c r="Y36" i="7"/>
  <c r="Z36" i="7" s="1"/>
  <c r="AQ36" i="7" s="1"/>
  <c r="AP34" i="7"/>
  <c r="Q25" i="7"/>
  <c r="Y27" i="7"/>
  <c r="Z27" i="7" s="1"/>
  <c r="AH27" i="7" s="1"/>
  <c r="X29" i="7"/>
  <c r="Q16" i="7"/>
  <c r="Q14" i="7"/>
  <c r="N15" i="6"/>
  <c r="O15" i="6"/>
  <c r="P15" i="6" s="1"/>
  <c r="R15" i="6" s="1"/>
  <c r="AJ15" i="6" s="1"/>
  <c r="O40" i="7"/>
  <c r="Y38" i="7"/>
  <c r="Z38" i="7" s="1"/>
  <c r="AH38" i="7" s="1"/>
  <c r="Z32" i="7"/>
  <c r="AQ32" i="7" s="1"/>
  <c r="Q27" i="7"/>
  <c r="Q23" i="7"/>
  <c r="Y25" i="7"/>
  <c r="Z25" i="7" s="1"/>
  <c r="AH25" i="7" s="1"/>
  <c r="Y16" i="7"/>
  <c r="Z16" i="7" s="1"/>
  <c r="AQ16" i="7" s="1"/>
  <c r="Q36" i="7"/>
  <c r="X32" i="7"/>
  <c r="O34" i="7"/>
  <c r="AP25" i="7"/>
  <c r="Q20" i="7"/>
  <c r="Y18" i="7"/>
  <c r="Z18" i="7" s="1"/>
  <c r="AH18" i="7" s="1"/>
  <c r="AP40" i="7"/>
  <c r="Z40" i="7"/>
  <c r="AF40" i="7" s="1"/>
  <c r="AI40" i="7" s="1"/>
  <c r="O32" i="7"/>
  <c r="X34" i="7"/>
  <c r="Y29" i="7"/>
  <c r="Z29" i="7" s="1"/>
  <c r="AH29" i="7" s="1"/>
  <c r="X14" i="7"/>
  <c r="Q38" i="7"/>
  <c r="Q29" i="7"/>
  <c r="Q18" i="7"/>
  <c r="Y14" i="7"/>
  <c r="Z14" i="7" s="1"/>
  <c r="AQ14" i="7" s="1"/>
  <c r="AH20" i="7"/>
  <c r="AQ20" i="7"/>
  <c r="AF20" i="7"/>
  <c r="AR20" i="7" s="1"/>
  <c r="AF36" i="7"/>
  <c r="AI36" i="7" s="1"/>
  <c r="AH23" i="7"/>
  <c r="AF23" i="7"/>
  <c r="AI23" i="7" s="1"/>
  <c r="AH16" i="7"/>
  <c r="AP39" i="7"/>
  <c r="Y39" i="7"/>
  <c r="Z39" i="7" s="1"/>
  <c r="X39" i="7"/>
  <c r="Y37" i="7"/>
  <c r="Z37" i="7" s="1"/>
  <c r="AP37" i="7"/>
  <c r="X37" i="7"/>
  <c r="AP35" i="7"/>
  <c r="X35" i="7"/>
  <c r="Y35" i="7"/>
  <c r="Z35" i="7" s="1"/>
  <c r="AP33" i="7"/>
  <c r="X33" i="7"/>
  <c r="Y33" i="7"/>
  <c r="Z33" i="7" s="1"/>
  <c r="AQ34" i="7"/>
  <c r="AF34" i="7"/>
  <c r="AI34" i="7" s="1"/>
  <c r="AH34" i="7"/>
  <c r="Q30" i="7"/>
  <c r="O30" i="7"/>
  <c r="Q28" i="7"/>
  <c r="O28" i="7"/>
  <c r="Q26" i="7"/>
  <c r="O26" i="7"/>
  <c r="Q24" i="7"/>
  <c r="O24" i="7"/>
  <c r="Y21" i="7"/>
  <c r="Z21" i="7" s="1"/>
  <c r="AP21" i="7"/>
  <c r="X21" i="7"/>
  <c r="Y19" i="7"/>
  <c r="Z19" i="7" s="1"/>
  <c r="AP19" i="7"/>
  <c r="X19" i="7"/>
  <c r="Y17" i="7"/>
  <c r="Z17" i="7" s="1"/>
  <c r="AP17" i="7"/>
  <c r="X17" i="7"/>
  <c r="Y15" i="7"/>
  <c r="Z15" i="7" s="1"/>
  <c r="AP15" i="7"/>
  <c r="X15" i="7"/>
  <c r="Q39" i="7"/>
  <c r="O39" i="7"/>
  <c r="Q37" i="7"/>
  <c r="O37" i="7"/>
  <c r="O35" i="7"/>
  <c r="Q35" i="7"/>
  <c r="O33" i="7"/>
  <c r="Q33" i="7"/>
  <c r="Y30" i="7"/>
  <c r="Z30" i="7" s="1"/>
  <c r="AP30" i="7"/>
  <c r="X30" i="7"/>
  <c r="Y28" i="7"/>
  <c r="Z28" i="7" s="1"/>
  <c r="AP28" i="7"/>
  <c r="X28" i="7"/>
  <c r="Y26" i="7"/>
  <c r="Z26" i="7" s="1"/>
  <c r="AP26" i="7"/>
  <c r="X26" i="7"/>
  <c r="Y24" i="7"/>
  <c r="Z24" i="7" s="1"/>
  <c r="AP24" i="7"/>
  <c r="X24" i="7"/>
  <c r="Q21" i="7"/>
  <c r="O21" i="7"/>
  <c r="Q19" i="7"/>
  <c r="O19" i="7"/>
  <c r="Q17" i="7"/>
  <c r="O17" i="7"/>
  <c r="Q15" i="7"/>
  <c r="O15" i="7"/>
  <c r="N28" i="6"/>
  <c r="P28" i="6"/>
  <c r="AH28" i="6" s="1"/>
  <c r="T19" i="6"/>
  <c r="AH19" i="6"/>
  <c r="AH15" i="6"/>
  <c r="N30" i="6"/>
  <c r="O30" i="6"/>
  <c r="P30" i="6" s="1"/>
  <c r="T24" i="6"/>
  <c r="AH24" i="6"/>
  <c r="R24" i="6"/>
  <c r="AJ24" i="6" s="1"/>
  <c r="O31" i="6"/>
  <c r="P31" i="6" s="1"/>
  <c r="N31" i="6"/>
  <c r="O29" i="6"/>
  <c r="P29" i="6" s="1"/>
  <c r="N29" i="6"/>
  <c r="O27" i="6"/>
  <c r="P27" i="6" s="1"/>
  <c r="N27" i="6"/>
  <c r="O25" i="6"/>
  <c r="P25" i="6" s="1"/>
  <c r="N25" i="6"/>
  <c r="O20" i="6"/>
  <c r="P20" i="6" s="1"/>
  <c r="N20" i="6"/>
  <c r="O18" i="6"/>
  <c r="P18" i="6" s="1"/>
  <c r="N18" i="6"/>
  <c r="O16" i="6"/>
  <c r="P16" i="6" s="1"/>
  <c r="N16" i="6"/>
  <c r="N26" i="6"/>
  <c r="O26" i="6"/>
  <c r="P26" i="6" s="1"/>
  <c r="N21" i="6"/>
  <c r="O21" i="6"/>
  <c r="P21" i="6" s="1"/>
  <c r="N17" i="6"/>
  <c r="O17" i="6"/>
  <c r="P17" i="6" s="1"/>
  <c r="P19" i="5"/>
  <c r="P20" i="5"/>
  <c r="P22" i="5"/>
  <c r="P23" i="5"/>
  <c r="P24" i="5"/>
  <c r="P25" i="5"/>
  <c r="P28" i="5"/>
  <c r="P29" i="5"/>
  <c r="P30" i="5"/>
  <c r="P31" i="5"/>
  <c r="P32" i="5"/>
  <c r="P33" i="5"/>
  <c r="P34" i="5"/>
  <c r="P35" i="5"/>
  <c r="P26" i="5"/>
  <c r="P36" i="5"/>
  <c r="P37" i="5"/>
  <c r="P39" i="5"/>
  <c r="U39" i="5"/>
  <c r="X39" i="5" s="1"/>
  <c r="P40" i="5"/>
  <c r="U40" i="5"/>
  <c r="X40" i="5" s="1"/>
  <c r="W39" i="5"/>
  <c r="AU39" i="5"/>
  <c r="BD39" i="5" s="1"/>
  <c r="W40" i="5"/>
  <c r="U41" i="5"/>
  <c r="X41" i="5" s="1"/>
  <c r="P41" i="5"/>
  <c r="W41" i="5"/>
  <c r="U42" i="5"/>
  <c r="X42" i="5" s="1"/>
  <c r="P42" i="5"/>
  <c r="W42" i="5"/>
  <c r="U43" i="5"/>
  <c r="X43" i="5" s="1"/>
  <c r="P43" i="5"/>
  <c r="W43" i="5"/>
  <c r="U44" i="5"/>
  <c r="X44" i="5" s="1"/>
  <c r="P44" i="5"/>
  <c r="W44" i="5"/>
  <c r="U45" i="5"/>
  <c r="X45" i="5" s="1"/>
  <c r="P45" i="5"/>
  <c r="W45" i="5"/>
  <c r="P46" i="5"/>
  <c r="U46" i="5"/>
  <c r="X46" i="5" s="1"/>
  <c r="P47" i="5"/>
  <c r="U47" i="5"/>
  <c r="X47" i="5" s="1"/>
  <c r="W46" i="5"/>
  <c r="W47" i="5"/>
  <c r="T15" i="6" l="1"/>
  <c r="AH36" i="7"/>
  <c r="T36" i="5"/>
  <c r="R36" i="5"/>
  <c r="R35" i="5"/>
  <c r="T35" i="5"/>
  <c r="R33" i="5"/>
  <c r="T33" i="5"/>
  <c r="R31" i="5"/>
  <c r="T31" i="5"/>
  <c r="R29" i="5"/>
  <c r="T29" i="5"/>
  <c r="T25" i="5"/>
  <c r="R25" i="5"/>
  <c r="T23" i="5"/>
  <c r="R23" i="5"/>
  <c r="R20" i="5"/>
  <c r="T20" i="5"/>
  <c r="T17" i="5"/>
  <c r="R17" i="5"/>
  <c r="T15" i="5"/>
  <c r="R15" i="5"/>
  <c r="T13" i="5"/>
  <c r="R13" i="5"/>
  <c r="T11" i="5"/>
  <c r="R11" i="5"/>
  <c r="T9" i="5"/>
  <c r="R9" i="5"/>
  <c r="R37" i="5"/>
  <c r="T37" i="5"/>
  <c r="R26" i="5"/>
  <c r="T26" i="5"/>
  <c r="T34" i="5"/>
  <c r="R34" i="5"/>
  <c r="T32" i="5"/>
  <c r="R32" i="5"/>
  <c r="T30" i="5"/>
  <c r="R30" i="5"/>
  <c r="T28" i="5"/>
  <c r="R28" i="5"/>
  <c r="R24" i="5"/>
  <c r="T24" i="5"/>
  <c r="R22" i="5"/>
  <c r="T22" i="5"/>
  <c r="T19" i="5"/>
  <c r="R19" i="5"/>
  <c r="R16" i="5"/>
  <c r="T16" i="5"/>
  <c r="R14" i="5"/>
  <c r="T14" i="5"/>
  <c r="R12" i="5"/>
  <c r="T12" i="5"/>
  <c r="R10" i="5"/>
  <c r="T10" i="5"/>
  <c r="AQ40" i="7"/>
  <c r="AF16" i="7"/>
  <c r="AI16" i="7" s="1"/>
  <c r="AK16" i="7" s="1"/>
  <c r="AJ16" i="7" s="1"/>
  <c r="T28" i="6"/>
  <c r="AQ18" i="7"/>
  <c r="R28" i="6"/>
  <c r="AJ28" i="6" s="1"/>
  <c r="AF32" i="7"/>
  <c r="AI32" i="7" s="1"/>
  <c r="AK32" i="7" s="1"/>
  <c r="AJ32" i="7" s="1"/>
  <c r="AQ27" i="7"/>
  <c r="AA46" i="5"/>
  <c r="AD46" i="5"/>
  <c r="AC46" i="5"/>
  <c r="AC45" i="5"/>
  <c r="AA45" i="5"/>
  <c r="AD45" i="5"/>
  <c r="AC43" i="5"/>
  <c r="AA43" i="5"/>
  <c r="AD43" i="5"/>
  <c r="AC41" i="5"/>
  <c r="AA41" i="5"/>
  <c r="AD41" i="5"/>
  <c r="AC47" i="5"/>
  <c r="AA47" i="5"/>
  <c r="AD47" i="5"/>
  <c r="AA44" i="5"/>
  <c r="AD44" i="5"/>
  <c r="AC44" i="5"/>
  <c r="AA42" i="5"/>
  <c r="AD42" i="5"/>
  <c r="AC42" i="5"/>
  <c r="AC40" i="5"/>
  <c r="AA40" i="5"/>
  <c r="AD40" i="5"/>
  <c r="AD39" i="5"/>
  <c r="AA39" i="5"/>
  <c r="AC39" i="5"/>
  <c r="AH40" i="7"/>
  <c r="AH32" i="7"/>
  <c r="AF18" i="7"/>
  <c r="AR18" i="7" s="1"/>
  <c r="AH14" i="7"/>
  <c r="AF27" i="7"/>
  <c r="AR27" i="7" s="1"/>
  <c r="AQ29" i="7"/>
  <c r="AQ38" i="7"/>
  <c r="AQ25" i="7"/>
  <c r="AF29" i="7"/>
  <c r="AI29" i="7" s="1"/>
  <c r="AK29" i="7" s="1"/>
  <c r="AJ29" i="7" s="1"/>
  <c r="AF38" i="7"/>
  <c r="AR38" i="7" s="1"/>
  <c r="AF25" i="7"/>
  <c r="AR25" i="7" s="1"/>
  <c r="AR40" i="7"/>
  <c r="AF14" i="7"/>
  <c r="AR14" i="7" s="1"/>
  <c r="AI27" i="7"/>
  <c r="AI18" i="7"/>
  <c r="AK18" i="7" s="1"/>
  <c r="AJ18" i="7" s="1"/>
  <c r="AI20" i="7"/>
  <c r="AK20" i="7" s="1"/>
  <c r="AJ20" i="7" s="1"/>
  <c r="AK40" i="7"/>
  <c r="AJ40" i="7" s="1"/>
  <c r="AK34" i="7"/>
  <c r="AJ34" i="7" s="1"/>
  <c r="AQ35" i="7"/>
  <c r="AH35" i="7"/>
  <c r="AF35" i="7"/>
  <c r="AR35" i="7" s="1"/>
  <c r="AH33" i="7"/>
  <c r="AF33" i="7"/>
  <c r="AR33" i="7" s="1"/>
  <c r="AQ33" i="7"/>
  <c r="AK23" i="7"/>
  <c r="AJ23" i="7" s="1"/>
  <c r="AK36" i="7"/>
  <c r="AJ36" i="7" s="1"/>
  <c r="AQ15" i="7"/>
  <c r="AF15" i="7"/>
  <c r="AI15" i="7" s="1"/>
  <c r="AH15" i="7"/>
  <c r="AQ17" i="7"/>
  <c r="AF17" i="7"/>
  <c r="AI17" i="7" s="1"/>
  <c r="AH17" i="7"/>
  <c r="AQ19" i="7"/>
  <c r="AF19" i="7"/>
  <c r="AI19" i="7" s="1"/>
  <c r="AH19" i="7"/>
  <c r="AQ21" i="7"/>
  <c r="AF21" i="7"/>
  <c r="AI21" i="7" s="1"/>
  <c r="AH21" i="7"/>
  <c r="AQ37" i="7"/>
  <c r="AF37" i="7"/>
  <c r="AI37" i="7" s="1"/>
  <c r="AH37" i="7"/>
  <c r="AQ39" i="7"/>
  <c r="AF39" i="7"/>
  <c r="AR39" i="7" s="1"/>
  <c r="AH39" i="7"/>
  <c r="AR23" i="7"/>
  <c r="AR36" i="7"/>
  <c r="AK27" i="7"/>
  <c r="AJ27" i="7" s="1"/>
  <c r="AQ24" i="7"/>
  <c r="AF24" i="7"/>
  <c r="AI24" i="7" s="1"/>
  <c r="AH24" i="7"/>
  <c r="AQ26" i="7"/>
  <c r="AF26" i="7"/>
  <c r="AI26" i="7" s="1"/>
  <c r="AH26" i="7"/>
  <c r="AQ28" i="7"/>
  <c r="AF28" i="7"/>
  <c r="AI28" i="7" s="1"/>
  <c r="AH28" i="7"/>
  <c r="AQ30" i="7"/>
  <c r="AF30" i="7"/>
  <c r="AI30" i="7" s="1"/>
  <c r="AH30" i="7"/>
  <c r="AR34" i="7"/>
  <c r="T17" i="6"/>
  <c r="AH17" i="6"/>
  <c r="R17" i="6"/>
  <c r="AJ17" i="6" s="1"/>
  <c r="T21" i="6"/>
  <c r="AH21" i="6"/>
  <c r="R21" i="6"/>
  <c r="AJ21" i="6" s="1"/>
  <c r="T26" i="6"/>
  <c r="R26" i="6"/>
  <c r="AJ26" i="6" s="1"/>
  <c r="AH26" i="6"/>
  <c r="T30" i="6"/>
  <c r="R30" i="6"/>
  <c r="AJ30" i="6" s="1"/>
  <c r="AH30" i="6"/>
  <c r="AH16" i="6"/>
  <c r="R16" i="6"/>
  <c r="U16" i="6" s="1"/>
  <c r="T16" i="6"/>
  <c r="AH18" i="6"/>
  <c r="R18" i="6"/>
  <c r="U18" i="6" s="1"/>
  <c r="T18" i="6"/>
  <c r="AH20" i="6"/>
  <c r="R20" i="6"/>
  <c r="U20" i="6" s="1"/>
  <c r="T20" i="6"/>
  <c r="AH25" i="6"/>
  <c r="R25" i="6"/>
  <c r="U25" i="6" s="1"/>
  <c r="T25" i="6"/>
  <c r="AH27" i="6"/>
  <c r="R27" i="6"/>
  <c r="U27" i="6" s="1"/>
  <c r="T27" i="6"/>
  <c r="AH29" i="6"/>
  <c r="R29" i="6"/>
  <c r="U29" i="6" s="1"/>
  <c r="T29" i="6"/>
  <c r="AH31" i="6"/>
  <c r="R31" i="6"/>
  <c r="U31" i="6" s="1"/>
  <c r="T31" i="6"/>
  <c r="U28" i="6"/>
  <c r="U24" i="6"/>
  <c r="U15" i="6"/>
  <c r="Z15" i="6" s="1"/>
  <c r="U19" i="6"/>
  <c r="R43" i="5"/>
  <c r="T43" i="5"/>
  <c r="R41" i="5"/>
  <c r="T41" i="5"/>
  <c r="T47" i="5"/>
  <c r="R47" i="5"/>
  <c r="T46" i="5"/>
  <c r="R46" i="5"/>
  <c r="R45" i="5"/>
  <c r="T45" i="5"/>
  <c r="R44" i="5"/>
  <c r="T44" i="5"/>
  <c r="R42" i="5"/>
  <c r="T42" i="5"/>
  <c r="T40" i="5"/>
  <c r="R40" i="5"/>
  <c r="T39" i="5"/>
  <c r="R39" i="5"/>
  <c r="AR16" i="7" l="1"/>
  <c r="AR32" i="7"/>
  <c r="AI38" i="7"/>
  <c r="AK38" i="7" s="1"/>
  <c r="AJ38" i="7" s="1"/>
  <c r="AJ20" i="6"/>
  <c r="AJ29" i="6"/>
  <c r="AI33" i="7"/>
  <c r="AJ16" i="6"/>
  <c r="AV40" i="5"/>
  <c r="BE40" i="5" s="1"/>
  <c r="AV42" i="5"/>
  <c r="BE42" i="5" s="1"/>
  <c r="AV41" i="5"/>
  <c r="BE41" i="5" s="1"/>
  <c r="AV45" i="5"/>
  <c r="BE45" i="5" s="1"/>
  <c r="AV46" i="5"/>
  <c r="BE46" i="5" s="1"/>
  <c r="AV39" i="5"/>
  <c r="BE39" i="5" s="1"/>
  <c r="AV44" i="5"/>
  <c r="BE44" i="5" s="1"/>
  <c r="AV47" i="5"/>
  <c r="BE47" i="5" s="1"/>
  <c r="AV43" i="5"/>
  <c r="BE43" i="5" s="1"/>
  <c r="AE40" i="5"/>
  <c r="AE42" i="5"/>
  <c r="AE45" i="5"/>
  <c r="AE39" i="5"/>
  <c r="AE44" i="5"/>
  <c r="AE47" i="5"/>
  <c r="AE43" i="5"/>
  <c r="AE41" i="5"/>
  <c r="AE46" i="5"/>
  <c r="AR29" i="7"/>
  <c r="AI25" i="7"/>
  <c r="AK25" i="7" s="1"/>
  <c r="AJ25" i="7" s="1"/>
  <c r="AI14" i="7"/>
  <c r="AK14" i="7" s="1"/>
  <c r="AJ14" i="7" s="1"/>
  <c r="AR19" i="7"/>
  <c r="AR15" i="7"/>
  <c r="AL40" i="7"/>
  <c r="AS40" i="7"/>
  <c r="AV40" i="7" s="1"/>
  <c r="AR37" i="7"/>
  <c r="AS16" i="7"/>
  <c r="AT16" i="7" s="1"/>
  <c r="AR30" i="7"/>
  <c r="AR26" i="7"/>
  <c r="AL32" i="7"/>
  <c r="AS32" i="7"/>
  <c r="AV32" i="7" s="1"/>
  <c r="AS18" i="7"/>
  <c r="AT18" i="7" s="1"/>
  <c r="AI39" i="7"/>
  <c r="AK39" i="7" s="1"/>
  <c r="AJ39" i="7" s="1"/>
  <c r="AS36" i="7"/>
  <c r="AV36" i="7" s="1"/>
  <c r="AS23" i="7"/>
  <c r="AV23" i="7" s="1"/>
  <c r="AK28" i="7"/>
  <c r="AJ28" i="7" s="1"/>
  <c r="AK24" i="7"/>
  <c r="AJ24" i="7" s="1"/>
  <c r="AK21" i="7"/>
  <c r="AJ21" i="7" s="1"/>
  <c r="AK17" i="7"/>
  <c r="AJ17" i="7" s="1"/>
  <c r="AK30" i="7"/>
  <c r="AJ30" i="7" s="1"/>
  <c r="AK26" i="7"/>
  <c r="AJ26" i="7" s="1"/>
  <c r="AL27" i="7"/>
  <c r="AL20" i="7"/>
  <c r="AR28" i="7"/>
  <c r="AR24" i="7"/>
  <c r="AS27" i="7"/>
  <c r="AV27" i="7" s="1"/>
  <c r="AS20" i="7"/>
  <c r="AT20" i="7" s="1"/>
  <c r="AS38" i="7"/>
  <c r="AV38" i="7" s="1"/>
  <c r="AL18" i="7"/>
  <c r="AR21" i="7"/>
  <c r="AR17" i="7"/>
  <c r="AL36" i="7"/>
  <c r="AL23" i="7"/>
  <c r="AS29" i="7"/>
  <c r="AL16" i="7"/>
  <c r="AI35" i="7"/>
  <c r="AL34" i="7"/>
  <c r="AS34" i="7"/>
  <c r="AV34" i="7" s="1"/>
  <c r="AK37" i="7"/>
  <c r="AJ37" i="7" s="1"/>
  <c r="AK19" i="7"/>
  <c r="AJ19" i="7" s="1"/>
  <c r="AK15" i="7"/>
  <c r="AJ15" i="7" s="1"/>
  <c r="AK33" i="7"/>
  <c r="AJ33" i="7" s="1"/>
  <c r="AL29" i="7"/>
  <c r="AJ25" i="6"/>
  <c r="AJ31" i="6"/>
  <c r="AJ18" i="6"/>
  <c r="U30" i="6"/>
  <c r="Z30" i="6" s="1"/>
  <c r="Y30" i="6" s="1"/>
  <c r="AA30" i="6" s="1"/>
  <c r="AJ27" i="6"/>
  <c r="U26" i="6"/>
  <c r="Z26" i="6" s="1"/>
  <c r="Y26" i="6" s="1"/>
  <c r="AA26" i="6" s="1"/>
  <c r="Z29" i="6"/>
  <c r="Y29" i="6" s="1"/>
  <c r="AA29" i="6" s="1"/>
  <c r="Z25" i="6"/>
  <c r="Y25" i="6" s="1"/>
  <c r="AA25" i="6" s="1"/>
  <c r="Z19" i="6"/>
  <c r="Y19" i="6" s="1"/>
  <c r="AA19" i="6" s="1"/>
  <c r="Y15" i="6"/>
  <c r="AA15" i="6" s="1"/>
  <c r="Z24" i="6"/>
  <c r="Y24" i="6" s="1"/>
  <c r="AA24" i="6" s="1"/>
  <c r="Z28" i="6"/>
  <c r="Y28" i="6" s="1"/>
  <c r="AA28" i="6" s="1"/>
  <c r="Z20" i="6"/>
  <c r="Y20" i="6" s="1"/>
  <c r="AA20" i="6" s="1"/>
  <c r="Z31" i="6"/>
  <c r="Y31" i="6" s="1"/>
  <c r="AA31" i="6" s="1"/>
  <c r="Z27" i="6"/>
  <c r="Y27" i="6" s="1"/>
  <c r="AA27" i="6" s="1"/>
  <c r="Z16" i="6"/>
  <c r="Y16" i="6" s="1"/>
  <c r="AA16" i="6" s="1"/>
  <c r="U21" i="6"/>
  <c r="Z18" i="6"/>
  <c r="Y18" i="6" s="1"/>
  <c r="AA18" i="6" s="1"/>
  <c r="U17" i="6"/>
  <c r="AL38" i="7" l="1"/>
  <c r="AG42" i="5"/>
  <c r="AW42" i="5" s="1"/>
  <c r="BF42" i="5" s="1"/>
  <c r="AF42" i="5"/>
  <c r="AG46" i="5"/>
  <c r="AH46" i="5" s="1"/>
  <c r="AF46" i="5"/>
  <c r="AF43" i="5"/>
  <c r="AG43" i="5"/>
  <c r="AH43" i="5" s="1"/>
  <c r="AJ43" i="5" s="1"/>
  <c r="AX43" i="5" s="1"/>
  <c r="BG43" i="5" s="1"/>
  <c r="AF47" i="5"/>
  <c r="AG47" i="5"/>
  <c r="AW47" i="5" s="1"/>
  <c r="BF47" i="5" s="1"/>
  <c r="AG40" i="5"/>
  <c r="AH40" i="5" s="1"/>
  <c r="AJ40" i="5" s="1"/>
  <c r="AF40" i="5"/>
  <c r="AG44" i="5"/>
  <c r="AW44" i="5" s="1"/>
  <c r="BF44" i="5" s="1"/>
  <c r="AF44" i="5"/>
  <c r="AG41" i="5"/>
  <c r="AH41" i="5" s="1"/>
  <c r="AF41" i="5"/>
  <c r="AF39" i="5"/>
  <c r="AG39" i="5"/>
  <c r="AW39" i="5" s="1"/>
  <c r="BF39" i="5" s="1"/>
  <c r="AG45" i="5"/>
  <c r="AW45" i="5" s="1"/>
  <c r="BF45" i="5" s="1"/>
  <c r="AF45" i="5"/>
  <c r="AL25" i="7"/>
  <c r="AV29" i="7"/>
  <c r="AS25" i="7"/>
  <c r="AV25" i="7" s="1"/>
  <c r="AH42" i="5"/>
  <c r="AW40" i="5"/>
  <c r="BF40" i="5" s="1"/>
  <c r="AL14" i="7"/>
  <c r="AS14" i="7"/>
  <c r="AT14" i="7" s="1"/>
  <c r="AL21" i="7"/>
  <c r="AS21" i="7"/>
  <c r="AT21" i="7" s="1"/>
  <c r="AL30" i="7"/>
  <c r="AS30" i="7"/>
  <c r="AV30" i="7" s="1"/>
  <c r="AL19" i="7"/>
  <c r="AS19" i="7"/>
  <c r="AT19" i="7" s="1"/>
  <c r="AL39" i="7"/>
  <c r="AL17" i="7"/>
  <c r="AS17" i="7"/>
  <c r="AT17" i="7" s="1"/>
  <c r="AL24" i="7"/>
  <c r="AS24" i="7"/>
  <c r="AV24" i="7" s="1"/>
  <c r="AL33" i="7"/>
  <c r="AS33" i="7"/>
  <c r="AV33" i="7" s="1"/>
  <c r="AL15" i="7"/>
  <c r="AS15" i="7"/>
  <c r="AT15" i="7" s="1"/>
  <c r="AL37" i="7"/>
  <c r="AS37" i="7"/>
  <c r="AV37" i="7" s="1"/>
  <c r="AS39" i="7"/>
  <c r="AV39" i="7" s="1"/>
  <c r="AL26" i="7"/>
  <c r="AS26" i="7"/>
  <c r="AV26" i="7" s="1"/>
  <c r="AK35" i="7"/>
  <c r="AJ35" i="7" s="1"/>
  <c r="AL28" i="7"/>
  <c r="AS28" i="7"/>
  <c r="AV28" i="7" s="1"/>
  <c r="AK16" i="6"/>
  <c r="AM16" i="6" s="1"/>
  <c r="AB28" i="6"/>
  <c r="AB24" i="6"/>
  <c r="AB15" i="6"/>
  <c r="AB19" i="6"/>
  <c r="AB30" i="6"/>
  <c r="AB27" i="6"/>
  <c r="AK28" i="6"/>
  <c r="AM28" i="6" s="1"/>
  <c r="AK24" i="6"/>
  <c r="AM24" i="6" s="1"/>
  <c r="Z21" i="6"/>
  <c r="Y21" i="6" s="1"/>
  <c r="AA21" i="6" s="1"/>
  <c r="AK31" i="6"/>
  <c r="AM31" i="6" s="1"/>
  <c r="Z17" i="6"/>
  <c r="Y17" i="6" s="1"/>
  <c r="AA17" i="6" s="1"/>
  <c r="AB26" i="6"/>
  <c r="AK30" i="6"/>
  <c r="AM30" i="6" s="1"/>
  <c r="AB18" i="6"/>
  <c r="AB16" i="6"/>
  <c r="AK27" i="6"/>
  <c r="AM27" i="6" s="1"/>
  <c r="AB31" i="6"/>
  <c r="AB20" i="6"/>
  <c r="AK15" i="6"/>
  <c r="AM15" i="6" s="1"/>
  <c r="AK19" i="6"/>
  <c r="AM19" i="6" s="1"/>
  <c r="AB25" i="6"/>
  <c r="AB29" i="6"/>
  <c r="AK26" i="6"/>
  <c r="AM26" i="6" s="1"/>
  <c r="AK18" i="6"/>
  <c r="AM18" i="6" s="1"/>
  <c r="AK20" i="6"/>
  <c r="AM20" i="6" s="1"/>
  <c r="AK25" i="6"/>
  <c r="AM25" i="6" s="1"/>
  <c r="AK29" i="6"/>
  <c r="AM29" i="6" s="1"/>
  <c r="AH45" i="5" l="1"/>
  <c r="AJ45" i="5" s="1"/>
  <c r="AH47" i="5"/>
  <c r="AH39" i="5"/>
  <c r="AJ39" i="5" s="1"/>
  <c r="AW43" i="5"/>
  <c r="BF43" i="5" s="1"/>
  <c r="AW46" i="5"/>
  <c r="BF46" i="5" s="1"/>
  <c r="AJ46" i="5"/>
  <c r="AN46" i="5" s="1"/>
  <c r="AP46" i="5" s="1"/>
  <c r="AY46" i="5" s="1"/>
  <c r="AL46" i="5"/>
  <c r="AH44" i="5"/>
  <c r="AL43" i="5"/>
  <c r="AL47" i="5"/>
  <c r="AJ47" i="5"/>
  <c r="AN47" i="5" s="1"/>
  <c r="AP47" i="5" s="1"/>
  <c r="AY47" i="5" s="1"/>
  <c r="AW41" i="5"/>
  <c r="BF41" i="5" s="1"/>
  <c r="AJ42" i="5"/>
  <c r="AX42" i="5" s="1"/>
  <c r="BG42" i="5" s="1"/>
  <c r="AL41" i="5"/>
  <c r="AJ41" i="5"/>
  <c r="AX41" i="5" s="1"/>
  <c r="BG41" i="5" s="1"/>
  <c r="AL42" i="5"/>
  <c r="AL40" i="5"/>
  <c r="AX40" i="5"/>
  <c r="BG40" i="5" s="1"/>
  <c r="AX47" i="5"/>
  <c r="BG47" i="5" s="1"/>
  <c r="AL39" i="5"/>
  <c r="AX39" i="5"/>
  <c r="BG39" i="5" s="1"/>
  <c r="AL45" i="5"/>
  <c r="AX45" i="5"/>
  <c r="BG45" i="5" s="1"/>
  <c r="AN40" i="5"/>
  <c r="AP40" i="5" s="1"/>
  <c r="AN39" i="5"/>
  <c r="AN45" i="5"/>
  <c r="AN43" i="5"/>
  <c r="AL35" i="7"/>
  <c r="AS35" i="7"/>
  <c r="AV35" i="7" s="1"/>
  <c r="AB17" i="6"/>
  <c r="AB21" i="6"/>
  <c r="AK17" i="6"/>
  <c r="AM17" i="6" s="1"/>
  <c r="AK21" i="6"/>
  <c r="AM21" i="6" s="1"/>
  <c r="AR27" i="3"/>
  <c r="AR28" i="3"/>
  <c r="AR29" i="3"/>
  <c r="AR30" i="3"/>
  <c r="AR31" i="3"/>
  <c r="AR32" i="3"/>
  <c r="AR33" i="3"/>
  <c r="AR34" i="3"/>
  <c r="AR35" i="3"/>
  <c r="AR36" i="3"/>
  <c r="AR26" i="3"/>
  <c r="AS16" i="3"/>
  <c r="AS17" i="3"/>
  <c r="AS18" i="3"/>
  <c r="AS19" i="3"/>
  <c r="AS20" i="3"/>
  <c r="AS21" i="3"/>
  <c r="AS22" i="3"/>
  <c r="AS23" i="3"/>
  <c r="AS24" i="3"/>
  <c r="AS15" i="3"/>
  <c r="AS14" i="3"/>
  <c r="BE12" i="3"/>
  <c r="M24" i="3"/>
  <c r="AT24" i="3" s="1"/>
  <c r="M23" i="3"/>
  <c r="AT23" i="3" s="1"/>
  <c r="M22" i="3"/>
  <c r="AT22" i="3" s="1"/>
  <c r="M21" i="3"/>
  <c r="AT21" i="3" s="1"/>
  <c r="M20" i="3"/>
  <c r="AT20" i="3" s="1"/>
  <c r="M19" i="3"/>
  <c r="AT19" i="3" s="1"/>
  <c r="V18" i="3"/>
  <c r="AU18" i="3" s="1"/>
  <c r="M18" i="3"/>
  <c r="V17" i="3"/>
  <c r="AU17" i="3" s="1"/>
  <c r="M17" i="3"/>
  <c r="V16" i="3"/>
  <c r="AU16" i="3" s="1"/>
  <c r="M16" i="3"/>
  <c r="Q16" i="3" s="1"/>
  <c r="T16" i="3" s="1"/>
  <c r="V15" i="3"/>
  <c r="AU15" i="3" s="1"/>
  <c r="M15" i="3"/>
  <c r="Q15" i="3" s="1"/>
  <c r="T15" i="3" s="1"/>
  <c r="V14" i="3"/>
  <c r="AU14" i="3" s="1"/>
  <c r="M14" i="3"/>
  <c r="Q14" i="3" s="1"/>
  <c r="T14" i="3" s="1"/>
  <c r="AN41" i="5" l="1"/>
  <c r="AX46" i="5"/>
  <c r="BG46" i="5" s="1"/>
  <c r="AN42" i="5"/>
  <c r="AJ44" i="5"/>
  <c r="AN44" i="5" s="1"/>
  <c r="AP44" i="5" s="1"/>
  <c r="AY44" i="5" s="1"/>
  <c r="AL44" i="5"/>
  <c r="AX44" i="5"/>
  <c r="BG44" i="5" s="1"/>
  <c r="AZ47" i="5"/>
  <c r="BH47" i="5"/>
  <c r="BH46" i="5"/>
  <c r="AP42" i="5"/>
  <c r="AY42" i="5" s="1"/>
  <c r="AY40" i="5"/>
  <c r="AO40" i="5"/>
  <c r="AP39" i="5"/>
  <c r="AY39" i="5" s="1"/>
  <c r="BH39" i="5" s="1"/>
  <c r="AP45" i="5"/>
  <c r="AY45" i="5" s="1"/>
  <c r="AP43" i="5"/>
  <c r="AO43" i="5" s="1"/>
  <c r="AP41" i="5"/>
  <c r="AO41" i="5" s="1"/>
  <c r="AQ47" i="5"/>
  <c r="AO47" i="5"/>
  <c r="AQ40" i="5"/>
  <c r="AQ46" i="5"/>
  <c r="AO46" i="5"/>
  <c r="AV14" i="3"/>
  <c r="AD14" i="3"/>
  <c r="AE14" i="3" s="1"/>
  <c r="AC14" i="3"/>
  <c r="AV15" i="3"/>
  <c r="AD15" i="3"/>
  <c r="AE15" i="3" s="1"/>
  <c r="AC15" i="3"/>
  <c r="AV16" i="3"/>
  <c r="AD16" i="3"/>
  <c r="AE16" i="3" s="1"/>
  <c r="AC16" i="3"/>
  <c r="AT14" i="3"/>
  <c r="S15" i="3"/>
  <c r="AT15" i="3"/>
  <c r="S16" i="3"/>
  <c r="AT16" i="3"/>
  <c r="Q17" i="3"/>
  <c r="T17" i="3" s="1"/>
  <c r="L17" i="3"/>
  <c r="S17" i="3"/>
  <c r="AT17" i="3"/>
  <c r="Q18" i="3"/>
  <c r="T18" i="3" s="1"/>
  <c r="L18" i="3"/>
  <c r="S18" i="3"/>
  <c r="AT18" i="3"/>
  <c r="S14" i="3"/>
  <c r="L14" i="3"/>
  <c r="L15" i="3"/>
  <c r="L16" i="3"/>
  <c r="L19" i="3"/>
  <c r="Q19" i="3"/>
  <c r="T19" i="3" s="1"/>
  <c r="L20" i="3"/>
  <c r="Q20" i="3"/>
  <c r="T20" i="3" s="1"/>
  <c r="L21" i="3"/>
  <c r="Q21" i="3"/>
  <c r="T21" i="3" s="1"/>
  <c r="L22" i="3"/>
  <c r="Q22" i="3"/>
  <c r="T22" i="3" s="1"/>
  <c r="AW22" i="3" s="1"/>
  <c r="L23" i="3"/>
  <c r="Q23" i="3"/>
  <c r="T23" i="3" s="1"/>
  <c r="AW23" i="3" s="1"/>
  <c r="L24" i="3"/>
  <c r="Q24" i="3"/>
  <c r="T24" i="3" s="1"/>
  <c r="AW24" i="3" s="1"/>
  <c r="S19" i="3"/>
  <c r="V19" i="3"/>
  <c r="AU19" i="3" s="1"/>
  <c r="S20" i="3"/>
  <c r="V20" i="3"/>
  <c r="AU20" i="3" s="1"/>
  <c r="S21" i="3"/>
  <c r="V21" i="3"/>
  <c r="AU21" i="3" s="1"/>
  <c r="S22" i="3"/>
  <c r="V22" i="3"/>
  <c r="AU22" i="3" s="1"/>
  <c r="S23" i="3"/>
  <c r="V23" i="3"/>
  <c r="AU23" i="3" s="1"/>
  <c r="S24" i="3"/>
  <c r="V24" i="3"/>
  <c r="AU24" i="3" s="1"/>
  <c r="AO44" i="5" l="1"/>
  <c r="AQ44" i="5"/>
  <c r="AZ46" i="5"/>
  <c r="AQ43" i="5"/>
  <c r="AQ45" i="5"/>
  <c r="AZ39" i="5"/>
  <c r="AZ40" i="5"/>
  <c r="BH40" i="5"/>
  <c r="AZ44" i="5"/>
  <c r="BH44" i="5"/>
  <c r="AQ42" i="5"/>
  <c r="AZ42" i="5"/>
  <c r="BH42" i="5"/>
  <c r="AZ45" i="5"/>
  <c r="BH45" i="5"/>
  <c r="AO42" i="5"/>
  <c r="AY41" i="5"/>
  <c r="AY43" i="5"/>
  <c r="AO45" i="5"/>
  <c r="AK16" i="3"/>
  <c r="AN16" i="3" s="1"/>
  <c r="AM16" i="3"/>
  <c r="AK14" i="3"/>
  <c r="AN14" i="3" s="1"/>
  <c r="AM14" i="3"/>
  <c r="AM15" i="3"/>
  <c r="AK15" i="3"/>
  <c r="AY15" i="3" s="1"/>
  <c r="AQ41" i="5"/>
  <c r="AX15" i="3"/>
  <c r="AQ39" i="5"/>
  <c r="AO39" i="5"/>
  <c r="AX16" i="3"/>
  <c r="AX14" i="3"/>
  <c r="AB24" i="3"/>
  <c r="AA24" i="3"/>
  <c r="AB22" i="3"/>
  <c r="AA22" i="3"/>
  <c r="AV19" i="3"/>
  <c r="AD19" i="3"/>
  <c r="AE19" i="3" s="1"/>
  <c r="AC19" i="3"/>
  <c r="AB23" i="3"/>
  <c r="AA23" i="3"/>
  <c r="AV21" i="3"/>
  <c r="AD21" i="3"/>
  <c r="AE21" i="3" s="1"/>
  <c r="AC21" i="3"/>
  <c r="AV20" i="3"/>
  <c r="AD20" i="3"/>
  <c r="AE20" i="3" s="1"/>
  <c r="AC20" i="3"/>
  <c r="AV18" i="3"/>
  <c r="AD18" i="3"/>
  <c r="AE18" i="3" s="1"/>
  <c r="AC18" i="3"/>
  <c r="AV17" i="3"/>
  <c r="AD17" i="3"/>
  <c r="AE17" i="3" s="1"/>
  <c r="AC17" i="3"/>
  <c r="P24" i="3"/>
  <c r="N24" i="3"/>
  <c r="P23" i="3"/>
  <c r="N23" i="3"/>
  <c r="P22" i="3"/>
  <c r="N22" i="3"/>
  <c r="P21" i="3"/>
  <c r="N21" i="3"/>
  <c r="P20" i="3"/>
  <c r="N20" i="3"/>
  <c r="P19" i="3"/>
  <c r="N19" i="3"/>
  <c r="N16" i="3"/>
  <c r="P16" i="3"/>
  <c r="N14" i="3"/>
  <c r="P14" i="3"/>
  <c r="N18" i="3"/>
  <c r="P18" i="3"/>
  <c r="N17" i="3"/>
  <c r="P17" i="3"/>
  <c r="N15" i="3"/>
  <c r="P15" i="3"/>
  <c r="AZ43" i="5" l="1"/>
  <c r="BH43" i="5"/>
  <c r="AZ41" i="5"/>
  <c r="BH41" i="5"/>
  <c r="AY16" i="3"/>
  <c r="AN15" i="3"/>
  <c r="AP15" i="3" s="1"/>
  <c r="AP14" i="3"/>
  <c r="AZ14" i="3" s="1"/>
  <c r="AM17" i="3"/>
  <c r="AK17" i="3"/>
  <c r="AY17" i="3" s="1"/>
  <c r="AK18" i="3"/>
  <c r="AN18" i="3" s="1"/>
  <c r="AM18" i="3"/>
  <c r="AK20" i="3"/>
  <c r="AN20" i="3" s="1"/>
  <c r="AM20" i="3"/>
  <c r="AM21" i="3"/>
  <c r="AK21" i="3"/>
  <c r="AY21" i="3" s="1"/>
  <c r="AM19" i="3"/>
  <c r="AK19" i="3"/>
  <c r="AY19" i="3" s="1"/>
  <c r="AY14" i="3"/>
  <c r="AP16" i="3"/>
  <c r="AZ16" i="3" s="1"/>
  <c r="AX17" i="3"/>
  <c r="AX18" i="3"/>
  <c r="AX20" i="3"/>
  <c r="AX21" i="3"/>
  <c r="AX19" i="3"/>
  <c r="AD23" i="3"/>
  <c r="AE23" i="3" s="1"/>
  <c r="AC23" i="3"/>
  <c r="AD22" i="3"/>
  <c r="AE22" i="3" s="1"/>
  <c r="AC22" i="3"/>
  <c r="AC24" i="3"/>
  <c r="AD24" i="3"/>
  <c r="AE24" i="3" s="1"/>
  <c r="AR40" i="3"/>
  <c r="AR41" i="3"/>
  <c r="AR42" i="3"/>
  <c r="AR43" i="3"/>
  <c r="AR44" i="3"/>
  <c r="AR45" i="3"/>
  <c r="AR46" i="3"/>
  <c r="AR39" i="3"/>
  <c r="V38" i="3"/>
  <c r="AU38" i="3" s="1"/>
  <c r="V39" i="3"/>
  <c r="AU39" i="3" s="1"/>
  <c r="V40" i="3"/>
  <c r="AU40" i="3" s="1"/>
  <c r="M38" i="3"/>
  <c r="AT38" i="3" s="1"/>
  <c r="M46" i="3"/>
  <c r="AT46" i="3" s="1"/>
  <c r="M45" i="3"/>
  <c r="AT45" i="3" s="1"/>
  <c r="M44" i="3"/>
  <c r="AT44" i="3" s="1"/>
  <c r="M43" i="3"/>
  <c r="AT43" i="3" s="1"/>
  <c r="M42" i="3"/>
  <c r="AT42" i="3" s="1"/>
  <c r="M41" i="3"/>
  <c r="AT41" i="3" s="1"/>
  <c r="M40" i="3"/>
  <c r="AT40" i="3" s="1"/>
  <c r="M39" i="3"/>
  <c r="AT39" i="3" s="1"/>
  <c r="V28" i="3"/>
  <c r="AU28" i="3" s="1"/>
  <c r="V29" i="3"/>
  <c r="AU29" i="3" s="1"/>
  <c r="V30" i="3"/>
  <c r="AU30" i="3" s="1"/>
  <c r="V27" i="3"/>
  <c r="AU27" i="3" s="1"/>
  <c r="V26" i="3"/>
  <c r="AU26" i="3" s="1"/>
  <c r="AZ15" i="3" l="1"/>
  <c r="AQ15" i="3"/>
  <c r="AQ14" i="3"/>
  <c r="AN19" i="3"/>
  <c r="AP19" i="3" s="1"/>
  <c r="AZ19" i="3" s="1"/>
  <c r="AN21" i="3"/>
  <c r="AP21" i="3" s="1"/>
  <c r="AQ21" i="3" s="1"/>
  <c r="AY20" i="3"/>
  <c r="AY18" i="3"/>
  <c r="AN17" i="3"/>
  <c r="AP17" i="3" s="1"/>
  <c r="AZ17" i="3" s="1"/>
  <c r="AK22" i="3"/>
  <c r="AN22" i="3" s="1"/>
  <c r="AM22" i="3"/>
  <c r="AM23" i="3"/>
  <c r="AK23" i="3"/>
  <c r="AY23" i="3" s="1"/>
  <c r="AP20" i="3"/>
  <c r="AZ20" i="3" s="1"/>
  <c r="AP18" i="3"/>
  <c r="AZ18" i="3" s="1"/>
  <c r="AQ16" i="3"/>
  <c r="AK24" i="3"/>
  <c r="AN24" i="3" s="1"/>
  <c r="AM24" i="3"/>
  <c r="AX22" i="3"/>
  <c r="BA15" i="3"/>
  <c r="AO14" i="3"/>
  <c r="BA14" i="3"/>
  <c r="AO16" i="3"/>
  <c r="BA16" i="3"/>
  <c r="AX24" i="3"/>
  <c r="AX23" i="3"/>
  <c r="U88" i="5"/>
  <c r="X88" i="5" s="1"/>
  <c r="U86" i="5"/>
  <c r="X86" i="5" s="1"/>
  <c r="U82" i="5"/>
  <c r="X82" i="5" s="1"/>
  <c r="AO15" i="3"/>
  <c r="Q39" i="3"/>
  <c r="T39" i="3" s="1"/>
  <c r="Q41" i="3"/>
  <c r="T41" i="3" s="1"/>
  <c r="Q43" i="3"/>
  <c r="T43" i="3" s="1"/>
  <c r="Q38" i="3"/>
  <c r="T38" i="3" s="1"/>
  <c r="Q40" i="3"/>
  <c r="T40" i="3" s="1"/>
  <c r="Q42" i="3"/>
  <c r="T42" i="3" s="1"/>
  <c r="Q44" i="3"/>
  <c r="T44" i="3" s="1"/>
  <c r="U84" i="5"/>
  <c r="X84" i="5" s="1"/>
  <c r="U89" i="5"/>
  <c r="X89" i="5" s="1"/>
  <c r="U87" i="5"/>
  <c r="X87" i="5" s="1"/>
  <c r="U85" i="5"/>
  <c r="X85" i="5" s="1"/>
  <c r="U83" i="5"/>
  <c r="X83" i="5" s="1"/>
  <c r="U81" i="5"/>
  <c r="X81" i="5" s="1"/>
  <c r="W88" i="5"/>
  <c r="W86" i="5"/>
  <c r="W84" i="5"/>
  <c r="W82" i="5"/>
  <c r="W89" i="5"/>
  <c r="W87" i="5"/>
  <c r="W85" i="5"/>
  <c r="W83" i="5"/>
  <c r="W81" i="5"/>
  <c r="N149" i="4"/>
  <c r="N150" i="4"/>
  <c r="N151" i="4"/>
  <c r="N152" i="4"/>
  <c r="N153" i="4"/>
  <c r="N154" i="4"/>
  <c r="N156" i="4"/>
  <c r="N158" i="4"/>
  <c r="N68" i="4"/>
  <c r="O68" i="4"/>
  <c r="Q68" i="4" s="1"/>
  <c r="O155" i="4"/>
  <c r="Q155" i="4" s="1"/>
  <c r="O157" i="4"/>
  <c r="Q157" i="4" s="1"/>
  <c r="O149" i="4"/>
  <c r="Q149" i="4" s="1"/>
  <c r="O150" i="4"/>
  <c r="Q150" i="4" s="1"/>
  <c r="O151" i="4"/>
  <c r="Q151" i="4" s="1"/>
  <c r="O152" i="4"/>
  <c r="Q152" i="4" s="1"/>
  <c r="O153" i="4"/>
  <c r="Q153" i="4" s="1"/>
  <c r="O154" i="4"/>
  <c r="Q154" i="4" s="1"/>
  <c r="N155" i="4"/>
  <c r="O156" i="4"/>
  <c r="Q156" i="4" s="1"/>
  <c r="N157" i="4"/>
  <c r="O158" i="4"/>
  <c r="Q158" i="4" s="1"/>
  <c r="Q46" i="3"/>
  <c r="T46" i="3" s="1"/>
  <c r="L38" i="3"/>
  <c r="S38" i="3"/>
  <c r="Q45" i="3"/>
  <c r="T45" i="3" s="1"/>
  <c r="S39" i="3"/>
  <c r="S40" i="3"/>
  <c r="S41" i="3"/>
  <c r="V41" i="3"/>
  <c r="AU41" i="3" s="1"/>
  <c r="S42" i="3"/>
  <c r="V42" i="3"/>
  <c r="AU42" i="3" s="1"/>
  <c r="S43" i="3"/>
  <c r="V43" i="3"/>
  <c r="AU43" i="3" s="1"/>
  <c r="S44" i="3"/>
  <c r="V44" i="3"/>
  <c r="AU44" i="3" s="1"/>
  <c r="S45" i="3"/>
  <c r="V45" i="3"/>
  <c r="AU45" i="3" s="1"/>
  <c r="S46" i="3"/>
  <c r="V46" i="3"/>
  <c r="AU46" i="3" s="1"/>
  <c r="L39" i="3"/>
  <c r="L40" i="3"/>
  <c r="L41" i="3"/>
  <c r="L42" i="3"/>
  <c r="L43" i="3"/>
  <c r="L44" i="3"/>
  <c r="L45" i="3"/>
  <c r="L46" i="3"/>
  <c r="M28" i="3"/>
  <c r="AT28" i="3" s="1"/>
  <c r="M29" i="3"/>
  <c r="AT29" i="3" s="1"/>
  <c r="M30" i="3"/>
  <c r="AT30" i="3" s="1"/>
  <c r="M31" i="3"/>
  <c r="AT31" i="3" s="1"/>
  <c r="M32" i="3"/>
  <c r="AT32" i="3" s="1"/>
  <c r="M33" i="3"/>
  <c r="AT33" i="3" s="1"/>
  <c r="M34" i="3"/>
  <c r="AT34" i="3" s="1"/>
  <c r="M35" i="3"/>
  <c r="AT35" i="3" s="1"/>
  <c r="M36" i="3"/>
  <c r="AT36" i="3" s="1"/>
  <c r="M27" i="3"/>
  <c r="AT27" i="3" s="1"/>
  <c r="M26" i="3"/>
  <c r="AT26" i="3" s="1"/>
  <c r="AQ18" i="3" l="1"/>
  <c r="AA83" i="5"/>
  <c r="AC83" i="5"/>
  <c r="AD83" i="5"/>
  <c r="AE83" i="5" s="1"/>
  <c r="AA87" i="5"/>
  <c r="AC87" i="5"/>
  <c r="AD87" i="5"/>
  <c r="AD84" i="5"/>
  <c r="AC84" i="5"/>
  <c r="AA84" i="5"/>
  <c r="AA82" i="5"/>
  <c r="AD82" i="5"/>
  <c r="AC82" i="5"/>
  <c r="AD88" i="5"/>
  <c r="AC88" i="5"/>
  <c r="AA88" i="5"/>
  <c r="AA81" i="5"/>
  <c r="AD81" i="5"/>
  <c r="AC81" i="5"/>
  <c r="AA85" i="5"/>
  <c r="AD85" i="5"/>
  <c r="AC85" i="5"/>
  <c r="AA89" i="5"/>
  <c r="AD89" i="5"/>
  <c r="AC89" i="5"/>
  <c r="AA86" i="5"/>
  <c r="AD86" i="5"/>
  <c r="AC86" i="5"/>
  <c r="P158" i="4"/>
  <c r="S158" i="4" s="1"/>
  <c r="AH158" i="4"/>
  <c r="AP158" i="4" s="1"/>
  <c r="P156" i="4"/>
  <c r="S156" i="4" s="1"/>
  <c r="AH156" i="4"/>
  <c r="AP156" i="4" s="1"/>
  <c r="P154" i="4"/>
  <c r="S154" i="4" s="1"/>
  <c r="AH154" i="4"/>
  <c r="AP154" i="4" s="1"/>
  <c r="P152" i="4"/>
  <c r="S152" i="4" s="1"/>
  <c r="AH152" i="4"/>
  <c r="AP152" i="4" s="1"/>
  <c r="P150" i="4"/>
  <c r="S150" i="4" s="1"/>
  <c r="AH150" i="4"/>
  <c r="AP150" i="4" s="1"/>
  <c r="P153" i="4"/>
  <c r="S153" i="4" s="1"/>
  <c r="AH153" i="4"/>
  <c r="AP153" i="4" s="1"/>
  <c r="P151" i="4"/>
  <c r="S151" i="4" s="1"/>
  <c r="AH151" i="4"/>
  <c r="AP151" i="4" s="1"/>
  <c r="P149" i="4"/>
  <c r="S149" i="4" s="1"/>
  <c r="AH149" i="4"/>
  <c r="AP149" i="4" s="1"/>
  <c r="P157" i="4"/>
  <c r="S157" i="4" s="1"/>
  <c r="AH157" i="4"/>
  <c r="AP157" i="4" s="1"/>
  <c r="P155" i="4"/>
  <c r="S155" i="4" s="1"/>
  <c r="AH155" i="4"/>
  <c r="AP155" i="4" s="1"/>
  <c r="P68" i="4"/>
  <c r="AH68" i="4"/>
  <c r="AP68" i="4" s="1"/>
  <c r="AY22" i="3"/>
  <c r="AN23" i="3"/>
  <c r="AP23" i="3" s="1"/>
  <c r="AZ23" i="3" s="1"/>
  <c r="BA23" i="3" s="1"/>
  <c r="AZ21" i="3"/>
  <c r="AQ17" i="3"/>
  <c r="AQ20" i="3"/>
  <c r="AQ19" i="3"/>
  <c r="AP24" i="3"/>
  <c r="AZ24" i="3" s="1"/>
  <c r="AY24" i="3"/>
  <c r="AP22" i="3"/>
  <c r="AZ22" i="3" s="1"/>
  <c r="BA22" i="3" s="1"/>
  <c r="AO21" i="3"/>
  <c r="AO19" i="3"/>
  <c r="AO17" i="3"/>
  <c r="AO20" i="3"/>
  <c r="AO18" i="3"/>
  <c r="BA17" i="3"/>
  <c r="BA20" i="3"/>
  <c r="BA19" i="3"/>
  <c r="BA18" i="3"/>
  <c r="BA21" i="3"/>
  <c r="AW45" i="3"/>
  <c r="AB45" i="3"/>
  <c r="AA45" i="3"/>
  <c r="AB46" i="3"/>
  <c r="AW46" i="3"/>
  <c r="AA46" i="3"/>
  <c r="AD42" i="3"/>
  <c r="AE42" i="3" s="1"/>
  <c r="AC42" i="3"/>
  <c r="AV42" i="3"/>
  <c r="AD38" i="3"/>
  <c r="AE38" i="3" s="1"/>
  <c r="AC38" i="3"/>
  <c r="AV38" i="3"/>
  <c r="AD41" i="3"/>
  <c r="AE41" i="3" s="1"/>
  <c r="AC41" i="3"/>
  <c r="AV41" i="3"/>
  <c r="AA44" i="3"/>
  <c r="AW44" i="3"/>
  <c r="AB44" i="3"/>
  <c r="AD40" i="3"/>
  <c r="AE40" i="3" s="1"/>
  <c r="AC40" i="3"/>
  <c r="AV40" i="3"/>
  <c r="AD43" i="3"/>
  <c r="AE43" i="3" s="1"/>
  <c r="AC43" i="3"/>
  <c r="AV43" i="3"/>
  <c r="AD39" i="3"/>
  <c r="AE39" i="3" s="1"/>
  <c r="AC39" i="3"/>
  <c r="AV39" i="3"/>
  <c r="R81" i="5"/>
  <c r="T81" i="5"/>
  <c r="R85" i="5"/>
  <c r="T85" i="5"/>
  <c r="R89" i="5"/>
  <c r="T89" i="5"/>
  <c r="T84" i="5"/>
  <c r="R84" i="5"/>
  <c r="T88" i="5"/>
  <c r="R88" i="5"/>
  <c r="R83" i="5"/>
  <c r="T83" i="5"/>
  <c r="R87" i="5"/>
  <c r="T87" i="5"/>
  <c r="T82" i="5"/>
  <c r="R82" i="5"/>
  <c r="T86" i="5"/>
  <c r="R86" i="5"/>
  <c r="N38" i="3"/>
  <c r="P38" i="3"/>
  <c r="N45" i="3"/>
  <c r="P45" i="3"/>
  <c r="N43" i="3"/>
  <c r="P43" i="3"/>
  <c r="N41" i="3"/>
  <c r="P41" i="3"/>
  <c r="N39" i="3"/>
  <c r="P39" i="3"/>
  <c r="N46" i="3"/>
  <c r="P46" i="3"/>
  <c r="N44" i="3"/>
  <c r="P44" i="3"/>
  <c r="N42" i="3"/>
  <c r="P42" i="3"/>
  <c r="N40" i="3"/>
  <c r="P40" i="3"/>
  <c r="S27" i="3"/>
  <c r="V35" i="3"/>
  <c r="AU35" i="3" s="1"/>
  <c r="V33" i="3"/>
  <c r="AU33" i="3" s="1"/>
  <c r="V31" i="3"/>
  <c r="AU31" i="3" s="1"/>
  <c r="S29" i="3"/>
  <c r="V36" i="3"/>
  <c r="AU36" i="3" s="1"/>
  <c r="V34" i="3"/>
  <c r="AU34" i="3" s="1"/>
  <c r="V32" i="3"/>
  <c r="AU32" i="3" s="1"/>
  <c r="S30" i="3"/>
  <c r="S28" i="3"/>
  <c r="L35" i="3"/>
  <c r="L33" i="3"/>
  <c r="Q27" i="3"/>
  <c r="T27" i="3" s="1"/>
  <c r="AC27" i="3" s="1"/>
  <c r="Q35" i="3"/>
  <c r="T35" i="3" s="1"/>
  <c r="AW35" i="3" s="1"/>
  <c r="Q33" i="3"/>
  <c r="T33" i="3" s="1"/>
  <c r="Q31" i="3"/>
  <c r="T31" i="3" s="1"/>
  <c r="Q29" i="3"/>
  <c r="T29" i="3" s="1"/>
  <c r="S35" i="3"/>
  <c r="S33" i="3"/>
  <c r="S31" i="3"/>
  <c r="L36" i="3"/>
  <c r="L34" i="3"/>
  <c r="Q36" i="3"/>
  <c r="T36" i="3" s="1"/>
  <c r="Q34" i="3"/>
  <c r="T34" i="3" s="1"/>
  <c r="Q32" i="3"/>
  <c r="T32" i="3" s="1"/>
  <c r="Q30" i="3"/>
  <c r="T30" i="3" s="1"/>
  <c r="Q28" i="3"/>
  <c r="T28" i="3" s="1"/>
  <c r="S36" i="3"/>
  <c r="S34" i="3"/>
  <c r="S32" i="3"/>
  <c r="S68" i="4" l="1"/>
  <c r="T68" i="4" s="1"/>
  <c r="AF83" i="5"/>
  <c r="AG83" i="5"/>
  <c r="R68" i="4"/>
  <c r="AE87" i="5"/>
  <c r="AV82" i="5"/>
  <c r="BE82" i="5" s="1"/>
  <c r="AV86" i="5"/>
  <c r="BE86" i="5" s="1"/>
  <c r="AE82" i="5"/>
  <c r="AV89" i="5"/>
  <c r="BE89" i="5" s="1"/>
  <c r="AE85" i="5"/>
  <c r="AV81" i="5"/>
  <c r="BE81" i="5" s="1"/>
  <c r="AE86" i="5"/>
  <c r="AE89" i="5"/>
  <c r="AV85" i="5"/>
  <c r="BE85" i="5" s="1"/>
  <c r="AE81" i="5"/>
  <c r="AE88" i="5"/>
  <c r="AV88" i="5"/>
  <c r="BE88" i="5" s="1"/>
  <c r="AE84" i="5"/>
  <c r="AG84" i="5" s="1"/>
  <c r="AV84" i="5"/>
  <c r="BE84" i="5" s="1"/>
  <c r="AV87" i="5"/>
  <c r="BE87" i="5" s="1"/>
  <c r="AW83" i="5"/>
  <c r="BF83" i="5" s="1"/>
  <c r="AV83" i="5"/>
  <c r="BE83" i="5" s="1"/>
  <c r="T155" i="4"/>
  <c r="R155" i="4"/>
  <c r="T157" i="4"/>
  <c r="R157" i="4"/>
  <c r="T149" i="4"/>
  <c r="R149" i="4"/>
  <c r="T151" i="4"/>
  <c r="R151" i="4"/>
  <c r="T153" i="4"/>
  <c r="R153" i="4"/>
  <c r="T150" i="4"/>
  <c r="R150" i="4"/>
  <c r="T152" i="4"/>
  <c r="R152" i="4"/>
  <c r="T154" i="4"/>
  <c r="R154" i="4"/>
  <c r="T156" i="4"/>
  <c r="R156" i="4"/>
  <c r="T158" i="4"/>
  <c r="R158" i="4"/>
  <c r="BA24" i="3"/>
  <c r="AM43" i="3"/>
  <c r="AK43" i="3"/>
  <c r="AY43" i="3" s="1"/>
  <c r="AK38" i="3"/>
  <c r="AN38" i="3" s="1"/>
  <c r="AM38" i="3"/>
  <c r="AM39" i="3"/>
  <c r="AK39" i="3"/>
  <c r="AY39" i="3" s="1"/>
  <c r="AK40" i="3"/>
  <c r="AN40" i="3" s="1"/>
  <c r="AM40" i="3"/>
  <c r="AM41" i="3"/>
  <c r="AK41" i="3"/>
  <c r="AY41" i="3" s="1"/>
  <c r="AK42" i="3"/>
  <c r="AN42" i="3" s="1"/>
  <c r="AM42" i="3"/>
  <c r="AQ22" i="3"/>
  <c r="AO22" i="3"/>
  <c r="AQ23" i="3"/>
  <c r="AO23" i="3"/>
  <c r="AQ24" i="3"/>
  <c r="AO24" i="3"/>
  <c r="AX38" i="3"/>
  <c r="AV30" i="3"/>
  <c r="AD30" i="3"/>
  <c r="AE30" i="3" s="1"/>
  <c r="AC30" i="3"/>
  <c r="AW34" i="3"/>
  <c r="AB34" i="3"/>
  <c r="AA34" i="3"/>
  <c r="AV31" i="3"/>
  <c r="AD31" i="3"/>
  <c r="AE31" i="3" s="1"/>
  <c r="AC31" i="3"/>
  <c r="AB35" i="3"/>
  <c r="AA35" i="3"/>
  <c r="AX43" i="3"/>
  <c r="AD44" i="3"/>
  <c r="AX44" i="3" s="1"/>
  <c r="AC44" i="3"/>
  <c r="AX41" i="3"/>
  <c r="AX42" i="3"/>
  <c r="AV28" i="3"/>
  <c r="AD28" i="3"/>
  <c r="AE28" i="3" s="1"/>
  <c r="AC28" i="3"/>
  <c r="AV32" i="3"/>
  <c r="AD32" i="3"/>
  <c r="AE32" i="3" s="1"/>
  <c r="AC32" i="3"/>
  <c r="AB36" i="3"/>
  <c r="AW36" i="3"/>
  <c r="AA36" i="3"/>
  <c r="AV29" i="3"/>
  <c r="AD29" i="3"/>
  <c r="AC29" i="3"/>
  <c r="AV33" i="3"/>
  <c r="AD33" i="3"/>
  <c r="AE33" i="3" s="1"/>
  <c r="AC33" i="3"/>
  <c r="AV27" i="3"/>
  <c r="AD27" i="3"/>
  <c r="AE27" i="3" s="1"/>
  <c r="AX39" i="3"/>
  <c r="AX40" i="3"/>
  <c r="AD46" i="3"/>
  <c r="AX46" i="3" s="1"/>
  <c r="AC46" i="3"/>
  <c r="AC45" i="3"/>
  <c r="AD45" i="3"/>
  <c r="AX45" i="3" s="1"/>
  <c r="P36" i="3"/>
  <c r="N36" i="3"/>
  <c r="P35" i="3"/>
  <c r="N35" i="3"/>
  <c r="P34" i="3"/>
  <c r="N34" i="3"/>
  <c r="P33" i="3"/>
  <c r="N33" i="3"/>
  <c r="AI68" i="4" l="1"/>
  <c r="AQ68" i="4" s="1"/>
  <c r="V68" i="4"/>
  <c r="AJ68" i="4" s="1"/>
  <c r="AR68" i="4" s="1"/>
  <c r="X68" i="4"/>
  <c r="AF89" i="5"/>
  <c r="AG89" i="5"/>
  <c r="AG87" i="5"/>
  <c r="AF87" i="5"/>
  <c r="AG86" i="5"/>
  <c r="AW86" i="5" s="1"/>
  <c r="BF86" i="5" s="1"/>
  <c r="AF86" i="5"/>
  <c r="AF85" i="5"/>
  <c r="AG85" i="5"/>
  <c r="AH85" i="5" s="1"/>
  <c r="AJ85" i="5" s="1"/>
  <c r="AF81" i="5"/>
  <c r="AG81" i="5"/>
  <c r="AG88" i="5"/>
  <c r="AF88" i="5"/>
  <c r="AG82" i="5"/>
  <c r="AW82" i="5" s="1"/>
  <c r="BF82" i="5" s="1"/>
  <c r="AF82" i="5"/>
  <c r="AI152" i="4"/>
  <c r="AQ152" i="4" s="1"/>
  <c r="V152" i="4"/>
  <c r="AJ152" i="4" s="1"/>
  <c r="AR152" i="4" s="1"/>
  <c r="AI149" i="4"/>
  <c r="V149" i="4"/>
  <c r="Z149" i="4" s="1"/>
  <c r="AI158" i="4"/>
  <c r="AQ158" i="4" s="1"/>
  <c r="V158" i="4"/>
  <c r="Z158" i="4" s="1"/>
  <c r="AI150" i="4"/>
  <c r="AQ150" i="4" s="1"/>
  <c r="V150" i="4"/>
  <c r="Z150" i="4" s="1"/>
  <c r="AI157" i="4"/>
  <c r="AQ157" i="4" s="1"/>
  <c r="V157" i="4"/>
  <c r="Z157" i="4" s="1"/>
  <c r="AI156" i="4"/>
  <c r="AQ156" i="4" s="1"/>
  <c r="V156" i="4"/>
  <c r="AJ156" i="4" s="1"/>
  <c r="AR156" i="4" s="1"/>
  <c r="AI153" i="4"/>
  <c r="AQ153" i="4" s="1"/>
  <c r="V153" i="4"/>
  <c r="Z153" i="4" s="1"/>
  <c r="AI155" i="4"/>
  <c r="AQ155" i="4" s="1"/>
  <c r="V155" i="4"/>
  <c r="Z155" i="4" s="1"/>
  <c r="AI154" i="4"/>
  <c r="AQ154" i="4" s="1"/>
  <c r="V154" i="4"/>
  <c r="Z154" i="4" s="1"/>
  <c r="AI151" i="4"/>
  <c r="AQ151" i="4" s="1"/>
  <c r="V151" i="4"/>
  <c r="Z151" i="4" s="1"/>
  <c r="AH83" i="5"/>
  <c r="X158" i="4"/>
  <c r="X156" i="4"/>
  <c r="X154" i="4"/>
  <c r="AJ154" i="4"/>
  <c r="AR154" i="4" s="1"/>
  <c r="X152" i="4"/>
  <c r="Z152" i="4"/>
  <c r="X150" i="4"/>
  <c r="X153" i="4"/>
  <c r="X151" i="4"/>
  <c r="X149" i="4"/>
  <c r="AJ149" i="4"/>
  <c r="AR149" i="4" s="1"/>
  <c r="AQ149" i="4"/>
  <c r="X157" i="4"/>
  <c r="AJ157" i="4"/>
  <c r="AR157" i="4" s="1"/>
  <c r="X155" i="4"/>
  <c r="AW81" i="5"/>
  <c r="BF81" i="5" s="1"/>
  <c r="AH89" i="5"/>
  <c r="AJ89" i="5" s="1"/>
  <c r="AW85" i="5"/>
  <c r="BF85" i="5" s="1"/>
  <c r="AW84" i="5"/>
  <c r="BF84" i="5" s="1"/>
  <c r="AF84" i="5"/>
  <c r="AW88" i="5"/>
  <c r="BF88" i="5" s="1"/>
  <c r="AY38" i="3"/>
  <c r="AN43" i="3"/>
  <c r="AP43" i="3" s="1"/>
  <c r="AY42" i="3"/>
  <c r="AN41" i="3"/>
  <c r="AP41" i="3" s="1"/>
  <c r="AY40" i="3"/>
  <c r="AN39" i="3"/>
  <c r="AP39" i="3" s="1"/>
  <c r="AK31" i="3"/>
  <c r="AN31" i="3" s="1"/>
  <c r="AM31" i="3"/>
  <c r="AM30" i="3"/>
  <c r="AK30" i="3"/>
  <c r="AY30" i="3" s="1"/>
  <c r="AP42" i="3"/>
  <c r="AZ42" i="3" s="1"/>
  <c r="AP40" i="3"/>
  <c r="AZ40" i="3" s="1"/>
  <c r="AP38" i="3"/>
  <c r="AZ38" i="3" s="1"/>
  <c r="AK27" i="3"/>
  <c r="AN27" i="3" s="1"/>
  <c r="AM27" i="3"/>
  <c r="AM32" i="3"/>
  <c r="AK32" i="3"/>
  <c r="AY32" i="3" s="1"/>
  <c r="AK33" i="3"/>
  <c r="AN33" i="3" s="1"/>
  <c r="AM33" i="3"/>
  <c r="AM28" i="3"/>
  <c r="AK28" i="3"/>
  <c r="AY28" i="3" s="1"/>
  <c r="AE44" i="3"/>
  <c r="AX28" i="3"/>
  <c r="AX27" i="3"/>
  <c r="AX32" i="3"/>
  <c r="AD34" i="3"/>
  <c r="AE34" i="3" s="1"/>
  <c r="AX33" i="3"/>
  <c r="AX31" i="3"/>
  <c r="AX30" i="3"/>
  <c r="AE46" i="3"/>
  <c r="AE29" i="3"/>
  <c r="AC36" i="3"/>
  <c r="AD36" i="3"/>
  <c r="AE36" i="3" s="1"/>
  <c r="AD35" i="3"/>
  <c r="AX35" i="3" s="1"/>
  <c r="AC35" i="3"/>
  <c r="AC34" i="3"/>
  <c r="AE45" i="3"/>
  <c r="Z68" i="4" l="1"/>
  <c r="AB68" i="4" s="1"/>
  <c r="AA68" i="4" s="1"/>
  <c r="AC68" i="4" s="1"/>
  <c r="AJ151" i="4"/>
  <c r="AR151" i="4" s="1"/>
  <c r="Z156" i="4"/>
  <c r="AJ158" i="4"/>
  <c r="AR158" i="4" s="1"/>
  <c r="AJ153" i="4"/>
  <c r="AR153" i="4" s="1"/>
  <c r="AN85" i="5"/>
  <c r="AX85" i="5"/>
  <c r="BG85" i="5" s="1"/>
  <c r="AL85" i="5"/>
  <c r="AH82" i="5"/>
  <c r="BC38" i="3"/>
  <c r="AJ83" i="5"/>
  <c r="AX83" i="5" s="1"/>
  <c r="BG83" i="5" s="1"/>
  <c r="AJ155" i="4"/>
  <c r="AR155" i="4" s="1"/>
  <c r="AJ150" i="4"/>
  <c r="AR150" i="4" s="1"/>
  <c r="AH87" i="5"/>
  <c r="AJ87" i="5" s="1"/>
  <c r="AW87" i="5"/>
  <c r="BF87" i="5" s="1"/>
  <c r="AH81" i="5"/>
  <c r="AX34" i="3"/>
  <c r="AW89" i="5"/>
  <c r="BF89" i="5" s="1"/>
  <c r="AH84" i="5"/>
  <c r="AH88" i="5"/>
  <c r="AH86" i="5"/>
  <c r="AL83" i="5"/>
  <c r="AB155" i="4"/>
  <c r="AA155" i="4" s="1"/>
  <c r="AC155" i="4" s="1"/>
  <c r="AB157" i="4"/>
  <c r="AA157" i="4" s="1"/>
  <c r="AC157" i="4" s="1"/>
  <c r="AB149" i="4"/>
  <c r="AA149" i="4" s="1"/>
  <c r="AC149" i="4" s="1"/>
  <c r="AB151" i="4"/>
  <c r="AA151" i="4" s="1"/>
  <c r="AC151" i="4" s="1"/>
  <c r="AB153" i="4"/>
  <c r="AA153" i="4" s="1"/>
  <c r="AC153" i="4" s="1"/>
  <c r="AB150" i="4"/>
  <c r="AA150" i="4" s="1"/>
  <c r="AC150" i="4" s="1"/>
  <c r="AB152" i="4"/>
  <c r="AA152" i="4" s="1"/>
  <c r="AC152" i="4" s="1"/>
  <c r="AB154" i="4"/>
  <c r="AA154" i="4" s="1"/>
  <c r="AC154" i="4" s="1"/>
  <c r="AB156" i="4"/>
  <c r="AA156" i="4" s="1"/>
  <c r="AC156" i="4" s="1"/>
  <c r="AB158" i="4"/>
  <c r="AA158" i="4" s="1"/>
  <c r="AC158" i="4" s="1"/>
  <c r="AX89" i="5"/>
  <c r="BG89" i="5" s="1"/>
  <c r="AN89" i="5"/>
  <c r="AL89" i="5"/>
  <c r="AP85" i="5"/>
  <c r="AO85" i="5" s="1"/>
  <c r="AD68" i="4"/>
  <c r="AK68" i="4"/>
  <c r="AY31" i="3"/>
  <c r="AZ39" i="3"/>
  <c r="AQ39" i="3"/>
  <c r="AZ41" i="3"/>
  <c r="BC41" i="3" s="1"/>
  <c r="AO41" i="3"/>
  <c r="AZ43" i="3"/>
  <c r="BC43" i="3" s="1"/>
  <c r="AO43" i="3"/>
  <c r="AO40" i="3"/>
  <c r="AO42" i="3"/>
  <c r="AN32" i="3"/>
  <c r="AP32" i="3" s="1"/>
  <c r="AZ32" i="3" s="1"/>
  <c r="BC32" i="3" s="1"/>
  <c r="AY27" i="3"/>
  <c r="AN30" i="3"/>
  <c r="AP30" i="3" s="1"/>
  <c r="AZ30" i="3" s="1"/>
  <c r="BC30" i="3" s="1"/>
  <c r="AP33" i="3"/>
  <c r="AZ33" i="3" s="1"/>
  <c r="AP27" i="3"/>
  <c r="AZ27" i="3" s="1"/>
  <c r="AP31" i="3"/>
  <c r="AZ31" i="3" s="1"/>
  <c r="AM36" i="3"/>
  <c r="AK36" i="3"/>
  <c r="AY36" i="3" s="1"/>
  <c r="AK29" i="3"/>
  <c r="AN29" i="3" s="1"/>
  <c r="AM29" i="3"/>
  <c r="AM45" i="3"/>
  <c r="AK45" i="3"/>
  <c r="AY45" i="3" s="1"/>
  <c r="AE35" i="3"/>
  <c r="AK46" i="3"/>
  <c r="AN46" i="3" s="1"/>
  <c r="AM46" i="3"/>
  <c r="AM34" i="3"/>
  <c r="AK34" i="3"/>
  <c r="AY34" i="3" s="1"/>
  <c r="AK44" i="3"/>
  <c r="AN44" i="3" s="1"/>
  <c r="AM44" i="3"/>
  <c r="AN28" i="3"/>
  <c r="AY33" i="3"/>
  <c r="AQ38" i="3"/>
  <c r="BC40" i="3"/>
  <c r="BC42" i="3"/>
  <c r="BC39" i="3"/>
  <c r="AO39" i="3"/>
  <c r="AO38" i="3"/>
  <c r="AX36" i="3"/>
  <c r="AX29" i="3"/>
  <c r="AQ40" i="3"/>
  <c r="AQ41" i="3"/>
  <c r="AQ42" i="3"/>
  <c r="AQ43" i="3"/>
  <c r="AL68" i="4" l="1"/>
  <c r="AS68" i="4"/>
  <c r="AJ82" i="5"/>
  <c r="AX82" i="5" s="1"/>
  <c r="BG82" i="5" s="1"/>
  <c r="AL82" i="5"/>
  <c r="BC31" i="3"/>
  <c r="AJ81" i="5"/>
  <c r="AX81" i="5" s="1"/>
  <c r="BG81" i="5" s="1"/>
  <c r="AL86" i="5"/>
  <c r="AJ86" i="5"/>
  <c r="AX86" i="5" s="1"/>
  <c r="BG86" i="5" s="1"/>
  <c r="AL88" i="5"/>
  <c r="AJ88" i="5"/>
  <c r="AX88" i="5" s="1"/>
  <c r="BG88" i="5" s="1"/>
  <c r="AJ84" i="5"/>
  <c r="AX84" i="5" s="1"/>
  <c r="BG84" i="5" s="1"/>
  <c r="AN83" i="5"/>
  <c r="AP83" i="5" s="1"/>
  <c r="AO83" i="5" s="1"/>
  <c r="AL84" i="5"/>
  <c r="AX87" i="5"/>
  <c r="BG87" i="5" s="1"/>
  <c r="AN87" i="5"/>
  <c r="AP87" i="5" s="1"/>
  <c r="AO87" i="5" s="1"/>
  <c r="AL87" i="5"/>
  <c r="AL81" i="5"/>
  <c r="AK149" i="4"/>
  <c r="AK154" i="4"/>
  <c r="AD154" i="4"/>
  <c r="AK150" i="4"/>
  <c r="AD150" i="4"/>
  <c r="AK153" i="4"/>
  <c r="AD153" i="4"/>
  <c r="AD149" i="4"/>
  <c r="AD157" i="4"/>
  <c r="AD158" i="4"/>
  <c r="AK158" i="4"/>
  <c r="AK156" i="4"/>
  <c r="AD156" i="4"/>
  <c r="AK152" i="4"/>
  <c r="AD152" i="4"/>
  <c r="AK151" i="4"/>
  <c r="AD151" i="4"/>
  <c r="AK157" i="4"/>
  <c r="AK155" i="4"/>
  <c r="AD155" i="4"/>
  <c r="AY85" i="5"/>
  <c r="AQ85" i="5"/>
  <c r="AP89" i="5"/>
  <c r="AO89" i="5" s="1"/>
  <c r="AQ33" i="3"/>
  <c r="AY44" i="3"/>
  <c r="BC27" i="3"/>
  <c r="AN45" i="3"/>
  <c r="AP45" i="3" s="1"/>
  <c r="AZ45" i="3" s="1"/>
  <c r="BC45" i="3" s="1"/>
  <c r="AP46" i="3"/>
  <c r="AZ46" i="3" s="1"/>
  <c r="AP29" i="3"/>
  <c r="AZ29" i="3" s="1"/>
  <c r="AP28" i="3"/>
  <c r="AZ28" i="3" s="1"/>
  <c r="BC28" i="3" s="1"/>
  <c r="AP44" i="3"/>
  <c r="AQ44" i="3" s="1"/>
  <c r="AK35" i="3"/>
  <c r="AN35" i="3" s="1"/>
  <c r="AM35" i="3"/>
  <c r="AN34" i="3"/>
  <c r="AY46" i="3"/>
  <c r="AY29" i="3"/>
  <c r="AN36" i="3"/>
  <c r="BC33" i="3"/>
  <c r="AQ31" i="3"/>
  <c r="AQ27" i="3"/>
  <c r="AQ30" i="3"/>
  <c r="AQ32" i="3"/>
  <c r="AO33" i="3"/>
  <c r="AO32" i="3"/>
  <c r="L32" i="3"/>
  <c r="AO31" i="3"/>
  <c r="L31" i="3"/>
  <c r="AO30" i="3"/>
  <c r="L30" i="3"/>
  <c r="L29" i="3"/>
  <c r="L28" i="3"/>
  <c r="AO27" i="3"/>
  <c r="L27" i="3"/>
  <c r="S26" i="3"/>
  <c r="Q26" i="3"/>
  <c r="T26" i="3" s="1"/>
  <c r="L26" i="3"/>
  <c r="AQ83" i="5" l="1"/>
  <c r="AN82" i="5"/>
  <c r="AY83" i="5"/>
  <c r="AZ83" i="5" s="1"/>
  <c r="AN86" i="5"/>
  <c r="AP86" i="5" s="1"/>
  <c r="AO86" i="5" s="1"/>
  <c r="AN81" i="5"/>
  <c r="AP81" i="5" s="1"/>
  <c r="AO81" i="5" s="1"/>
  <c r="AN84" i="5"/>
  <c r="AP84" i="5" s="1"/>
  <c r="AO84" i="5" s="1"/>
  <c r="AN88" i="5"/>
  <c r="AP88" i="5" s="1"/>
  <c r="AO88" i="5" s="1"/>
  <c r="AY87" i="5"/>
  <c r="BH87" i="5" s="1"/>
  <c r="AQ87" i="5"/>
  <c r="AZ85" i="5"/>
  <c r="BH85" i="5"/>
  <c r="BH83" i="5"/>
  <c r="AL155" i="4"/>
  <c r="AS155" i="4"/>
  <c r="AL158" i="4"/>
  <c r="AS158" i="4"/>
  <c r="AL157" i="4"/>
  <c r="AS157" i="4"/>
  <c r="AL151" i="4"/>
  <c r="AS151" i="4"/>
  <c r="AL152" i="4"/>
  <c r="AS152" i="4"/>
  <c r="AL156" i="4"/>
  <c r="AS156" i="4"/>
  <c r="AL153" i="4"/>
  <c r="AS153" i="4"/>
  <c r="AL150" i="4"/>
  <c r="AS150" i="4"/>
  <c r="AL154" i="4"/>
  <c r="AS154" i="4"/>
  <c r="AL149" i="4"/>
  <c r="AS149" i="4"/>
  <c r="AQ89" i="5"/>
  <c r="AY81" i="5"/>
  <c r="AQ81" i="5"/>
  <c r="AY86" i="5"/>
  <c r="AY89" i="5"/>
  <c r="AO28" i="3"/>
  <c r="AQ28" i="3"/>
  <c r="AO44" i="3"/>
  <c r="AQ46" i="3"/>
  <c r="BC29" i="3"/>
  <c r="AY35" i="3"/>
  <c r="AP36" i="3"/>
  <c r="AQ36" i="3" s="1"/>
  <c r="AP35" i="3"/>
  <c r="AQ35" i="3" s="1"/>
  <c r="AP34" i="3"/>
  <c r="AQ34" i="3" s="1"/>
  <c r="AZ44" i="3"/>
  <c r="BC44" i="3" s="1"/>
  <c r="BC46" i="3"/>
  <c r="AO29" i="3"/>
  <c r="AO45" i="3"/>
  <c r="AQ45" i="3"/>
  <c r="AQ29" i="3"/>
  <c r="AO46" i="3"/>
  <c r="AV26" i="3"/>
  <c r="AD26" i="3"/>
  <c r="AE26" i="3" s="1"/>
  <c r="AC26" i="3"/>
  <c r="P26" i="3"/>
  <c r="N26" i="3"/>
  <c r="P27" i="3"/>
  <c r="N27" i="3"/>
  <c r="P28" i="3"/>
  <c r="N28" i="3"/>
  <c r="P29" i="3"/>
  <c r="N29" i="3"/>
  <c r="P30" i="3"/>
  <c r="N30" i="3"/>
  <c r="P31" i="3"/>
  <c r="N31" i="3"/>
  <c r="P32" i="3"/>
  <c r="N32" i="3"/>
  <c r="AQ86" i="5" l="1"/>
  <c r="AP82" i="5"/>
  <c r="AO82" i="5" s="1"/>
  <c r="AZ87" i="5"/>
  <c r="AY88" i="5"/>
  <c r="AY84" i="5"/>
  <c r="AZ84" i="5" s="1"/>
  <c r="AQ84" i="5"/>
  <c r="AQ88" i="5"/>
  <c r="AZ81" i="5"/>
  <c r="BH81" i="5"/>
  <c r="AZ86" i="5"/>
  <c r="BH86" i="5"/>
  <c r="AZ89" i="5"/>
  <c r="BH89" i="5"/>
  <c r="AO36" i="3"/>
  <c r="AZ88" i="5"/>
  <c r="BH88" i="5"/>
  <c r="AO35" i="3"/>
  <c r="AO34" i="3"/>
  <c r="AM26" i="3"/>
  <c r="AK26" i="3"/>
  <c r="AY26" i="3" s="1"/>
  <c r="AZ34" i="3"/>
  <c r="BC34" i="3" s="1"/>
  <c r="AZ35" i="3"/>
  <c r="BC35" i="3" s="1"/>
  <c r="AZ36" i="3"/>
  <c r="BC36" i="3" s="1"/>
  <c r="AX26" i="3"/>
  <c r="AY82" i="5" l="1"/>
  <c r="AQ82" i="5"/>
  <c r="BH82" i="5"/>
  <c r="AZ82" i="5"/>
  <c r="BH84" i="5"/>
  <c r="AN26" i="3"/>
  <c r="AP26" i="3" l="1"/>
  <c r="AQ26" i="3" s="1"/>
  <c r="AO26" i="3" l="1"/>
  <c r="AZ26" i="3"/>
  <c r="BC26" i="3" s="1"/>
</calcChain>
</file>

<file path=xl/sharedStrings.xml><?xml version="1.0" encoding="utf-8"?>
<sst xmlns="http://schemas.openxmlformats.org/spreadsheetml/2006/main" count="3096" uniqueCount="296">
  <si>
    <t>Номинальное напряжение, кВ</t>
  </si>
  <si>
    <t>Расчет-</t>
  </si>
  <si>
    <t>ная</t>
  </si>
  <si>
    <t>масса</t>
  </si>
  <si>
    <t>кабеля,</t>
  </si>
  <si>
    <t xml:space="preserve"> кг/км</t>
  </si>
  <si>
    <t>Число  жил</t>
  </si>
  <si>
    <t>Наименование</t>
  </si>
  <si>
    <t>Изоляция</t>
  </si>
  <si>
    <t xml:space="preserve">Расход  материалов </t>
  </si>
  <si>
    <t xml:space="preserve"> (без учета отходов), кг/км</t>
  </si>
  <si>
    <t>кабеля</t>
  </si>
  <si>
    <r>
      <t>Сечение, мм</t>
    </r>
    <r>
      <rPr>
        <vertAlign val="superscript"/>
        <sz val="10"/>
        <rFont val="Times New Roman"/>
        <family val="1"/>
      </rPr>
      <t>2</t>
    </r>
  </si>
  <si>
    <t>миний</t>
  </si>
  <si>
    <t>Алю-</t>
  </si>
  <si>
    <t>Вводится впервые</t>
  </si>
  <si>
    <t>Сектор</t>
  </si>
  <si>
    <t>Медь</t>
  </si>
  <si>
    <t>-</t>
  </si>
  <si>
    <t>ТНПА</t>
  </si>
  <si>
    <t>Кабели, не распространяющие горение, с низким дымо-и газовыделением</t>
  </si>
  <si>
    <t>Радиальная толщина внутренней оболочки,
мм</t>
  </si>
  <si>
    <t xml:space="preserve">Номи-
нальный размер по внутренней оболочке, мм   </t>
  </si>
  <si>
    <r>
      <t>Сечение, мм</t>
    </r>
    <r>
      <rPr>
        <vertAlign val="superscript"/>
        <sz val="11"/>
        <rFont val="Times New Roman"/>
        <family val="1"/>
        <charset val="204"/>
      </rPr>
      <t>2</t>
    </r>
  </si>
  <si>
    <t>Число жил, шт</t>
  </si>
  <si>
    <t>Число  жил, шт.</t>
  </si>
  <si>
    <t>1,5; 2,5; 4; 5; 6; 10; 16; 25; 35; 50</t>
  </si>
  <si>
    <t>Число и диаметр проволок в жиле, мм</t>
  </si>
  <si>
    <t>Диаметр по скрутке изоли- рованных жил, мм</t>
  </si>
  <si>
    <t>Диаметр корделя, мм</t>
  </si>
  <si>
    <t>Расход материалов (без учёта отходов), кг/км</t>
  </si>
  <si>
    <t>радиальная толщина, мм</t>
  </si>
  <si>
    <t>наружные размеры, мм</t>
  </si>
  <si>
    <t>Кордель</t>
  </si>
  <si>
    <t>мини- мальная</t>
  </si>
  <si>
    <t>номи- нальная</t>
  </si>
  <si>
    <t>мини- мальный</t>
  </si>
  <si>
    <t>номи- нальный</t>
  </si>
  <si>
    <t>номи-нальная</t>
  </si>
  <si>
    <t>номинальный</t>
  </si>
  <si>
    <t>×</t>
  </si>
  <si>
    <t>Кабели, не распостроняющие горение, с низким дымо-и газовыделением.</t>
  </si>
  <si>
    <t>2; 3; 4; 5</t>
  </si>
  <si>
    <t>Диаметр по скрутке уплотненной токопрово-дящей жилы, мм</t>
  </si>
  <si>
    <r>
      <t>Число жил и сечение, мм</t>
    </r>
    <r>
      <rPr>
        <vertAlign val="superscript"/>
        <sz val="10"/>
        <rFont val="Times New Roman"/>
        <family val="1"/>
        <charset val="204"/>
      </rPr>
      <t>2</t>
    </r>
  </si>
  <si>
    <t>1; 2; 3; 4; 5</t>
  </si>
  <si>
    <t>Число жил и номинальное сечение, мм2</t>
  </si>
  <si>
    <t>Высота сектора, мм</t>
  </si>
  <si>
    <t>Ширина сектора, мм</t>
  </si>
  <si>
    <t>Радиальная толщина, мм</t>
  </si>
  <si>
    <t>минимальная</t>
  </si>
  <si>
    <t>номинальная</t>
  </si>
  <si>
    <t>Наружные размеры сектора, мм</t>
  </si>
  <si>
    <t>минимальный</t>
  </si>
  <si>
    <t>r</t>
  </si>
  <si>
    <t>Прорисованное сечение, мм</t>
  </si>
  <si>
    <t>Периметр, мм</t>
  </si>
  <si>
    <t>Расчетный диаметр по скрутке, мм</t>
  </si>
  <si>
    <t>Кордель, мм</t>
  </si>
  <si>
    <t>количество лент</t>
  </si>
  <si>
    <r>
      <t>толщина</t>
    </r>
    <r>
      <rPr>
        <sz val="11"/>
        <rFont val="Times New Roman"/>
        <family val="1"/>
        <charset val="204"/>
      </rPr>
      <t>×</t>
    </r>
    <r>
      <rPr>
        <sz val="11"/>
        <rFont val="Times New Roman"/>
        <family val="1"/>
      </rPr>
      <t>ширина, мм</t>
    </r>
  </si>
  <si>
    <t>номинальный наружный размер, мм</t>
  </si>
  <si>
    <t>Радиальная толщина оболочки, мм</t>
  </si>
  <si>
    <t>Наружный диаметр кабеля, мм</t>
  </si>
  <si>
    <t>25; 35; 50</t>
  </si>
  <si>
    <t>алюмин</t>
  </si>
  <si>
    <t>изоляция</t>
  </si>
  <si>
    <t>кордель</t>
  </si>
  <si>
    <t>внутр. оболоч.</t>
  </si>
  <si>
    <t>наруж. обол.</t>
  </si>
  <si>
    <t>масса кабеля</t>
  </si>
  <si>
    <t xml:space="preserve">Расчётная масса кабеля </t>
  </si>
  <si>
    <t>25; 35; 50; 70; 95; 120; 150; 185; 240; 300</t>
  </si>
  <si>
    <r>
      <t>Фактическое сечение жилы, мм</t>
    </r>
    <r>
      <rPr>
        <vertAlign val="superscript"/>
        <sz val="11"/>
        <rFont val="Times New Roman"/>
        <family val="1"/>
        <charset val="204"/>
      </rPr>
      <t>2</t>
    </r>
  </si>
  <si>
    <t>ТУ 16-705.499-2010</t>
  </si>
  <si>
    <t>Изоляция из ПВХ пластиката марки И40-13А</t>
  </si>
  <si>
    <t>Внутренняя оболочка из ПВХ пластиката марки ОМ-40</t>
  </si>
  <si>
    <t>Изоляция И40-13А</t>
  </si>
  <si>
    <t>Внутренняя оболочка ОМ-40</t>
  </si>
  <si>
    <t>плотность изоляции</t>
  </si>
  <si>
    <t>плотность оболочки</t>
  </si>
  <si>
    <t>плотность вн. обол.</t>
  </si>
  <si>
    <t>Изоляция ПВХ И40-13А</t>
  </si>
  <si>
    <t>Внутрен-
няя оболочка ПВХ ОМ-40</t>
  </si>
  <si>
    <t>Нить полиэстерная, шт</t>
  </si>
  <si>
    <t>нить полиэстерная</t>
  </si>
  <si>
    <t>Кф ПВХ</t>
  </si>
  <si>
    <t>Фактическое сечение жил</t>
  </si>
  <si>
    <t>нить полиэстерная, шт</t>
  </si>
  <si>
    <t>Внутрен-
няя оболочка ОМ-40</t>
  </si>
  <si>
    <t>Лента ПЭТ</t>
  </si>
  <si>
    <t>Количество лент</t>
  </si>
  <si>
    <t>лента ПЭТ</t>
  </si>
  <si>
    <t>толщина×ширина, мм</t>
  </si>
  <si>
    <t>Броня из стальных оцинкованных лент</t>
  </si>
  <si>
    <t>диаметр по броне</t>
  </si>
  <si>
    <t>Шланг ОМ-40</t>
  </si>
  <si>
    <t>ВБШв, АВБШв с круглыми жилами</t>
  </si>
  <si>
    <t>ВБШв</t>
  </si>
  <si>
    <t>АВБШв</t>
  </si>
  <si>
    <t>ВБШв, АВБШв</t>
  </si>
  <si>
    <t>ВБШв многопроволочные жилы</t>
  </si>
  <si>
    <t>АВБШв многопроволочные жилы</t>
  </si>
  <si>
    <t>АВБШв однопроволочные жилы</t>
  </si>
  <si>
    <t>Шланг ПВХ ОМ-40</t>
  </si>
  <si>
    <t>Бронелента</t>
  </si>
  <si>
    <t>Радиальная толщина защитного шланга, мм</t>
  </si>
  <si>
    <t>ВБШв, АВБШв круглыми жилами</t>
  </si>
  <si>
    <t>Защитный шланг из ПВХ пластиката марки ОМ-40</t>
  </si>
  <si>
    <t>Броня из стальных оцинкованных лкент</t>
  </si>
  <si>
    <t>броня</t>
  </si>
  <si>
    <t>метал</t>
  </si>
  <si>
    <t>изол</t>
  </si>
  <si>
    <t>корд</t>
  </si>
  <si>
    <t>внут</t>
  </si>
  <si>
    <t>брон</t>
  </si>
  <si>
    <t>обол</t>
  </si>
  <si>
    <t>ал</t>
  </si>
  <si>
    <t>мед</t>
  </si>
  <si>
    <t>нить</t>
  </si>
  <si>
    <t>пэт</t>
  </si>
  <si>
    <t>обл</t>
  </si>
  <si>
    <t>Код МЦ</t>
  </si>
  <si>
    <t>Алюминий</t>
  </si>
  <si>
    <t>Одножильные бронированные кабели предназначены только для эксплуатации в сетях постоянного напряжения.</t>
  </si>
  <si>
    <t>мин.</t>
  </si>
  <si>
    <t>ном.</t>
  </si>
  <si>
    <t>Наружный размер жилы, мм</t>
  </si>
  <si>
    <t>Внутренняя оболочка</t>
  </si>
  <si>
    <t>кол., шт.</t>
  </si>
  <si>
    <t>величина зазора, %</t>
  </si>
  <si>
    <t>Защитный шланг</t>
  </si>
  <si>
    <t>Кабельный пластикат И40-13А</t>
  </si>
  <si>
    <t>Кабельный пластикат ПВХ (втор. перераб.)</t>
  </si>
  <si>
    <t>Кабельный пластикат ОМ-40</t>
  </si>
  <si>
    <t>Фактическое сечение, мм²</t>
  </si>
  <si>
    <t>Лента оцинкованная</t>
  </si>
  <si>
    <t>ВБШв (мс)</t>
  </si>
  <si>
    <r>
      <t>Фактическое сечение, мм</t>
    </r>
    <r>
      <rPr>
        <sz val="11"/>
        <rFont val="Arial"/>
        <family val="2"/>
        <charset val="204"/>
      </rPr>
      <t>²</t>
    </r>
  </si>
  <si>
    <t>Диаметр корделя, мм.</t>
  </si>
  <si>
    <t>Величина перекрытия, %</t>
  </si>
  <si>
    <t>Наружный размер, мм</t>
  </si>
  <si>
    <t>Стальных оцинкованных лент</t>
  </si>
  <si>
    <t>толщина ленты, мм</t>
  </si>
  <si>
    <t>ширина ленты, мм</t>
  </si>
  <si>
    <t>диаметр кабеля по броне, мм</t>
  </si>
  <si>
    <t>Al</t>
  </si>
  <si>
    <t>Cu</t>
  </si>
  <si>
    <t>Расчётная масса кабеля, кг/км</t>
  </si>
  <si>
    <t>Расчётный диаметр по скрутке, мм</t>
  </si>
  <si>
    <t>Марка кабеля</t>
  </si>
  <si>
    <t>мс</t>
  </si>
  <si>
    <t xml:space="preserve"> (без учёта отходов), кг/км</t>
  </si>
  <si>
    <t>ок</t>
  </si>
  <si>
    <t>мк</t>
  </si>
  <si>
    <t>4,41</t>
  </si>
  <si>
    <t>5,54</t>
  </si>
  <si>
    <t>6,51</t>
  </si>
  <si>
    <t>7,58</t>
  </si>
  <si>
    <t>9,11</t>
  </si>
  <si>
    <t xml:space="preserve">Материал жилы.
</t>
  </si>
  <si>
    <t>Данные жилы</t>
  </si>
  <si>
    <t>Ном. наружный размер, мм.</t>
  </si>
  <si>
    <t/>
  </si>
  <si>
    <t>а</t>
  </si>
  <si>
    <t>Номинальное сечение жилы, мм²</t>
  </si>
  <si>
    <t>Номинальная толщина изоляции, мм</t>
  </si>
  <si>
    <t>ПВХ</t>
  </si>
  <si>
    <t>ПЭ</t>
  </si>
  <si>
    <t>Диаметр кабеля под оболочкой, мм</t>
  </si>
  <si>
    <t>Номинальная толщина оболочки, мм.</t>
  </si>
  <si>
    <t>&gt;</t>
  </si>
  <si>
    <t>&lt;=</t>
  </si>
  <si>
    <t>ож</t>
  </si>
  <si>
    <t>мж</t>
  </si>
  <si>
    <t>по броне</t>
  </si>
  <si>
    <t>по броне ПВХ</t>
  </si>
  <si>
    <t>по броне ПЭ</t>
  </si>
  <si>
    <t>Кабельный пластикат НГП 30-32</t>
  </si>
  <si>
    <t>Кабельный пластикат НГП (втор. перераб.)</t>
  </si>
  <si>
    <t>Обп-2</t>
  </si>
  <si>
    <t>Нить п/э</t>
  </si>
  <si>
    <t>Экран из медных лент</t>
  </si>
  <si>
    <t>ном. наружный размер, мм</t>
  </si>
  <si>
    <t>кол. лент, шт</t>
  </si>
  <si>
    <r>
      <t xml:space="preserve">толщина </t>
    </r>
    <r>
      <rPr>
        <sz val="10"/>
        <rFont val="Times New Roman"/>
        <family val="1"/>
        <charset val="204"/>
      </rPr>
      <t xml:space="preserve">× </t>
    </r>
    <r>
      <rPr>
        <sz val="10"/>
        <rFont val="Times New Roman"/>
        <family val="1"/>
      </rPr>
      <t>ширина, мм</t>
    </r>
  </si>
  <si>
    <t>перекрытие, %</t>
  </si>
  <si>
    <t>Медная лента</t>
  </si>
  <si>
    <t>Нить п/э техническая многокруточная структуры 111 текс х2х3</t>
  </si>
  <si>
    <t>толщина, мм.</t>
  </si>
  <si>
    <t>ширина, мм.</t>
  </si>
  <si>
    <t>величина перекрытия, %</t>
  </si>
  <si>
    <t>диаметр по ленте, мм.</t>
  </si>
  <si>
    <t>ЛЭС</t>
  </si>
  <si>
    <t>Стеклолента ЛЭС</t>
  </si>
  <si>
    <t xml:space="preserve">Обмотка сердечника полотном иглопробивным термоскрепленым </t>
  </si>
  <si>
    <t>Обмотка лентой ПВХ</t>
  </si>
  <si>
    <t>Обмотка лентой ПЭ</t>
  </si>
  <si>
    <r>
      <t xml:space="preserve">толщина </t>
    </r>
    <r>
      <rPr>
        <sz val="10"/>
        <rFont val="Times New Roman"/>
        <family val="1"/>
        <charset val="204"/>
      </rPr>
      <t>×</t>
    </r>
    <r>
      <rPr>
        <sz val="10"/>
        <rFont val="Times New Roman"/>
        <family val="1"/>
      </rPr>
      <t xml:space="preserve"> ширина, мм</t>
    </r>
  </si>
  <si>
    <t>наружный размер, мм</t>
  </si>
  <si>
    <t>Лента ПВХ</t>
  </si>
  <si>
    <t>Лента ПЭ</t>
  </si>
  <si>
    <t>Полотно иглопробивное термоскрепленое</t>
  </si>
  <si>
    <t>ГОСТ 16442-80</t>
  </si>
  <si>
    <t>Заготовка опрессованная</t>
  </si>
  <si>
    <t>Заготовка скрученная</t>
  </si>
  <si>
    <t>Кабель опрессованный</t>
  </si>
  <si>
    <t>Волочение проволоки</t>
  </si>
  <si>
    <t>Скрутка жилы</t>
  </si>
  <si>
    <t>Диаметр круглой жилы, мм</t>
  </si>
  <si>
    <t>ВВГ</t>
  </si>
  <si>
    <t>Кордель выпрессованный</t>
  </si>
  <si>
    <t>Тип жилы</t>
  </si>
  <si>
    <t>Т</t>
  </si>
  <si>
    <t>Т - стобец в котором данные взяты из ТНПА ---&gt;</t>
  </si>
  <si>
    <t>ПВХ изоляция</t>
  </si>
  <si>
    <t>ПВХ оболочка</t>
  </si>
  <si>
    <t>Кабельный пластикат И40-13</t>
  </si>
  <si>
    <t>Кабельный пластикат М-10</t>
  </si>
  <si>
    <t>Cable compaund PVC 1235</t>
  </si>
  <si>
    <t>Расход материалов, кг/км</t>
  </si>
  <si>
    <t>Катанка алюминиевая А1</t>
  </si>
  <si>
    <t>Катанка алюминиевая А2</t>
  </si>
  <si>
    <t>Катанка медная М-01</t>
  </si>
  <si>
    <t>Катанка медная М-101</t>
  </si>
  <si>
    <t>(1, 1, '1'),</t>
  </si>
  <si>
    <t>(1, 1, 5, 0.6, 0.4, NULL, NULL),</t>
  </si>
  <si>
    <t>(1, 1, 3, NULL, NULL, NULL, '0,66'),</t>
  </si>
  <si>
    <t>(1, 1, 1, NULL, NULL, NULL, '1'),</t>
  </si>
  <si>
    <t>(1, 1, 9, NULL, NULL, NULL, 'поливинилхлоридный'),</t>
  </si>
  <si>
    <t>("line_number", "id_parameters_vs_table", "id_parameter", "value_nominal", "value_minimum", "value_maximum", "value_text")</t>
  </si>
  <si>
    <t>0.7</t>
  </si>
  <si>
    <t>0.9</t>
  </si>
  <si>
    <t>1.1</t>
  </si>
  <si>
    <t>0.4</t>
  </si>
  <si>
    <t>0.5</t>
  </si>
  <si>
    <t>3</t>
  </si>
  <si>
    <t>min</t>
  </si>
  <si>
    <t>max</t>
  </si>
  <si>
    <t>("id"</t>
  </si>
  <si>
    <t>id_type_of_material_value</t>
  </si>
  <si>
    <t>id_technological_stage</t>
  </si>
  <si>
    <t>name</t>
  </si>
  <si>
    <t>id_technical_normative_legal_act</t>
  </si>
  <si>
    <t>id_conductor_metal</t>
  </si>
  <si>
    <t>id_ number_of_conductors</t>
  </si>
  <si>
    <t>id_nominal_cross_section</t>
  </si>
  <si>
    <t>id_type_material</t>
  </si>
  <si>
    <t>id_rated_voltage</t>
  </si>
  <si>
    <t>--(1, 'Готовая продукция'),</t>
  </si>
  <si>
    <t>--(2, 'Полуфабрикаты'),</t>
  </si>
  <si>
    <t>--(1, 'Волочение проволоки'),</t>
  </si>
  <si>
    <t>--(2, 'Скрутка жилы'),</t>
  </si>
  <si>
    <t>--(3, 'Опрессование токопроводящей жилы'),</t>
  </si>
  <si>
    <t>--(4, 'Скрутка опрессованных жил'),</t>
  </si>
  <si>
    <t>--(5, 'Опрессование кабеля');</t>
  </si>
  <si>
    <t>(1, 'ГОСТ 16442-80', 'Кабели силовые с пластмассовой изоляцией', '1980-05-22', '2020-12-31'),</t>
  </si>
  <si>
    <t>(2, 'Техническое соглашение №1"</t>
  </si>
  <si>
    <t>(1, 4, NULL),</t>
  </si>
  <si>
    <t>(2, 4, 'алюминий'),</t>
  </si>
  <si>
    <t>(3, 4, 'алюминиевый сплав'),</t>
  </si>
  <si>
    <t>(4, 4, 'алюмомедь'),</t>
  </si>
  <si>
    <t>(5, 4, 'медь'),</t>
  </si>
  <si>
    <t>(6, 4, 'сталь');</t>
  </si>
  <si>
    <t>(1,2,NULL),</t>
  </si>
  <si>
    <t>(2,2,'1'),</t>
  </si>
  <si>
    <t>(3,2,'2'),</t>
  </si>
  <si>
    <t>(4,2,'3'),</t>
  </si>
  <si>
    <t>(5,2,'4'),</t>
  </si>
  <si>
    <t>(7,1,'4'),</t>
  </si>
  <si>
    <t>(10,1,'16'),</t>
  </si>
  <si>
    <t>(1, 9, NULL),</t>
  </si>
  <si>
    <t>(2, 9, 'поливинилхлоридный'),</t>
  </si>
  <si>
    <t>(3, 9, 'полиэтилен'),</t>
  </si>
  <si>
    <t>(4, 9, 'сшитый полиэтилен');</t>
  </si>
  <si>
    <t>(3, 3, '0,66'),</t>
  </si>
  <si>
    <t>(4, 3, '1'),</t>
  </si>
  <si>
    <t>проволока АТ 2,26</t>
  </si>
  <si>
    <t>Кабель АВВГ 1*4ок - 0,66 ГОСТ 16442-80</t>
  </si>
  <si>
    <t>id_type_conductor</t>
  </si>
  <si>
    <t>(2,2,'ок'),--однопроволочная круглая</t>
  </si>
  <si>
    <t>(3,2,'мк'),--многопроволочная круглая</t>
  </si>
  <si>
    <t>(4,2,'ос'),--однопроволочная секторная</t>
  </si>
  <si>
    <t>(5,2,'мс');--многопроволочная секторная</t>
  </si>
  <si>
    <t>(1, 3, NULL),</t>
  </si>
  <si>
    <t>(2, 3, '0,38'),</t>
  </si>
  <si>
    <t>Кабель ВВГ 4*16 - 1 ГОСТ 16442-80</t>
  </si>
  <si>
    <t>проволока МТ 1,77</t>
  </si>
  <si>
    <t>жила скрученная медная 16мк упл.</t>
  </si>
  <si>
    <t>жила опрессованная АВ 4ок - 0,66 ЧЕР ГОСТ 16442-80</t>
  </si>
  <si>
    <t>жила опрессованная В 16мк - 1 СЕР ГОСТ 16442-80</t>
  </si>
  <si>
    <t>жила опрессованная В 16мк - 1 КОР ГОСТ 16442-80</t>
  </si>
  <si>
    <t>жила опрессованная В 16мк - 1 ЧЕР ГОСТ 16442-80</t>
  </si>
  <si>
    <t>жила опрессованная В 16мк - 1 СИН ГОСТ 16442-80</t>
  </si>
  <si>
    <t>заготовка скрученная В 4х16мк (N) - 1 ГОСТ 16442-80</t>
  </si>
  <si>
    <t>Кабель ВВГ 4х16мк (N) - 1 ГОСТ 16442-80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</si>
</sst>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0.0"/>
    <numFmt numFmtId="166" formatCode="0.000"/>
  </numFmts>
  <fonts count="31" x14ac:knownFonts="1">
    <font>
      <sz val="10"/>
      <name val="Arial Cyr"/>
      <charset val="204"/>
    </font>
    <font>
      <sz val="10"/>
      <name val="Times New Roman"/>
      <family val="1"/>
    </font>
    <font>
      <sz val="9"/>
      <name val="Times New Roman"/>
      <family val="1"/>
    </font>
    <font>
      <vertAlign val="superscript"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name val="Arial Cyr"/>
      <charset val="204"/>
    </font>
    <font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Arial Cyr"/>
      <charset val="204"/>
    </font>
    <font>
      <b/>
      <sz val="11"/>
      <name val="Arial Cyr"/>
      <charset val="204"/>
    </font>
    <font>
      <sz val="10"/>
      <name val="Arial Cyr"/>
      <charset val="204"/>
    </font>
    <font>
      <sz val="8"/>
      <color theme="0" tint="-0.1499984740745262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11"/>
      <name val="Arial"/>
      <family val="2"/>
      <charset val="204"/>
    </font>
    <font>
      <sz val="10"/>
      <color theme="0" tint="-0.14999847407452621"/>
      <name val="Times New Roman"/>
      <family val="1"/>
      <charset val="204"/>
    </font>
    <font>
      <sz val="8"/>
      <color theme="0" tint="-0.14999847407452621"/>
      <name val="Times New Roman"/>
      <family val="1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sz val="8"/>
      <name val="Times New Roman"/>
      <family val="1"/>
    </font>
    <font>
      <sz val="10"/>
      <color theme="5" tint="0.59999389629810485"/>
      <name val="Times New Roman"/>
      <family val="1"/>
      <charset val="204"/>
    </font>
    <font>
      <sz val="10"/>
      <color rgb="FFFFFF00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8" fillId="0" borderId="0" applyFont="0" applyFill="0" applyBorder="0" applyAlignment="0" applyProtection="0"/>
  </cellStyleXfs>
  <cellXfs count="108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4" fillId="0" borderId="32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33" xfId="0" applyFont="1" applyBorder="1" applyAlignment="1">
      <alignment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2" fontId="1" fillId="0" borderId="20" xfId="0" applyNumberFormat="1" applyFont="1" applyFill="1" applyBorder="1" applyAlignment="1">
      <alignment horizontal="center" vertical="center" wrapText="1"/>
    </xf>
    <xf numFmtId="2" fontId="9" fillId="0" borderId="20" xfId="0" applyNumberFormat="1" applyFont="1" applyFill="1" applyBorder="1" applyAlignment="1">
      <alignment horizontal="center" vertical="center"/>
    </xf>
    <xf numFmtId="0" fontId="6" fillId="0" borderId="10" xfId="0" applyFont="1" applyBorder="1"/>
    <xf numFmtId="0" fontId="11" fillId="0" borderId="11" xfId="0" quotePrefix="1" applyFont="1" applyBorder="1" applyAlignment="1">
      <alignment vertical="top"/>
    </xf>
    <xf numFmtId="0" fontId="0" fillId="0" borderId="44" xfId="0" applyBorder="1" applyAlignment="1"/>
    <xf numFmtId="2" fontId="9" fillId="0" borderId="13" xfId="0" applyNumberFormat="1" applyFont="1" applyBorder="1" applyAlignment="1">
      <alignment horizontal="left" vertical="top" wrapText="1"/>
    </xf>
    <xf numFmtId="0" fontId="9" fillId="0" borderId="42" xfId="0" applyNumberFormat="1" applyFont="1" applyBorder="1" applyAlignment="1">
      <alignment horizontal="center" vertical="top" wrapText="1"/>
    </xf>
    <xf numFmtId="2" fontId="0" fillId="0" borderId="0" xfId="0" applyNumberFormat="1"/>
    <xf numFmtId="2" fontId="9" fillId="0" borderId="13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2" fontId="1" fillId="0" borderId="23" xfId="0" applyNumberFormat="1" applyFont="1" applyFill="1" applyBorder="1" applyAlignment="1">
      <alignment horizontal="center" vertical="center" wrapText="1"/>
    </xf>
    <xf numFmtId="2" fontId="9" fillId="0" borderId="76" xfId="0" applyNumberFormat="1" applyFont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left" vertical="top" wrapText="1"/>
    </xf>
    <xf numFmtId="2" fontId="9" fillId="0" borderId="37" xfId="0" applyNumberFormat="1" applyFont="1" applyFill="1" applyBorder="1" applyAlignment="1">
      <alignment horizontal="center" vertical="center" wrapText="1"/>
    </xf>
    <xf numFmtId="0" fontId="16" fillId="0" borderId="77" xfId="0" applyFont="1" applyBorder="1" applyAlignment="1">
      <alignment horizontal="center"/>
    </xf>
    <xf numFmtId="0" fontId="9" fillId="0" borderId="21" xfId="0" applyNumberFormat="1" applyFont="1" applyBorder="1" applyAlignment="1">
      <alignment horizontal="center" vertical="top" wrapText="1"/>
    </xf>
    <xf numFmtId="0" fontId="9" fillId="0" borderId="15" xfId="0" applyNumberFormat="1" applyFont="1" applyFill="1" applyBorder="1" applyAlignment="1">
      <alignment horizontal="center" vertical="top" wrapText="1"/>
    </xf>
    <xf numFmtId="0" fontId="9" fillId="0" borderId="12" xfId="0" applyNumberFormat="1" applyFont="1" applyFill="1" applyBorder="1" applyAlignment="1">
      <alignment horizontal="center" vertical="top" wrapText="1"/>
    </xf>
    <xf numFmtId="2" fontId="9" fillId="0" borderId="13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center" vertical="top" wrapText="1"/>
    </xf>
    <xf numFmtId="0" fontId="9" fillId="0" borderId="42" xfId="0" applyNumberFormat="1" applyFont="1" applyFill="1" applyBorder="1" applyAlignment="1">
      <alignment horizontal="center" vertical="top" wrapText="1"/>
    </xf>
    <xf numFmtId="2" fontId="9" fillId="0" borderId="13" xfId="0" applyNumberFormat="1" applyFont="1" applyFill="1" applyBorder="1" applyAlignment="1">
      <alignment horizontal="center" vertical="top" wrapText="1"/>
    </xf>
    <xf numFmtId="2" fontId="9" fillId="0" borderId="21" xfId="0" applyNumberFormat="1" applyFont="1" applyFill="1" applyBorder="1" applyAlignment="1">
      <alignment horizontal="center" vertical="top" wrapText="1"/>
    </xf>
    <xf numFmtId="2" fontId="9" fillId="0" borderId="23" xfId="0" applyNumberFormat="1" applyFont="1" applyFill="1" applyBorder="1" applyAlignment="1">
      <alignment horizontal="center" vertical="top" wrapText="1"/>
    </xf>
    <xf numFmtId="2" fontId="9" fillId="0" borderId="30" xfId="0" applyNumberFormat="1" applyFont="1" applyFill="1" applyBorder="1" applyAlignment="1">
      <alignment horizontal="center" vertical="top" wrapText="1"/>
    </xf>
    <xf numFmtId="2" fontId="9" fillId="0" borderId="42" xfId="0" applyNumberFormat="1" applyFont="1" applyFill="1" applyBorder="1" applyAlignment="1">
      <alignment horizontal="center" vertical="top" wrapText="1"/>
    </xf>
    <xf numFmtId="2" fontId="9" fillId="0" borderId="39" xfId="0" applyNumberFormat="1" applyFont="1" applyFill="1" applyBorder="1" applyAlignment="1">
      <alignment horizontal="center" vertical="center" wrapText="1"/>
    </xf>
    <xf numFmtId="165" fontId="9" fillId="0" borderId="20" xfId="0" applyNumberFormat="1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center" vertical="center" wrapText="1"/>
    </xf>
    <xf numFmtId="2" fontId="14" fillId="0" borderId="38" xfId="0" applyNumberFormat="1" applyFont="1" applyFill="1" applyBorder="1" applyAlignment="1">
      <alignment horizontal="center" vertical="center" wrapText="1"/>
    </xf>
    <xf numFmtId="0" fontId="14" fillId="0" borderId="37" xfId="0" applyFont="1" applyFill="1" applyBorder="1" applyAlignment="1">
      <alignment horizontal="center" vertical="center" wrapText="1"/>
    </xf>
    <xf numFmtId="2" fontId="14" fillId="0" borderId="37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2" fontId="9" fillId="0" borderId="19" xfId="0" applyNumberFormat="1" applyFont="1" applyFill="1" applyBorder="1" applyAlignment="1">
      <alignment horizontal="center" vertical="center" wrapText="1"/>
    </xf>
    <xf numFmtId="2" fontId="9" fillId="0" borderId="5" xfId="0" applyNumberFormat="1" applyFont="1" applyFill="1" applyBorder="1" applyAlignment="1">
      <alignment horizontal="center" vertical="center" wrapText="1"/>
    </xf>
    <xf numFmtId="0" fontId="9" fillId="0" borderId="42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0" fillId="3" borderId="0" xfId="0" applyFill="1"/>
    <xf numFmtId="0" fontId="17" fillId="0" borderId="0" xfId="0" applyFont="1"/>
    <xf numFmtId="2" fontId="9" fillId="0" borderId="20" xfId="0" applyNumberFormat="1" applyFont="1" applyBorder="1" applyAlignment="1">
      <alignment horizontal="center" vertical="top" wrapText="1"/>
    </xf>
    <xf numFmtId="2" fontId="9" fillId="0" borderId="20" xfId="0" applyNumberFormat="1" applyFont="1" applyBorder="1" applyAlignment="1">
      <alignment horizontal="center" vertical="center" wrapText="1"/>
    </xf>
    <xf numFmtId="2" fontId="9" fillId="0" borderId="22" xfId="0" applyNumberFormat="1" applyFont="1" applyFill="1" applyBorder="1" applyAlignment="1">
      <alignment horizontal="center" vertical="center" wrapText="1"/>
    </xf>
    <xf numFmtId="2" fontId="9" fillId="0" borderId="16" xfId="0" applyNumberFormat="1" applyFont="1" applyFill="1" applyBorder="1" applyAlignment="1">
      <alignment horizontal="center" vertical="center" wrapText="1"/>
    </xf>
    <xf numFmtId="2" fontId="9" fillId="0" borderId="69" xfId="0" applyNumberFormat="1" applyFont="1" applyFill="1" applyBorder="1" applyAlignment="1">
      <alignment horizontal="center" vertical="center" wrapText="1"/>
    </xf>
    <xf numFmtId="2" fontId="9" fillId="0" borderId="20" xfId="0" applyNumberFormat="1" applyFont="1" applyFill="1" applyBorder="1" applyAlignment="1">
      <alignment horizontal="center" vertical="top" wrapText="1"/>
    </xf>
    <xf numFmtId="0" fontId="9" fillId="0" borderId="4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45" xfId="0" applyNumberFormat="1" applyFont="1" applyFill="1" applyBorder="1" applyAlignment="1">
      <alignment horizontal="center" vertical="center" wrapText="1"/>
    </xf>
    <xf numFmtId="0" fontId="9" fillId="0" borderId="40" xfId="0" applyNumberFormat="1" applyFont="1" applyFill="1" applyBorder="1" applyAlignment="1">
      <alignment horizontal="center" vertical="center" wrapText="1"/>
    </xf>
    <xf numFmtId="0" fontId="9" fillId="0" borderId="30" xfId="0" applyNumberFormat="1" applyFont="1" applyFill="1" applyBorder="1" applyAlignment="1">
      <alignment horizontal="center" vertical="center" wrapText="1"/>
    </xf>
    <xf numFmtId="2" fontId="9" fillId="0" borderId="16" xfId="0" applyNumberFormat="1" applyFont="1" applyFill="1" applyBorder="1" applyAlignment="1">
      <alignment horizontal="center" vertical="center"/>
    </xf>
    <xf numFmtId="2" fontId="1" fillId="0" borderId="16" xfId="0" applyNumberFormat="1" applyFont="1" applyFill="1" applyBorder="1" applyAlignment="1">
      <alignment horizontal="center" vertical="center" wrapText="1"/>
    </xf>
    <xf numFmtId="2" fontId="1" fillId="0" borderId="24" xfId="0" applyNumberFormat="1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2" fontId="9" fillId="0" borderId="46" xfId="0" applyNumberFormat="1" applyFont="1" applyFill="1" applyBorder="1" applyAlignment="1">
      <alignment horizontal="center" vertical="center" wrapText="1"/>
    </xf>
    <xf numFmtId="2" fontId="9" fillId="0" borderId="15" xfId="0" applyNumberFormat="1" applyFont="1" applyFill="1" applyBorder="1" applyAlignment="1">
      <alignment horizontal="center" vertical="center" wrapText="1"/>
    </xf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20" xfId="0" applyNumberFormat="1" applyFont="1" applyFill="1" applyBorder="1" applyAlignment="1">
      <alignment horizontal="center" vertical="center"/>
    </xf>
    <xf numFmtId="2" fontId="9" fillId="4" borderId="16" xfId="0" applyNumberFormat="1" applyFont="1" applyFill="1" applyBorder="1" applyAlignment="1">
      <alignment horizontal="center" vertical="center" wrapText="1"/>
    </xf>
    <xf numFmtId="2" fontId="9" fillId="4" borderId="24" xfId="0" applyNumberFormat="1" applyFont="1" applyFill="1" applyBorder="1" applyAlignment="1">
      <alignment horizontal="center" vertical="center" wrapText="1"/>
    </xf>
    <xf numFmtId="0" fontId="0" fillId="5" borderId="11" xfId="0" applyFill="1" applyBorder="1"/>
    <xf numFmtId="0" fontId="0" fillId="5" borderId="31" xfId="0" applyFill="1" applyBorder="1"/>
    <xf numFmtId="0" fontId="0" fillId="5" borderId="44" xfId="0" applyFill="1" applyBorder="1"/>
    <xf numFmtId="0" fontId="0" fillId="2" borderId="0" xfId="0" applyFill="1"/>
    <xf numFmtId="0" fontId="0" fillId="6" borderId="11" xfId="0" applyFill="1" applyBorder="1"/>
    <xf numFmtId="0" fontId="0" fillId="6" borderId="31" xfId="0" applyFill="1" applyBorder="1"/>
    <xf numFmtId="0" fontId="0" fillId="6" borderId="44" xfId="0" applyFill="1" applyBorder="1"/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10" xfId="0" applyNumberFormat="1" applyFont="1" applyFill="1" applyBorder="1" applyAlignment="1">
      <alignment horizontal="center" vertical="center"/>
    </xf>
    <xf numFmtId="2" fontId="9" fillId="4" borderId="16" xfId="0" applyNumberFormat="1" applyFont="1" applyFill="1" applyBorder="1" applyAlignment="1">
      <alignment horizontal="center" vertical="center"/>
    </xf>
    <xf numFmtId="2" fontId="9" fillId="4" borderId="37" xfId="0" applyNumberFormat="1" applyFont="1" applyFill="1" applyBorder="1" applyAlignment="1">
      <alignment horizontal="center" vertical="center" wrapText="1"/>
    </xf>
    <xf numFmtId="0" fontId="9" fillId="4" borderId="30" xfId="0" applyNumberFormat="1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2" fontId="9" fillId="4" borderId="15" xfId="0" applyNumberFormat="1" applyFont="1" applyFill="1" applyBorder="1" applyAlignment="1">
      <alignment horizontal="center" vertical="center" wrapText="1"/>
    </xf>
    <xf numFmtId="2" fontId="9" fillId="4" borderId="36" xfId="0" applyNumberFormat="1" applyFont="1" applyFill="1" applyBorder="1" applyAlignment="1">
      <alignment horizontal="center" vertical="center" wrapText="1"/>
    </xf>
    <xf numFmtId="2" fontId="1" fillId="4" borderId="36" xfId="0" applyNumberFormat="1" applyFont="1" applyFill="1" applyBorder="1" applyAlignment="1">
      <alignment horizontal="center" vertical="center" wrapText="1"/>
    </xf>
    <xf numFmtId="2" fontId="1" fillId="4" borderId="24" xfId="0" applyNumberFormat="1" applyFont="1" applyFill="1" applyBorder="1" applyAlignment="1">
      <alignment horizontal="center" vertical="center" wrapText="1"/>
    </xf>
    <xf numFmtId="2" fontId="9" fillId="4" borderId="39" xfId="0" applyNumberFormat="1" applyFont="1" applyFill="1" applyBorder="1" applyAlignment="1">
      <alignment horizontal="center" vertical="center" wrapText="1"/>
    </xf>
    <xf numFmtId="2" fontId="9" fillId="4" borderId="30" xfId="0" applyNumberFormat="1" applyFont="1" applyFill="1" applyBorder="1" applyAlignment="1">
      <alignment horizontal="center" vertical="center" wrapText="1"/>
    </xf>
    <xf numFmtId="0" fontId="9" fillId="4" borderId="42" xfId="0" applyNumberFormat="1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2" fontId="9" fillId="4" borderId="13" xfId="0" applyNumberFormat="1" applyFont="1" applyFill="1" applyBorder="1" applyAlignment="1">
      <alignment horizontal="center" vertical="center" wrapText="1"/>
    </xf>
    <xf numFmtId="2" fontId="9" fillId="4" borderId="21" xfId="0" applyNumberFormat="1" applyFont="1" applyFill="1" applyBorder="1" applyAlignment="1">
      <alignment horizontal="center" vertical="center" wrapText="1"/>
    </xf>
    <xf numFmtId="2" fontId="1" fillId="4" borderId="21" xfId="0" applyNumberFormat="1" applyFont="1" applyFill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9" fillId="4" borderId="42" xfId="0" applyNumberFormat="1" applyFont="1" applyFill="1" applyBorder="1" applyAlignment="1">
      <alignment horizontal="center" vertical="center" wrapText="1"/>
    </xf>
    <xf numFmtId="2" fontId="1" fillId="4" borderId="23" xfId="0" applyNumberFormat="1" applyFont="1" applyFill="1" applyBorder="1" applyAlignment="1">
      <alignment horizontal="center" vertical="center" wrapText="1"/>
    </xf>
    <xf numFmtId="2" fontId="1" fillId="4" borderId="16" xfId="0" applyNumberFormat="1" applyFont="1" applyFill="1" applyBorder="1" applyAlignment="1">
      <alignment horizontal="center" vertical="center" wrapText="1"/>
    </xf>
    <xf numFmtId="0" fontId="9" fillId="4" borderId="40" xfId="0" applyNumberFormat="1" applyFont="1" applyFill="1" applyBorder="1" applyAlignment="1">
      <alignment horizontal="center" vertical="center" wrapText="1"/>
    </xf>
    <xf numFmtId="0" fontId="9" fillId="4" borderId="46" xfId="0" applyFont="1" applyFill="1" applyBorder="1" applyAlignment="1">
      <alignment horizontal="center" vertical="center" wrapText="1"/>
    </xf>
    <xf numFmtId="2" fontId="9" fillId="4" borderId="46" xfId="0" applyNumberFormat="1" applyFont="1" applyFill="1" applyBorder="1" applyAlignment="1">
      <alignment horizontal="center" vertical="center" wrapText="1"/>
    </xf>
    <xf numFmtId="2" fontId="9" fillId="4" borderId="23" xfId="0" applyNumberFormat="1" applyFont="1" applyFill="1" applyBorder="1" applyAlignment="1">
      <alignment horizontal="center" vertical="center" wrapText="1"/>
    </xf>
    <xf numFmtId="2" fontId="9" fillId="4" borderId="40" xfId="0" applyNumberFormat="1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center" vertical="center" wrapText="1"/>
    </xf>
    <xf numFmtId="2" fontId="14" fillId="4" borderId="38" xfId="0" applyNumberFormat="1" applyFont="1" applyFill="1" applyBorder="1" applyAlignment="1">
      <alignment horizontal="center" vertical="center" wrapText="1"/>
    </xf>
    <xf numFmtId="0" fontId="14" fillId="4" borderId="37" xfId="0" applyFont="1" applyFill="1" applyBorder="1" applyAlignment="1">
      <alignment horizontal="center" vertical="center" wrapText="1"/>
    </xf>
    <xf numFmtId="2" fontId="14" fillId="4" borderId="37" xfId="0" applyNumberFormat="1" applyFont="1" applyFill="1" applyBorder="1" applyAlignment="1">
      <alignment horizontal="center" vertical="center" wrapText="1"/>
    </xf>
    <xf numFmtId="0" fontId="9" fillId="4" borderId="12" xfId="0" applyNumberFormat="1" applyFont="1" applyFill="1" applyBorder="1" applyAlignment="1">
      <alignment horizontal="center" vertical="center" wrapText="1"/>
    </xf>
    <xf numFmtId="0" fontId="9" fillId="4" borderId="49" xfId="0" applyNumberFormat="1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 wrapText="1"/>
    </xf>
    <xf numFmtId="2" fontId="9" fillId="4" borderId="48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4" borderId="25" xfId="0" applyNumberFormat="1" applyFont="1" applyFill="1" applyBorder="1" applyAlignment="1">
      <alignment horizontal="center" vertical="center" wrapText="1"/>
    </xf>
    <xf numFmtId="2" fontId="9" fillId="4" borderId="25" xfId="0" applyNumberFormat="1" applyFont="1" applyFill="1" applyBorder="1" applyAlignment="1">
      <alignment horizontal="center" vertical="center" wrapText="1"/>
    </xf>
    <xf numFmtId="2" fontId="9" fillId="4" borderId="47" xfId="0" applyNumberFormat="1" applyFont="1" applyFill="1" applyBorder="1" applyAlignment="1">
      <alignment horizontal="center" vertical="center" wrapText="1"/>
    </xf>
    <xf numFmtId="2" fontId="9" fillId="4" borderId="26" xfId="0" applyNumberFormat="1" applyFont="1" applyFill="1" applyBorder="1" applyAlignment="1">
      <alignment horizontal="center" vertical="center" wrapText="1"/>
    </xf>
    <xf numFmtId="165" fontId="9" fillId="4" borderId="17" xfId="0" applyNumberFormat="1" applyFont="1" applyFill="1" applyBorder="1" applyAlignment="1">
      <alignment horizontal="center" vertical="center" wrapText="1"/>
    </xf>
    <xf numFmtId="165" fontId="9" fillId="4" borderId="20" xfId="0" applyNumberFormat="1" applyFont="1" applyFill="1" applyBorder="1" applyAlignment="1">
      <alignment horizontal="center" vertical="center" wrapText="1"/>
    </xf>
    <xf numFmtId="165" fontId="9" fillId="4" borderId="16" xfId="0" applyNumberFormat="1" applyFont="1" applyFill="1" applyBorder="1" applyAlignment="1">
      <alignment horizontal="center" vertical="center" wrapText="1"/>
    </xf>
    <xf numFmtId="165" fontId="9" fillId="4" borderId="25" xfId="0" applyNumberFormat="1" applyFont="1" applyFill="1" applyBorder="1" applyAlignment="1">
      <alignment horizontal="center" vertical="center" wrapText="1"/>
    </xf>
    <xf numFmtId="2" fontId="9" fillId="4" borderId="10" xfId="0" applyNumberFormat="1" applyFont="1" applyFill="1" applyBorder="1" applyAlignment="1">
      <alignment horizontal="center" vertical="center" wrapText="1"/>
    </xf>
    <xf numFmtId="165" fontId="9" fillId="4" borderId="0" xfId="0" applyNumberFormat="1" applyFont="1" applyFill="1" applyBorder="1" applyAlignment="1">
      <alignment horizontal="center" vertical="center" wrapText="1"/>
    </xf>
    <xf numFmtId="165" fontId="9" fillId="4" borderId="16" xfId="0" quotePrefix="1" applyNumberFormat="1" applyFont="1" applyFill="1" applyBorder="1" applyAlignment="1">
      <alignment horizontal="center" vertical="center" wrapText="1"/>
    </xf>
    <xf numFmtId="0" fontId="9" fillId="4" borderId="0" xfId="0" applyNumberFormat="1" applyFont="1" applyFill="1" applyBorder="1" applyAlignment="1">
      <alignment horizontal="center" vertical="center" wrapText="1"/>
    </xf>
    <xf numFmtId="0" fontId="9" fillId="4" borderId="20" xfId="0" applyNumberFormat="1" applyFont="1" applyFill="1" applyBorder="1" applyAlignment="1">
      <alignment horizontal="center" vertical="center" wrapText="1"/>
    </xf>
    <xf numFmtId="0" fontId="9" fillId="4" borderId="24" xfId="0" applyNumberFormat="1" applyFont="1" applyFill="1" applyBorder="1" applyAlignment="1">
      <alignment horizontal="center" vertical="center" wrapText="1"/>
    </xf>
    <xf numFmtId="0" fontId="9" fillId="4" borderId="16" xfId="0" applyNumberFormat="1" applyFont="1" applyFill="1" applyBorder="1" applyAlignment="1">
      <alignment horizontal="center" vertical="center" wrapText="1"/>
    </xf>
    <xf numFmtId="0" fontId="9" fillId="4" borderId="25" xfId="0" applyNumberFormat="1" applyFont="1" applyFill="1" applyBorder="1" applyAlignment="1">
      <alignment horizontal="center" vertical="center" wrapText="1"/>
    </xf>
    <xf numFmtId="1" fontId="9" fillId="4" borderId="36" xfId="0" applyNumberFormat="1" applyFont="1" applyFill="1" applyBorder="1" applyAlignment="1">
      <alignment horizontal="center" vertical="center" wrapText="1"/>
    </xf>
    <xf numFmtId="1" fontId="9" fillId="4" borderId="24" xfId="0" applyNumberFormat="1" applyFont="1" applyFill="1" applyBorder="1" applyAlignment="1">
      <alignment horizontal="center" vertical="center" wrapText="1"/>
    </xf>
    <xf numFmtId="1" fontId="9" fillId="4" borderId="16" xfId="0" applyNumberFormat="1" applyFont="1" applyFill="1" applyBorder="1" applyAlignment="1">
      <alignment horizontal="center" vertical="center" wrapText="1"/>
    </xf>
    <xf numFmtId="0" fontId="9" fillId="4" borderId="17" xfId="0" applyNumberFormat="1" applyFont="1" applyFill="1" applyBorder="1" applyAlignment="1">
      <alignment horizontal="center" vertical="center" wrapText="1"/>
    </xf>
    <xf numFmtId="0" fontId="9" fillId="4" borderId="16" xfId="0" quotePrefix="1" applyNumberFormat="1" applyFont="1" applyFill="1" applyBorder="1" applyAlignment="1">
      <alignment horizontal="center" vertical="center" wrapText="1"/>
    </xf>
    <xf numFmtId="0" fontId="9" fillId="4" borderId="4" xfId="0" applyNumberFormat="1" applyFont="1" applyFill="1" applyBorder="1" applyAlignment="1">
      <alignment horizontal="left" vertical="top" wrapText="1"/>
    </xf>
    <xf numFmtId="2" fontId="9" fillId="4" borderId="38" xfId="0" applyNumberFormat="1" applyFont="1" applyFill="1" applyBorder="1" applyAlignment="1">
      <alignment horizontal="center" vertical="center" wrapText="1"/>
    </xf>
    <xf numFmtId="2" fontId="9" fillId="4" borderId="76" xfId="0" applyNumberFormat="1" applyFont="1" applyFill="1" applyBorder="1" applyAlignment="1">
      <alignment horizontal="center" vertical="center" wrapText="1"/>
    </xf>
    <xf numFmtId="2" fontId="9" fillId="4" borderId="20" xfId="0" applyNumberFormat="1" applyFont="1" applyFill="1" applyBorder="1" applyAlignment="1">
      <alignment horizontal="center" vertical="center"/>
    </xf>
    <xf numFmtId="0" fontId="9" fillId="0" borderId="24" xfId="0" applyNumberFormat="1" applyFont="1" applyFill="1" applyBorder="1" applyAlignment="1">
      <alignment horizontal="center" vertical="center" wrapText="1"/>
    </xf>
    <xf numFmtId="0" fontId="9" fillId="0" borderId="16" xfId="0" applyNumberFormat="1" applyFont="1" applyFill="1" applyBorder="1" applyAlignment="1">
      <alignment horizontal="center" vertical="center" wrapText="1"/>
    </xf>
    <xf numFmtId="166" fontId="9" fillId="4" borderId="36" xfId="0" applyNumberFormat="1" applyFont="1" applyFill="1" applyBorder="1" applyAlignment="1">
      <alignment horizontal="center" vertical="center" wrapText="1"/>
    </xf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24" xfId="0" applyNumberFormat="1" applyFont="1" applyFill="1" applyBorder="1" applyAlignment="1">
      <alignment horizontal="center" vertical="center" wrapText="1"/>
    </xf>
    <xf numFmtId="2" fontId="9" fillId="4" borderId="20" xfId="0" applyNumberFormat="1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/>
    </xf>
    <xf numFmtId="0" fontId="11" fillId="0" borderId="5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3" xfId="0" quotePrefix="1" applyFont="1" applyBorder="1" applyAlignment="1">
      <alignment horizontal="center" vertical="top" wrapText="1"/>
    </xf>
    <xf numFmtId="0" fontId="11" fillId="0" borderId="5" xfId="0" quotePrefix="1" applyFont="1" applyBorder="1" applyAlignment="1">
      <alignment horizontal="center" vertical="top" wrapText="1"/>
    </xf>
    <xf numFmtId="2" fontId="9" fillId="0" borderId="20" xfId="0" applyNumberFormat="1" applyFont="1" applyBorder="1" applyAlignment="1">
      <alignment horizontal="center" vertical="center" wrapText="1"/>
    </xf>
    <xf numFmtId="2" fontId="9" fillId="0" borderId="20" xfId="0" applyNumberFormat="1" applyFont="1" applyFill="1" applyBorder="1" applyAlignment="1">
      <alignment horizontal="center" vertical="center" wrapText="1"/>
    </xf>
    <xf numFmtId="2" fontId="9" fillId="0" borderId="42" xfId="0" applyNumberFormat="1" applyFont="1" applyFill="1" applyBorder="1" applyAlignment="1">
      <alignment horizontal="center" vertical="center" wrapText="1"/>
    </xf>
    <xf numFmtId="2" fontId="9" fillId="0" borderId="21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top" wrapText="1"/>
    </xf>
    <xf numFmtId="2" fontId="9" fillId="4" borderId="0" xfId="0" applyNumberFormat="1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top" wrapText="1"/>
    </xf>
    <xf numFmtId="2" fontId="9" fillId="4" borderId="10" xfId="0" applyNumberFormat="1" applyFont="1" applyFill="1" applyBorder="1" applyAlignment="1">
      <alignment horizontal="center" vertical="center" wrapText="1"/>
    </xf>
    <xf numFmtId="2" fontId="9" fillId="0" borderId="24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Fill="1" applyBorder="1" applyAlignment="1">
      <alignment horizontal="center" vertical="center" wrapText="1"/>
    </xf>
    <xf numFmtId="2" fontId="9" fillId="0" borderId="23" xfId="0" applyNumberFormat="1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 vertical="center" wrapText="1"/>
    </xf>
    <xf numFmtId="0" fontId="9" fillId="0" borderId="42" xfId="0" applyNumberFormat="1" applyFont="1" applyFill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left" vertical="top"/>
    </xf>
    <xf numFmtId="0" fontId="0" fillId="0" borderId="3" xfId="0" applyBorder="1" applyAlignment="1"/>
    <xf numFmtId="1" fontId="9" fillId="4" borderId="39" xfId="0" applyNumberFormat="1" applyFont="1" applyFill="1" applyBorder="1" applyAlignment="1">
      <alignment horizontal="center" vertical="top" wrapText="1"/>
    </xf>
    <xf numFmtId="1" fontId="9" fillId="4" borderId="15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 vertical="top" wrapText="1"/>
    </xf>
    <xf numFmtId="2" fontId="9" fillId="0" borderId="24" xfId="0" applyNumberFormat="1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164" fontId="0" fillId="0" borderId="0" xfId="1" applyFont="1"/>
    <xf numFmtId="0" fontId="16" fillId="0" borderId="0" xfId="0" applyFont="1" applyAlignment="1">
      <alignment horizontal="center"/>
    </xf>
    <xf numFmtId="0" fontId="16" fillId="0" borderId="0" xfId="0" applyFont="1"/>
    <xf numFmtId="164" fontId="0" fillId="7" borderId="0" xfId="1" applyFont="1" applyFill="1"/>
    <xf numFmtId="0" fontId="9" fillId="0" borderId="0" xfId="0" applyFont="1" applyBorder="1" applyAlignment="1">
      <alignment horizontal="center" vertical="top" wrapText="1"/>
    </xf>
    <xf numFmtId="0" fontId="9" fillId="0" borderId="0" xfId="0" quotePrefix="1" applyFont="1" applyBorder="1" applyAlignment="1">
      <alignment horizontal="center" vertical="top" wrapText="1"/>
    </xf>
    <xf numFmtId="0" fontId="11" fillId="0" borderId="0" xfId="0" quotePrefix="1" applyFont="1" applyBorder="1" applyAlignment="1">
      <alignment horizontal="center"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2" fontId="9" fillId="0" borderId="21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Fill="1" applyBorder="1" applyAlignment="1">
      <alignment horizontal="center" vertical="center" wrapText="1"/>
    </xf>
    <xf numFmtId="0" fontId="9" fillId="0" borderId="42" xfId="0" applyNumberFormat="1" applyFont="1" applyFill="1" applyBorder="1" applyAlignment="1">
      <alignment horizontal="center" vertical="center" wrapText="1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top" wrapText="1"/>
    </xf>
    <xf numFmtId="0" fontId="9" fillId="0" borderId="0" xfId="0" quotePrefix="1" applyFont="1" applyBorder="1" applyAlignment="1">
      <alignment horizontal="center" vertical="center" textRotation="90" wrapText="1"/>
    </xf>
    <xf numFmtId="2" fontId="9" fillId="0" borderId="0" xfId="0" applyNumberFormat="1" applyFont="1" applyFill="1" applyBorder="1" applyAlignment="1">
      <alignment horizontal="left" vertical="top" wrapText="1"/>
    </xf>
    <xf numFmtId="2" fontId="9" fillId="0" borderId="0" xfId="0" applyNumberFormat="1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center" vertical="center"/>
    </xf>
    <xf numFmtId="2" fontId="9" fillId="8" borderId="0" xfId="0" applyNumberFormat="1" applyFont="1" applyFill="1" applyBorder="1" applyAlignment="1">
      <alignment horizontal="center" vertical="top" wrapText="1"/>
    </xf>
    <xf numFmtId="2" fontId="9" fillId="8" borderId="0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center"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2" fontId="15" fillId="0" borderId="13" xfId="0" applyNumberFormat="1" applyFont="1" applyFill="1" applyBorder="1" applyAlignment="1">
      <alignment horizontal="left" vertical="top" wrapText="1"/>
    </xf>
    <xf numFmtId="1" fontId="9" fillId="0" borderId="20" xfId="0" applyNumberFormat="1" applyFont="1" applyFill="1" applyBorder="1" applyAlignment="1">
      <alignment horizontal="center" vertical="top" wrapText="1"/>
    </xf>
    <xf numFmtId="1" fontId="9" fillId="0" borderId="21" xfId="0" applyNumberFormat="1" applyFont="1" applyFill="1" applyBorder="1" applyAlignment="1">
      <alignment horizontal="left" vertical="top" wrapText="1"/>
    </xf>
    <xf numFmtId="2" fontId="9" fillId="0" borderId="42" xfId="0" applyNumberFormat="1" applyFont="1" applyFill="1" applyBorder="1" applyAlignment="1">
      <alignment horizontal="right" vertical="top" wrapText="1"/>
    </xf>
    <xf numFmtId="0" fontId="19" fillId="0" borderId="24" xfId="0" quotePrefix="1" applyFont="1" applyBorder="1" applyAlignment="1">
      <alignment horizontal="right" wrapText="1"/>
    </xf>
    <xf numFmtId="0" fontId="2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Fill="1" applyBorder="1"/>
    <xf numFmtId="0" fontId="9" fillId="8" borderId="0" xfId="0" applyFont="1" applyFill="1"/>
    <xf numFmtId="0" fontId="9" fillId="0" borderId="0" xfId="0" applyFont="1" applyBorder="1"/>
    <xf numFmtId="0" fontId="9" fillId="8" borderId="0" xfId="0" applyFont="1" applyFill="1" applyBorder="1"/>
    <xf numFmtId="2" fontId="9" fillId="8" borderId="0" xfId="0" applyNumberFormat="1" applyFont="1" applyFill="1" applyBorder="1" applyAlignment="1">
      <alignment horizontal="left" vertical="top" wrapText="1"/>
    </xf>
    <xf numFmtId="0" fontId="9" fillId="8" borderId="0" xfId="0" applyNumberFormat="1" applyFont="1" applyFill="1" applyBorder="1" applyAlignment="1">
      <alignment horizontal="center" vertical="top" wrapText="1"/>
    </xf>
    <xf numFmtId="1" fontId="9" fillId="8" borderId="0" xfId="0" applyNumberFormat="1" applyFont="1" applyFill="1" applyBorder="1" applyAlignment="1">
      <alignment horizontal="center" vertical="top" wrapText="1"/>
    </xf>
    <xf numFmtId="2" fontId="9" fillId="8" borderId="0" xfId="0" applyNumberFormat="1" applyFont="1" applyFill="1" applyBorder="1" applyAlignment="1">
      <alignment vertical="top" wrapText="1"/>
    </xf>
    <xf numFmtId="2" fontId="9" fillId="8" borderId="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7" fillId="0" borderId="0" xfId="0" applyFont="1" applyAlignment="1"/>
    <xf numFmtId="0" fontId="9" fillId="0" borderId="2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2" fontId="15" fillId="0" borderId="0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165" fontId="9" fillId="0" borderId="0" xfId="0" applyNumberFormat="1" applyFont="1" applyFill="1" applyBorder="1" applyAlignment="1">
      <alignment horizontal="center" vertical="center" wrapText="1"/>
    </xf>
    <xf numFmtId="166" fontId="9" fillId="0" borderId="0" xfId="0" applyNumberFormat="1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1" fontId="15" fillId="0" borderId="13" xfId="0" applyNumberFormat="1" applyFont="1" applyFill="1" applyBorder="1" applyAlignment="1">
      <alignment horizontal="left" vertical="center" wrapText="1"/>
    </xf>
    <xf numFmtId="1" fontId="15" fillId="0" borderId="46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Border="1" applyAlignment="1">
      <alignment horizontal="right" vertical="center" wrapText="1"/>
    </xf>
    <xf numFmtId="0" fontId="15" fillId="0" borderId="0" xfId="0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left" vertical="center" wrapText="1"/>
    </xf>
    <xf numFmtId="2" fontId="1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1" fontId="9" fillId="0" borderId="0" xfId="0" applyNumberFormat="1" applyFont="1" applyFill="1" applyBorder="1" applyAlignment="1">
      <alignment horizontal="center" vertical="center" wrapText="1"/>
    </xf>
    <xf numFmtId="1" fontId="9" fillId="0" borderId="20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Fill="1" applyBorder="1" applyAlignment="1">
      <alignment horizontal="right" vertical="top" wrapText="1"/>
    </xf>
    <xf numFmtId="1" fontId="9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Alignment="1"/>
    <xf numFmtId="0" fontId="15" fillId="0" borderId="46" xfId="0" applyFont="1" applyFill="1" applyBorder="1" applyAlignment="1">
      <alignment vertical="center" wrapText="1"/>
    </xf>
    <xf numFmtId="2" fontId="1" fillId="0" borderId="30" xfId="0" applyNumberFormat="1" applyFont="1" applyFill="1" applyBorder="1" applyAlignment="1">
      <alignment horizontal="center" vertical="center" wrapText="1"/>
    </xf>
    <xf numFmtId="0" fontId="15" fillId="0" borderId="42" xfId="0" applyNumberFormat="1" applyFont="1" applyFill="1" applyBorder="1" applyAlignment="1">
      <alignment horizontal="right" vertical="center" wrapText="1"/>
    </xf>
    <xf numFmtId="0" fontId="15" fillId="0" borderId="40" xfId="0" applyNumberFormat="1" applyFont="1" applyFill="1" applyBorder="1" applyAlignment="1">
      <alignment horizontal="right" vertical="center" wrapText="1"/>
    </xf>
    <xf numFmtId="2" fontId="9" fillId="0" borderId="13" xfId="0" applyNumberFormat="1" applyFont="1" applyFill="1" applyBorder="1" applyAlignment="1">
      <alignment horizontal="left" vertical="center" wrapText="1"/>
    </xf>
    <xf numFmtId="2" fontId="9" fillId="0" borderId="21" xfId="0" applyNumberFormat="1" applyFont="1" applyFill="1" applyBorder="1" applyAlignment="1">
      <alignment horizontal="left" vertical="center" wrapText="1"/>
    </xf>
    <xf numFmtId="2" fontId="9" fillId="0" borderId="42" xfId="0" applyNumberFormat="1" applyFont="1" applyFill="1" applyBorder="1" applyAlignment="1">
      <alignment horizontal="right" vertical="center" wrapText="1"/>
    </xf>
    <xf numFmtId="165" fontId="9" fillId="0" borderId="13" xfId="0" applyNumberFormat="1" applyFont="1" applyFill="1" applyBorder="1" applyAlignment="1">
      <alignment horizontal="center" vertical="center" wrapText="1"/>
    </xf>
    <xf numFmtId="1" fontId="9" fillId="0" borderId="21" xfId="0" applyNumberFormat="1" applyFont="1" applyFill="1" applyBorder="1" applyAlignment="1">
      <alignment horizontal="center" vertical="center" wrapText="1"/>
    </xf>
    <xf numFmtId="1" fontId="9" fillId="0" borderId="21" xfId="0" applyNumberFormat="1" applyFont="1" applyFill="1" applyBorder="1" applyAlignment="1">
      <alignment horizontal="left" vertical="center" wrapText="1"/>
    </xf>
    <xf numFmtId="166" fontId="9" fillId="0" borderId="42" xfId="0" applyNumberFormat="1" applyFont="1" applyFill="1" applyBorder="1" applyAlignment="1">
      <alignment horizontal="right" vertical="center" wrapText="1"/>
    </xf>
    <xf numFmtId="0" fontId="22" fillId="0" borderId="24" xfId="0" applyFont="1" applyBorder="1" applyAlignment="1">
      <alignment horizontal="right" vertical="top" wrapText="1"/>
    </xf>
    <xf numFmtId="0" fontId="23" fillId="0" borderId="24" xfId="0" applyFont="1" applyBorder="1" applyAlignment="1">
      <alignment horizontal="right" wrapText="1"/>
    </xf>
    <xf numFmtId="0" fontId="19" fillId="0" borderId="24" xfId="0" quotePrefix="1" applyFont="1" applyBorder="1" applyAlignment="1">
      <alignment vertical="top" wrapText="1"/>
    </xf>
    <xf numFmtId="0" fontId="22" fillId="0" borderId="24" xfId="0" quotePrefix="1" applyFont="1" applyBorder="1" applyAlignment="1">
      <alignment horizontal="center" vertical="top" wrapText="1"/>
    </xf>
    <xf numFmtId="2" fontId="9" fillId="0" borderId="21" xfId="0" applyNumberFormat="1" applyFont="1" applyFill="1" applyBorder="1" applyAlignment="1">
      <alignment horizontal="left" vertical="top" wrapText="1"/>
    </xf>
    <xf numFmtId="0" fontId="9" fillId="0" borderId="42" xfId="0" applyNumberFormat="1" applyFont="1" applyFill="1" applyBorder="1" applyAlignment="1">
      <alignment horizontal="right" vertical="top" wrapText="1"/>
    </xf>
    <xf numFmtId="0" fontId="9" fillId="0" borderId="15" xfId="0" quotePrefix="1" applyFont="1" applyBorder="1" applyAlignment="1">
      <alignment vertical="top" wrapText="1"/>
    </xf>
    <xf numFmtId="0" fontId="9" fillId="0" borderId="36" xfId="0" quotePrefix="1" applyFont="1" applyBorder="1" applyAlignment="1">
      <alignment vertical="top" wrapText="1"/>
    </xf>
    <xf numFmtId="0" fontId="9" fillId="0" borderId="42" xfId="0" applyNumberFormat="1" applyFont="1" applyFill="1" applyBorder="1" applyAlignment="1">
      <alignment horizontal="right" vertical="center" wrapText="1"/>
    </xf>
    <xf numFmtId="0" fontId="23" fillId="0" borderId="24" xfId="0" applyFont="1" applyFill="1" applyBorder="1" applyAlignment="1">
      <alignment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2" fontId="9" fillId="0" borderId="24" xfId="0" applyNumberFormat="1" applyFont="1" applyFill="1" applyBorder="1" applyAlignment="1">
      <alignment horizontal="center" vertical="center" wrapText="1"/>
    </xf>
    <xf numFmtId="164" fontId="0" fillId="0" borderId="0" xfId="1" applyFont="1" applyAlignment="1"/>
    <xf numFmtId="164" fontId="9" fillId="0" borderId="0" xfId="1" applyFont="1" applyFill="1" applyBorder="1"/>
    <xf numFmtId="164" fontId="9" fillId="9" borderId="0" xfId="1" applyFont="1" applyFill="1" applyBorder="1"/>
    <xf numFmtId="2" fontId="9" fillId="0" borderId="21" xfId="0" applyNumberFormat="1" applyFont="1" applyFill="1" applyBorder="1" applyAlignment="1">
      <alignment horizontal="center" vertical="center"/>
    </xf>
    <xf numFmtId="2" fontId="9" fillId="0" borderId="16" xfId="0" applyNumberFormat="1" applyFont="1" applyFill="1" applyBorder="1" applyAlignment="1">
      <alignment horizontal="center" vertical="top" wrapText="1"/>
    </xf>
    <xf numFmtId="2" fontId="9" fillId="0" borderId="10" xfId="0" applyNumberFormat="1" applyFont="1" applyFill="1" applyBorder="1" applyAlignment="1">
      <alignment horizontal="center" vertical="top" wrapText="1"/>
    </xf>
    <xf numFmtId="2" fontId="22" fillId="0" borderId="30" xfId="0" quotePrefix="1" applyNumberFormat="1" applyFont="1" applyBorder="1" applyAlignment="1">
      <alignment horizontal="center"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wrapText="1"/>
    </xf>
    <xf numFmtId="0" fontId="15" fillId="0" borderId="13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right" vertical="top" wrapText="1"/>
    </xf>
    <xf numFmtId="0" fontId="9" fillId="0" borderId="21" xfId="0" applyFont="1" applyBorder="1"/>
    <xf numFmtId="0" fontId="9" fillId="0" borderId="21" xfId="0" applyFont="1" applyFill="1" applyBorder="1"/>
    <xf numFmtId="1" fontId="9" fillId="0" borderId="13" xfId="0" applyNumberFormat="1" applyFont="1" applyFill="1" applyBorder="1" applyAlignment="1">
      <alignment horizontal="right" vertical="top" wrapText="1"/>
    </xf>
    <xf numFmtId="1" fontId="9" fillId="0" borderId="0" xfId="0" applyNumberFormat="1" applyFont="1" applyFill="1" applyBorder="1" applyAlignment="1">
      <alignment horizontal="right" vertical="top" wrapText="1"/>
    </xf>
    <xf numFmtId="0" fontId="9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Border="1" applyAlignment="1">
      <alignment horizontal="right" vertical="center"/>
    </xf>
    <xf numFmtId="0" fontId="9" fillId="8" borderId="0" xfId="0" applyNumberFormat="1" applyFont="1" applyFill="1" applyBorder="1" applyAlignment="1">
      <alignment horizontal="right" vertical="top" wrapText="1"/>
    </xf>
    <xf numFmtId="0" fontId="15" fillId="0" borderId="0" xfId="0" applyFont="1" applyBorder="1" applyAlignment="1">
      <alignment horizontal="left" vertical="center"/>
    </xf>
    <xf numFmtId="0" fontId="9" fillId="0" borderId="46" xfId="0" applyFont="1" applyBorder="1" applyAlignment="1">
      <alignment wrapText="1"/>
    </xf>
    <xf numFmtId="2" fontId="9" fillId="0" borderId="46" xfId="0" applyNumberFormat="1" applyFont="1" applyFill="1" applyBorder="1" applyAlignment="1">
      <alignment horizontal="left" vertical="top" wrapText="1"/>
    </xf>
    <xf numFmtId="0" fontId="9" fillId="0" borderId="23" xfId="0" applyFont="1" applyBorder="1"/>
    <xf numFmtId="0" fontId="9" fillId="0" borderId="0" xfId="0" applyFont="1" applyAlignment="1">
      <alignment horizontal="left"/>
    </xf>
    <xf numFmtId="0" fontId="9" fillId="0" borderId="46" xfId="0" applyNumberFormat="1" applyFont="1" applyFill="1" applyBorder="1" applyAlignment="1">
      <alignment horizontal="left" vertical="top" wrapText="1"/>
    </xf>
    <xf numFmtId="0" fontId="9" fillId="8" borderId="0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46" xfId="0" applyFont="1" applyFill="1" applyBorder="1" applyAlignment="1">
      <alignment horizontal="right"/>
    </xf>
    <xf numFmtId="0" fontId="15" fillId="10" borderId="15" xfId="0" applyFont="1" applyFill="1" applyBorder="1" applyAlignment="1">
      <alignment vertical="center"/>
    </xf>
    <xf numFmtId="0" fontId="15" fillId="10" borderId="0" xfId="0" applyFont="1" applyFill="1" applyBorder="1" applyAlignment="1">
      <alignment vertical="center"/>
    </xf>
    <xf numFmtId="0" fontId="15" fillId="0" borderId="70" xfId="0" applyFont="1" applyBorder="1" applyAlignment="1">
      <alignment vertical="top"/>
    </xf>
    <xf numFmtId="0" fontId="15" fillId="0" borderId="15" xfId="0" applyFont="1" applyBorder="1" applyAlignment="1">
      <alignment vertical="top"/>
    </xf>
    <xf numFmtId="2" fontId="9" fillId="0" borderId="21" xfId="0" applyNumberFormat="1" applyFont="1" applyFill="1" applyBorder="1" applyAlignment="1">
      <alignment horizontal="center" vertical="center" wrapText="1"/>
    </xf>
    <xf numFmtId="2" fontId="9" fillId="0" borderId="20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0" fontId="15" fillId="0" borderId="70" xfId="0" applyFont="1" applyBorder="1" applyAlignment="1">
      <alignment horizontal="left" vertical="top"/>
    </xf>
    <xf numFmtId="0" fontId="9" fillId="0" borderId="42" xfId="0" applyNumberFormat="1" applyFont="1" applyFill="1" applyBorder="1" applyAlignment="1">
      <alignment horizontal="center" vertical="center" wrapText="1"/>
    </xf>
    <xf numFmtId="0" fontId="0" fillId="0" borderId="13" xfId="0" applyFill="1" applyBorder="1" applyAlignment="1"/>
    <xf numFmtId="0" fontId="8" fillId="0" borderId="15" xfId="0" applyFont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0" fillId="0" borderId="21" xfId="0" applyFill="1" applyBorder="1" applyAlignment="1"/>
    <xf numFmtId="0" fontId="0" fillId="0" borderId="0" xfId="0" applyBorder="1" applyAlignment="1"/>
    <xf numFmtId="0" fontId="0" fillId="0" borderId="46" xfId="0" applyFill="1" applyBorder="1" applyAlignment="1"/>
    <xf numFmtId="0" fontId="0" fillId="0" borderId="15" xfId="0" applyFill="1" applyBorder="1" applyAlignment="1"/>
    <xf numFmtId="0" fontId="0" fillId="0" borderId="20" xfId="0" applyBorder="1" applyAlignment="1">
      <alignment horizontal="left"/>
    </xf>
    <xf numFmtId="0" fontId="0" fillId="9" borderId="20" xfId="0" applyFill="1" applyBorder="1" applyAlignment="1">
      <alignment horizontal="left"/>
    </xf>
    <xf numFmtId="0" fontId="15" fillId="0" borderId="0" xfId="0" applyNumberFormat="1" applyFont="1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/>
    </xf>
    <xf numFmtId="0" fontId="0" fillId="0" borderId="0" xfId="0" applyAlignment="1">
      <alignment horizontal="left"/>
    </xf>
    <xf numFmtId="165" fontId="9" fillId="0" borderId="21" xfId="0" applyNumberFormat="1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5" fillId="10" borderId="0" xfId="0" applyFont="1" applyFill="1" applyBorder="1" applyAlignment="1">
      <alignment horizontal="left" vertical="center"/>
    </xf>
    <xf numFmtId="0" fontId="15" fillId="10" borderId="15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2" fontId="9" fillId="0" borderId="20" xfId="0" applyNumberFormat="1" applyFont="1" applyFill="1" applyBorder="1" applyAlignment="1">
      <alignment horizontal="center" vertical="center" wrapText="1"/>
    </xf>
    <xf numFmtId="164" fontId="0" fillId="0" borderId="0" xfId="1" applyFont="1" applyFill="1" applyAlignment="1"/>
    <xf numFmtId="164" fontId="9" fillId="2" borderId="0" xfId="1" applyFont="1" applyFill="1" applyBorder="1"/>
    <xf numFmtId="2" fontId="9" fillId="0" borderId="20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left"/>
    </xf>
    <xf numFmtId="0" fontId="15" fillId="2" borderId="13" xfId="0" applyFont="1" applyFill="1" applyBorder="1" applyAlignment="1">
      <alignment horizontal="center" vertical="center" wrapText="1"/>
    </xf>
    <xf numFmtId="1" fontId="15" fillId="2" borderId="13" xfId="0" applyNumberFormat="1" applyFont="1" applyFill="1" applyBorder="1" applyAlignment="1">
      <alignment horizontal="left" vertical="center" wrapText="1"/>
    </xf>
    <xf numFmtId="0" fontId="0" fillId="2" borderId="21" xfId="0" applyFill="1" applyBorder="1" applyAlignment="1"/>
    <xf numFmtId="0" fontId="9" fillId="2" borderId="42" xfId="0" applyNumberFormat="1" applyFont="1" applyFill="1" applyBorder="1" applyAlignment="1">
      <alignment horizontal="right" vertical="center" wrapText="1"/>
    </xf>
    <xf numFmtId="0" fontId="9" fillId="2" borderId="13" xfId="0" applyFont="1" applyFill="1" applyBorder="1" applyAlignment="1">
      <alignment horizontal="center" vertical="center" wrapText="1"/>
    </xf>
    <xf numFmtId="2" fontId="9" fillId="2" borderId="21" xfId="0" applyNumberFormat="1" applyFont="1" applyFill="1" applyBorder="1" applyAlignment="1">
      <alignment horizontal="left" vertical="center" wrapText="1"/>
    </xf>
    <xf numFmtId="2" fontId="1" fillId="2" borderId="21" xfId="0" applyNumberFormat="1" applyFont="1" applyFill="1" applyBorder="1" applyAlignment="1">
      <alignment horizontal="center" vertical="center" wrapText="1"/>
    </xf>
    <xf numFmtId="2" fontId="1" fillId="2" borderId="20" xfId="0" applyNumberFormat="1" applyFont="1" applyFill="1" applyBorder="1" applyAlignment="1">
      <alignment horizontal="center" vertical="center" wrapText="1"/>
    </xf>
    <xf numFmtId="2" fontId="9" fillId="2" borderId="20" xfId="0" applyNumberFormat="1" applyFont="1" applyFill="1" applyBorder="1" applyAlignment="1">
      <alignment horizontal="center" vertical="center" wrapText="1"/>
    </xf>
    <xf numFmtId="2" fontId="9" fillId="2" borderId="42" xfId="0" applyNumberFormat="1" applyFont="1" applyFill="1" applyBorder="1" applyAlignment="1">
      <alignment horizontal="right" vertical="center" wrapText="1"/>
    </xf>
    <xf numFmtId="2" fontId="9" fillId="2" borderId="13" xfId="0" applyNumberFormat="1" applyFont="1" applyFill="1" applyBorder="1" applyAlignment="1">
      <alignment horizontal="left" vertical="center" wrapText="1"/>
    </xf>
    <xf numFmtId="165" fontId="9" fillId="2" borderId="20" xfId="0" applyNumberFormat="1" applyFont="1" applyFill="1" applyBorder="1" applyAlignment="1">
      <alignment horizontal="center" vertical="center" wrapText="1"/>
    </xf>
    <xf numFmtId="0" fontId="9" fillId="2" borderId="20" xfId="0" applyNumberFormat="1" applyFont="1" applyFill="1" applyBorder="1" applyAlignment="1">
      <alignment horizontal="center" vertical="center" wrapText="1"/>
    </xf>
    <xf numFmtId="166" fontId="9" fillId="2" borderId="42" xfId="0" applyNumberFormat="1" applyFont="1" applyFill="1" applyBorder="1" applyAlignment="1">
      <alignment horizontal="right" vertical="center" wrapText="1"/>
    </xf>
    <xf numFmtId="165" fontId="9" fillId="2" borderId="13" xfId="0" applyNumberFormat="1" applyFont="1" applyFill="1" applyBorder="1" applyAlignment="1">
      <alignment horizontal="center" vertical="center" wrapText="1"/>
    </xf>
    <xf numFmtId="1" fontId="9" fillId="2" borderId="21" xfId="0" applyNumberFormat="1" applyFont="1" applyFill="1" applyBorder="1" applyAlignment="1">
      <alignment horizontal="left" vertical="center" wrapText="1"/>
    </xf>
    <xf numFmtId="1" fontId="9" fillId="2" borderId="21" xfId="0" applyNumberFormat="1" applyFont="1" applyFill="1" applyBorder="1" applyAlignment="1">
      <alignment horizontal="center" vertical="center" wrapText="1"/>
    </xf>
    <xf numFmtId="1" fontId="9" fillId="2" borderId="20" xfId="0" applyNumberFormat="1" applyFont="1" applyFill="1" applyBorder="1" applyAlignment="1">
      <alignment horizontal="center" vertical="center" wrapText="1"/>
    </xf>
    <xf numFmtId="2" fontId="9" fillId="2" borderId="20" xfId="0" applyNumberFormat="1" applyFont="1" applyFill="1" applyBorder="1" applyAlignment="1">
      <alignment horizontal="center" vertical="top" wrapText="1"/>
    </xf>
    <xf numFmtId="1" fontId="9" fillId="2" borderId="20" xfId="0" applyNumberFormat="1" applyFont="1" applyFill="1" applyBorder="1" applyAlignment="1">
      <alignment horizontal="center" vertical="top" wrapText="1"/>
    </xf>
    <xf numFmtId="2" fontId="9" fillId="2" borderId="20" xfId="0" applyNumberFormat="1" applyFont="1" applyFill="1" applyBorder="1" applyAlignment="1">
      <alignment horizontal="center" vertical="center"/>
    </xf>
    <xf numFmtId="164" fontId="0" fillId="2" borderId="0" xfId="1" applyFont="1" applyFill="1" applyAlignment="1"/>
    <xf numFmtId="0" fontId="0" fillId="2" borderId="0" xfId="0" applyFill="1" applyAlignment="1"/>
    <xf numFmtId="14" fontId="16" fillId="2" borderId="77" xfId="0" applyNumberFormat="1" applyFont="1" applyFill="1" applyBorder="1" applyAlignment="1">
      <alignment horizontal="center"/>
    </xf>
    <xf numFmtId="14" fontId="15" fillId="2" borderId="77" xfId="0" applyNumberFormat="1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2" fontId="9" fillId="0" borderId="20" xfId="0" applyNumberFormat="1" applyFont="1" applyFill="1" applyBorder="1" applyAlignment="1">
      <alignment horizontal="center" vertical="center" wrapText="1"/>
    </xf>
    <xf numFmtId="2" fontId="9" fillId="0" borderId="20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wrapText="1"/>
    </xf>
    <xf numFmtId="0" fontId="0" fillId="2" borderId="13" xfId="0" applyFill="1" applyBorder="1" applyAlignment="1"/>
    <xf numFmtId="0" fontId="15" fillId="0" borderId="0" xfId="0" applyNumberFormat="1" applyFont="1" applyFill="1" applyBorder="1" applyAlignment="1">
      <alignment horizontal="left" vertical="top" wrapText="1"/>
    </xf>
    <xf numFmtId="0" fontId="24" fillId="0" borderId="2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2" fontId="25" fillId="0" borderId="13" xfId="0" applyNumberFormat="1" applyFont="1" applyFill="1" applyBorder="1" applyAlignment="1">
      <alignment horizontal="left" vertical="top" wrapText="1"/>
    </xf>
    <xf numFmtId="0" fontId="25" fillId="0" borderId="13" xfId="0" applyNumberFormat="1" applyFont="1" applyFill="1" applyBorder="1" applyAlignment="1">
      <alignment horizontal="left" vertical="top" wrapText="1"/>
    </xf>
    <xf numFmtId="0" fontId="24" fillId="0" borderId="21" xfId="0" applyFont="1" applyBorder="1"/>
    <xf numFmtId="1" fontId="24" fillId="0" borderId="13" xfId="0" applyNumberFormat="1" applyFont="1" applyFill="1" applyBorder="1" applyAlignment="1">
      <alignment horizontal="right" vertical="top" wrapText="1"/>
    </xf>
    <xf numFmtId="2" fontId="24" fillId="0" borderId="13" xfId="0" applyNumberFormat="1" applyFont="1" applyFill="1" applyBorder="1" applyAlignment="1">
      <alignment horizontal="center" vertical="top" wrapText="1"/>
    </xf>
    <xf numFmtId="2" fontId="24" fillId="0" borderId="21" xfId="0" applyNumberFormat="1" applyFont="1" applyFill="1" applyBorder="1" applyAlignment="1">
      <alignment horizontal="left" vertical="top" wrapText="1"/>
    </xf>
    <xf numFmtId="2" fontId="24" fillId="0" borderId="20" xfId="0" applyNumberFormat="1" applyFont="1" applyFill="1" applyBorder="1" applyAlignment="1">
      <alignment horizontal="center" vertical="top" wrapText="1"/>
    </xf>
    <xf numFmtId="1" fontId="24" fillId="0" borderId="20" xfId="0" applyNumberFormat="1" applyFont="1" applyFill="1" applyBorder="1" applyAlignment="1">
      <alignment horizontal="center" vertical="top" wrapText="1"/>
    </xf>
    <xf numFmtId="2" fontId="24" fillId="0" borderId="42" xfId="0" applyNumberFormat="1" applyFont="1" applyFill="1" applyBorder="1" applyAlignment="1">
      <alignment horizontal="right" vertical="top" wrapText="1"/>
    </xf>
    <xf numFmtId="1" fontId="24" fillId="0" borderId="21" xfId="0" applyNumberFormat="1" applyFont="1" applyFill="1" applyBorder="1" applyAlignment="1">
      <alignment horizontal="left" vertical="top" wrapText="1"/>
    </xf>
    <xf numFmtId="2" fontId="24" fillId="0" borderId="20" xfId="0" applyNumberFormat="1" applyFont="1" applyFill="1" applyBorder="1" applyAlignment="1">
      <alignment horizontal="center" vertical="center" wrapText="1"/>
    </xf>
    <xf numFmtId="2" fontId="24" fillId="0" borderId="20" xfId="0" applyNumberFormat="1" applyFont="1" applyFill="1" applyBorder="1" applyAlignment="1">
      <alignment horizontal="center" vertical="center"/>
    </xf>
    <xf numFmtId="2" fontId="24" fillId="0" borderId="10" xfId="0" applyNumberFormat="1" applyFont="1" applyFill="1" applyBorder="1" applyAlignment="1">
      <alignment horizontal="center" vertical="center" wrapText="1"/>
    </xf>
    <xf numFmtId="2" fontId="24" fillId="0" borderId="10" xfId="0" applyNumberFormat="1" applyFont="1" applyFill="1" applyBorder="1" applyAlignment="1">
      <alignment horizontal="center" vertical="top" wrapText="1"/>
    </xf>
    <xf numFmtId="164" fontId="24" fillId="0" borderId="0" xfId="1" applyFont="1" applyFill="1" applyBorder="1"/>
    <xf numFmtId="0" fontId="24" fillId="0" borderId="0" xfId="0" applyFont="1" applyFill="1" applyBorder="1"/>
    <xf numFmtId="2" fontId="24" fillId="0" borderId="16" xfId="0" applyNumberFormat="1" applyFont="1" applyFill="1" applyBorder="1" applyAlignment="1">
      <alignment horizontal="center" vertical="top" wrapText="1"/>
    </xf>
    <xf numFmtId="2" fontId="24" fillId="0" borderId="21" xfId="0" applyNumberFormat="1" applyFont="1" applyFill="1" applyBorder="1" applyAlignment="1">
      <alignment horizontal="center" vertical="top" wrapText="1"/>
    </xf>
    <xf numFmtId="0" fontId="24" fillId="0" borderId="13" xfId="0" applyNumberFormat="1" applyFont="1" applyFill="1" applyBorder="1" applyAlignment="1">
      <alignment horizontal="right" vertical="top" wrapText="1"/>
    </xf>
    <xf numFmtId="2" fontId="24" fillId="0" borderId="23" xfId="0" applyNumberFormat="1" applyFont="1" applyFill="1" applyBorder="1" applyAlignment="1">
      <alignment horizontal="center" vertical="top" wrapText="1"/>
    </xf>
    <xf numFmtId="2" fontId="24" fillId="0" borderId="21" xfId="0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/>
    </xf>
    <xf numFmtId="0" fontId="24" fillId="0" borderId="0" xfId="0" applyFont="1"/>
    <xf numFmtId="0" fontId="9" fillId="0" borderId="10" xfId="0" applyFont="1" applyBorder="1" applyAlignment="1">
      <alignment horizontal="center"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0" fontId="9" fillId="0" borderId="42" xfId="0" applyNumberFormat="1" applyFont="1" applyFill="1" applyBorder="1" applyAlignment="1">
      <alignment horizontal="center" vertical="center" wrapText="1"/>
    </xf>
    <xf numFmtId="0" fontId="9" fillId="0" borderId="21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wrapText="1"/>
    </xf>
    <xf numFmtId="0" fontId="15" fillId="0" borderId="42" xfId="0" applyNumberFormat="1" applyFont="1" applyFill="1" applyBorder="1" applyAlignment="1">
      <alignment horizontal="right" vertical="top" wrapText="1"/>
    </xf>
    <xf numFmtId="0" fontId="15" fillId="0" borderId="30" xfId="0" applyNumberFormat="1" applyFont="1" applyFill="1" applyBorder="1" applyAlignment="1">
      <alignment horizontal="right" vertical="top" wrapText="1"/>
    </xf>
    <xf numFmtId="0" fontId="9" fillId="0" borderId="39" xfId="0" applyFont="1" applyFill="1" applyBorder="1" applyAlignment="1">
      <alignment horizontal="right"/>
    </xf>
    <xf numFmtId="0" fontId="25" fillId="0" borderId="30" xfId="0" applyNumberFormat="1" applyFont="1" applyFill="1" applyBorder="1" applyAlignment="1">
      <alignment horizontal="right" vertical="top" wrapText="1"/>
    </xf>
    <xf numFmtId="0" fontId="9" fillId="0" borderId="20" xfId="0" applyFont="1" applyFill="1" applyBorder="1" applyAlignment="1">
      <alignment wrapText="1"/>
    </xf>
    <xf numFmtId="0" fontId="1" fillId="0" borderId="21" xfId="0" applyNumberFormat="1" applyFont="1" applyFill="1" applyBorder="1" applyAlignment="1">
      <alignment horizontal="center" vertical="center" wrapText="1"/>
    </xf>
    <xf numFmtId="0" fontId="1" fillId="0" borderId="20" xfId="0" applyNumberFormat="1" applyFont="1" applyFill="1" applyBorder="1" applyAlignment="1">
      <alignment horizontal="center" vertical="center" wrapText="1"/>
    </xf>
    <xf numFmtId="0" fontId="15" fillId="0" borderId="39" xfId="0" applyNumberFormat="1" applyFont="1" applyFill="1" applyBorder="1" applyAlignment="1">
      <alignment horizontal="right" vertical="center" wrapText="1"/>
    </xf>
    <xf numFmtId="0" fontId="8" fillId="0" borderId="30" xfId="0" applyFont="1" applyBorder="1" applyAlignment="1">
      <alignment vertical="center"/>
    </xf>
    <xf numFmtId="0" fontId="15" fillId="2" borderId="42" xfId="0" applyNumberFormat="1" applyFont="1" applyFill="1" applyBorder="1" applyAlignment="1">
      <alignment horizontal="right" vertical="center" wrapText="1"/>
    </xf>
    <xf numFmtId="1" fontId="9" fillId="0" borderId="13" xfId="0" applyNumberFormat="1" applyFont="1" applyFill="1" applyBorder="1" applyAlignment="1">
      <alignment horizontal="left" vertical="center" wrapText="1"/>
    </xf>
    <xf numFmtId="0" fontId="0" fillId="0" borderId="21" xfId="0" applyFont="1" applyFill="1" applyBorder="1" applyAlignment="1"/>
    <xf numFmtId="2" fontId="1" fillId="0" borderId="40" xfId="0" applyNumberFormat="1" applyFont="1" applyFill="1" applyBorder="1" applyAlignment="1">
      <alignment horizontal="center" vertical="center" wrapText="1"/>
    </xf>
    <xf numFmtId="0" fontId="1" fillId="0" borderId="16" xfId="0" applyNumberFormat="1" applyFont="1" applyFill="1" applyBorder="1" applyAlignment="1">
      <alignment horizontal="center" vertical="center" wrapText="1"/>
    </xf>
    <xf numFmtId="0" fontId="9" fillId="0" borderId="40" xfId="0" applyNumberFormat="1" applyFont="1" applyFill="1" applyBorder="1" applyAlignment="1">
      <alignment vertical="center" wrapText="1"/>
    </xf>
    <xf numFmtId="0" fontId="9" fillId="0" borderId="23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26" fillId="0" borderId="0" xfId="0" applyFont="1" applyFill="1" applyAlignment="1">
      <alignment vertical="center"/>
    </xf>
    <xf numFmtId="0" fontId="9" fillId="0" borderId="0" xfId="0" applyFont="1" applyFill="1" applyAlignment="1">
      <alignment horizontal="right"/>
    </xf>
    <xf numFmtId="0" fontId="9" fillId="0" borderId="0" xfId="0" applyFont="1" applyFill="1" applyAlignment="1">
      <alignment horizontal="left"/>
    </xf>
    <xf numFmtId="0" fontId="22" fillId="0" borderId="24" xfId="0" quotePrefix="1" applyFont="1" applyFill="1" applyBorder="1" applyAlignment="1">
      <alignment horizontal="center" vertical="top" wrapText="1"/>
    </xf>
    <xf numFmtId="0" fontId="9" fillId="0" borderId="36" xfId="0" quotePrefix="1" applyFont="1" applyFill="1" applyBorder="1" applyAlignment="1">
      <alignment vertical="top" wrapText="1"/>
    </xf>
    <xf numFmtId="0" fontId="9" fillId="0" borderId="42" xfId="0" applyFont="1" applyFill="1" applyBorder="1" applyAlignment="1">
      <alignment vertical="center"/>
    </xf>
    <xf numFmtId="0" fontId="9" fillId="0" borderId="13" xfId="0" applyFont="1" applyFill="1" applyBorder="1" applyAlignment="1">
      <alignment vertical="center"/>
    </xf>
    <xf numFmtId="0" fontId="9" fillId="0" borderId="21" xfId="0" applyFont="1" applyFill="1" applyBorder="1" applyAlignment="1">
      <alignment vertical="center"/>
    </xf>
    <xf numFmtId="0" fontId="11" fillId="0" borderId="20" xfId="0" applyFont="1" applyFill="1" applyBorder="1" applyAlignment="1">
      <alignment horizontal="center" vertical="top" wrapText="1"/>
    </xf>
    <xf numFmtId="0" fontId="9" fillId="0" borderId="24" xfId="0" applyFont="1" applyFill="1" applyBorder="1" applyAlignment="1">
      <alignment vertical="top"/>
    </xf>
    <xf numFmtId="0" fontId="9" fillId="0" borderId="0" xfId="0" applyFont="1" applyFill="1" applyAlignment="1">
      <alignment horizontal="center"/>
    </xf>
    <xf numFmtId="165" fontId="11" fillId="0" borderId="20" xfId="0" applyNumberFormat="1" applyFont="1" applyFill="1" applyBorder="1" applyAlignment="1">
      <alignment horizontal="center" vertical="center" wrapText="1"/>
    </xf>
    <xf numFmtId="1" fontId="11" fillId="0" borderId="2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9" fillId="0" borderId="13" xfId="0" applyFont="1" applyFill="1" applyBorder="1" applyAlignment="1">
      <alignment horizontal="left" vertical="center"/>
    </xf>
    <xf numFmtId="0" fontId="27" fillId="0" borderId="0" xfId="0" applyFont="1" applyFill="1" applyAlignment="1"/>
    <xf numFmtId="0" fontId="1" fillId="0" borderId="24" xfId="0" applyFont="1" applyFill="1" applyBorder="1" applyAlignment="1">
      <alignment vertical="center" wrapText="1"/>
    </xf>
    <xf numFmtId="2" fontId="1" fillId="0" borderId="30" xfId="0" applyNumberFormat="1" applyFont="1" applyFill="1" applyBorder="1" applyAlignment="1">
      <alignment vertical="center" wrapText="1"/>
    </xf>
    <xf numFmtId="0" fontId="9" fillId="0" borderId="0" xfId="0" quotePrefix="1" applyFont="1" applyFill="1" applyBorder="1" applyAlignment="1">
      <alignment vertical="top" wrapText="1"/>
    </xf>
    <xf numFmtId="0" fontId="1" fillId="0" borderId="30" xfId="0" applyFont="1" applyFill="1" applyBorder="1" applyAlignment="1">
      <alignment vertical="top" wrapText="1"/>
    </xf>
    <xf numFmtId="0" fontId="1" fillId="0" borderId="15" xfId="0" applyFont="1" applyFill="1" applyBorder="1" applyAlignment="1">
      <alignment vertical="top" wrapText="1"/>
    </xf>
    <xf numFmtId="0" fontId="1" fillId="0" borderId="36" xfId="0" applyFont="1" applyFill="1" applyBorder="1" applyAlignment="1">
      <alignment vertical="top" wrapText="1"/>
    </xf>
    <xf numFmtId="1" fontId="9" fillId="0" borderId="13" xfId="0" applyNumberFormat="1" applyFont="1" applyFill="1" applyBorder="1" applyAlignment="1">
      <alignment horizontal="center" vertical="center" wrapText="1"/>
    </xf>
    <xf numFmtId="165" fontId="9" fillId="0" borderId="42" xfId="0" applyNumberFormat="1" applyFont="1" applyFill="1" applyBorder="1" applyAlignment="1">
      <alignment horizontal="right" vertical="center" wrapText="1"/>
    </xf>
    <xf numFmtId="0" fontId="11" fillId="0" borderId="20" xfId="0" applyFont="1" applyBorder="1" applyAlignment="1">
      <alignment horizontal="center"/>
    </xf>
    <xf numFmtId="0" fontId="9" fillId="0" borderId="24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9" fillId="0" borderId="30" xfId="0" applyFont="1" applyFill="1" applyBorder="1" applyAlignment="1">
      <alignment vertical="top" wrapText="1"/>
    </xf>
    <xf numFmtId="0" fontId="9" fillId="0" borderId="15" xfId="0" applyFont="1" applyFill="1" applyBorder="1" applyAlignment="1">
      <alignment vertical="top" wrapText="1"/>
    </xf>
    <xf numFmtId="0" fontId="9" fillId="0" borderId="36" xfId="0" applyFont="1" applyFill="1" applyBorder="1" applyAlignment="1">
      <alignment vertical="top" wrapText="1"/>
    </xf>
    <xf numFmtId="0" fontId="9" fillId="0" borderId="15" xfId="0" applyNumberFormat="1" applyFont="1" applyFill="1" applyBorder="1" applyAlignment="1">
      <alignment horizontal="right" vertical="top" wrapText="1"/>
    </xf>
    <xf numFmtId="0" fontId="1" fillId="0" borderId="30" xfId="0" applyFont="1" applyFill="1" applyBorder="1" applyAlignment="1">
      <alignment horizontal="right" vertical="top" wrapText="1"/>
    </xf>
    <xf numFmtId="0" fontId="1" fillId="0" borderId="36" xfId="0" applyFont="1" applyFill="1" applyBorder="1" applyAlignment="1">
      <alignment horizontal="left" vertical="top" wrapText="1"/>
    </xf>
    <xf numFmtId="0" fontId="1" fillId="0" borderId="24" xfId="0" applyFont="1" applyFill="1" applyBorder="1" applyAlignment="1">
      <alignment vertical="top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right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center" vertical="top" wrapText="1"/>
    </xf>
    <xf numFmtId="0" fontId="1" fillId="0" borderId="20" xfId="0" applyFont="1" applyFill="1" applyBorder="1" applyAlignment="1">
      <alignment horizontal="center" vertical="top" wrapText="1"/>
    </xf>
    <xf numFmtId="0" fontId="5" fillId="0" borderId="20" xfId="0" applyFont="1" applyFill="1" applyBorder="1" applyAlignment="1">
      <alignment horizontal="center"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0" fontId="9" fillId="14" borderId="0" xfId="0" applyFont="1" applyFill="1"/>
    <xf numFmtId="0" fontId="28" fillId="15" borderId="24" xfId="0" applyFont="1" applyFill="1" applyBorder="1" applyAlignment="1">
      <alignment horizontal="right" wrapText="1"/>
    </xf>
    <xf numFmtId="0" fontId="28" fillId="15" borderId="83" xfId="0" applyFont="1" applyFill="1" applyBorder="1" applyAlignment="1">
      <alignment horizontal="right" wrapText="1"/>
    </xf>
    <xf numFmtId="0" fontId="2" fillId="15" borderId="24" xfId="0" quotePrefix="1" applyFont="1" applyFill="1" applyBorder="1" applyAlignment="1">
      <alignment vertical="top" wrapText="1"/>
    </xf>
    <xf numFmtId="2" fontId="9" fillId="15" borderId="20" xfId="0" applyNumberFormat="1" applyFont="1" applyFill="1" applyBorder="1" applyAlignment="1">
      <alignment horizontal="center" vertical="center"/>
    </xf>
    <xf numFmtId="2" fontId="9" fillId="15" borderId="20" xfId="0" applyNumberFormat="1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vertical="top" wrapText="1"/>
    </xf>
    <xf numFmtId="0" fontId="9" fillId="16" borderId="13" xfId="0" applyFont="1" applyFill="1" applyBorder="1" applyAlignment="1">
      <alignment horizontal="center"/>
    </xf>
    <xf numFmtId="0" fontId="9" fillId="16" borderId="13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9" fillId="6" borderId="30" xfId="0" applyFont="1" applyFill="1" applyBorder="1" applyAlignment="1">
      <alignment horizontal="right" vertical="top" wrapText="1"/>
    </xf>
    <xf numFmtId="0" fontId="9" fillId="6" borderId="15" xfId="0" applyFont="1" applyFill="1" applyBorder="1" applyAlignment="1">
      <alignment vertical="top" wrapText="1"/>
    </xf>
    <xf numFmtId="0" fontId="9" fillId="6" borderId="36" xfId="0" applyFont="1" applyFill="1" applyBorder="1" applyAlignment="1">
      <alignment horizontal="left" vertical="top" wrapText="1"/>
    </xf>
    <xf numFmtId="0" fontId="9" fillId="6" borderId="21" xfId="0" applyNumberFormat="1" applyFont="1" applyFill="1" applyBorder="1" applyAlignment="1">
      <alignment horizontal="center" vertical="top" wrapText="1"/>
    </xf>
    <xf numFmtId="0" fontId="9" fillId="6" borderId="23" xfId="0" applyNumberFormat="1" applyFont="1" applyFill="1" applyBorder="1" applyAlignment="1">
      <alignment horizontal="center" vertical="top" wrapText="1"/>
    </xf>
    <xf numFmtId="0" fontId="9" fillId="6" borderId="42" xfId="0" applyNumberFormat="1" applyFont="1" applyFill="1" applyBorder="1" applyAlignment="1">
      <alignment horizontal="right" vertical="top" wrapText="1"/>
    </xf>
    <xf numFmtId="2" fontId="9" fillId="6" borderId="13" xfId="0" applyNumberFormat="1" applyFont="1" applyFill="1" applyBorder="1" applyAlignment="1">
      <alignment horizontal="center" vertical="top" wrapText="1"/>
    </xf>
    <xf numFmtId="0" fontId="9" fillId="6" borderId="21" xfId="0" applyNumberFormat="1" applyFont="1" applyFill="1" applyBorder="1" applyAlignment="1">
      <alignment horizontal="left" vertical="top" wrapText="1"/>
    </xf>
    <xf numFmtId="2" fontId="9" fillId="6" borderId="23" xfId="0" applyNumberFormat="1" applyFont="1" applyFill="1" applyBorder="1" applyAlignment="1">
      <alignment horizontal="center" vertical="top" wrapText="1"/>
    </xf>
    <xf numFmtId="2" fontId="9" fillId="6" borderId="20" xfId="0" applyNumberFormat="1" applyFont="1" applyFill="1" applyBorder="1" applyAlignment="1">
      <alignment horizontal="center" vertical="center"/>
    </xf>
    <xf numFmtId="0" fontId="9" fillId="6" borderId="20" xfId="0" applyNumberFormat="1" applyFont="1" applyFill="1" applyBorder="1" applyAlignment="1">
      <alignment horizontal="center" vertical="center" wrapText="1"/>
    </xf>
    <xf numFmtId="2" fontId="9" fillId="6" borderId="20" xfId="0" applyNumberFormat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right" vertical="center"/>
    </xf>
    <xf numFmtId="0" fontId="9" fillId="6" borderId="13" xfId="0" applyFont="1" applyFill="1" applyBorder="1" applyAlignment="1">
      <alignment vertical="center"/>
    </xf>
    <xf numFmtId="0" fontId="9" fillId="6" borderId="42" xfId="0" applyNumberFormat="1" applyFont="1" applyFill="1" applyBorder="1" applyAlignment="1">
      <alignment horizontal="right" vertical="center"/>
    </xf>
    <xf numFmtId="0" fontId="9" fillId="12" borderId="46" xfId="0" quotePrefix="1" applyFont="1" applyFill="1" applyBorder="1" applyAlignment="1">
      <alignment horizontal="center" vertical="top" wrapText="1"/>
    </xf>
    <xf numFmtId="0" fontId="9" fillId="12" borderId="46" xfId="0" quotePrefix="1" applyFont="1" applyFill="1" applyBorder="1" applyAlignment="1">
      <alignment horizontal="left" vertical="top" wrapText="1"/>
    </xf>
    <xf numFmtId="0" fontId="9" fillId="12" borderId="15" xfId="0" quotePrefix="1" applyFont="1" applyFill="1" applyBorder="1" applyAlignment="1">
      <alignment horizontal="center" vertical="top" wrapText="1"/>
    </xf>
    <xf numFmtId="0" fontId="9" fillId="12" borderId="15" xfId="0" quotePrefix="1" applyFont="1" applyFill="1" applyBorder="1" applyAlignment="1">
      <alignment horizontal="left" vertical="top" wrapText="1"/>
    </xf>
    <xf numFmtId="0" fontId="9" fillId="12" borderId="15" xfId="0" applyFont="1" applyFill="1" applyBorder="1" applyAlignment="1">
      <alignment horizontal="center" vertical="center"/>
    </xf>
    <xf numFmtId="2" fontId="9" fillId="12" borderId="20" xfId="0" applyNumberFormat="1" applyFont="1" applyFill="1" applyBorder="1" applyAlignment="1">
      <alignment horizontal="center" vertical="top" wrapText="1"/>
    </xf>
    <xf numFmtId="2" fontId="9" fillId="12" borderId="42" xfId="0" applyNumberFormat="1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vertical="center"/>
    </xf>
    <xf numFmtId="2" fontId="9" fillId="12" borderId="21" xfId="0" applyNumberFormat="1" applyFont="1" applyFill="1" applyBorder="1" applyAlignment="1">
      <alignment horizontal="left" vertical="center"/>
    </xf>
    <xf numFmtId="0" fontId="9" fillId="17" borderId="0" xfId="0" applyFont="1" applyFill="1"/>
    <xf numFmtId="2" fontId="9" fillId="17" borderId="20" xfId="0" applyNumberFormat="1" applyFont="1" applyFill="1" applyBorder="1" applyAlignment="1">
      <alignment horizontal="center" vertical="top" wrapText="1"/>
    </xf>
    <xf numFmtId="0" fontId="9" fillId="16" borderId="15" xfId="0" applyFont="1" applyFill="1" applyBorder="1" applyAlignment="1"/>
    <xf numFmtId="165" fontId="9" fillId="16" borderId="15" xfId="0" applyNumberFormat="1" applyFont="1" applyFill="1" applyBorder="1" applyAlignment="1">
      <alignment horizontal="center" vertical="center"/>
    </xf>
    <xf numFmtId="165" fontId="9" fillId="13" borderId="20" xfId="0" applyNumberFormat="1" applyFont="1" applyFill="1" applyBorder="1" applyAlignment="1">
      <alignment horizontal="center" vertical="center"/>
    </xf>
    <xf numFmtId="165" fontId="9" fillId="13" borderId="20" xfId="0" applyNumberFormat="1" applyFont="1" applyFill="1" applyBorder="1" applyAlignment="1">
      <alignment horizontal="center" vertical="center" wrapText="1"/>
    </xf>
    <xf numFmtId="0" fontId="29" fillId="6" borderId="42" xfId="0" applyNumberFormat="1" applyFont="1" applyFill="1" applyBorder="1" applyAlignment="1">
      <alignment horizontal="right" vertical="top" wrapText="1"/>
    </xf>
    <xf numFmtId="2" fontId="29" fillId="6" borderId="13" xfId="0" applyNumberFormat="1" applyFont="1" applyFill="1" applyBorder="1" applyAlignment="1">
      <alignment horizontal="center" vertical="top" wrapText="1"/>
    </xf>
    <xf numFmtId="0" fontId="29" fillId="6" borderId="21" xfId="0" applyNumberFormat="1" applyFont="1" applyFill="1" applyBorder="1" applyAlignment="1">
      <alignment horizontal="left" vertical="top" wrapText="1"/>
    </xf>
    <xf numFmtId="0" fontId="29" fillId="6" borderId="42" xfId="0" applyFont="1" applyFill="1" applyBorder="1" applyAlignment="1">
      <alignment horizontal="right" vertical="center"/>
    </xf>
    <xf numFmtId="0" fontId="29" fillId="6" borderId="13" xfId="0" applyFont="1" applyFill="1" applyBorder="1" applyAlignment="1">
      <alignment vertical="center"/>
    </xf>
    <xf numFmtId="0" fontId="29" fillId="6" borderId="42" xfId="0" applyNumberFormat="1" applyFont="1" applyFill="1" applyBorder="1" applyAlignment="1">
      <alignment horizontal="right" vertical="center"/>
    </xf>
    <xf numFmtId="0" fontId="5" fillId="6" borderId="20" xfId="0" applyFont="1" applyFill="1" applyBorder="1" applyAlignment="1">
      <alignment vertical="top" wrapText="1"/>
    </xf>
    <xf numFmtId="0" fontId="9" fillId="6" borderId="20" xfId="0" applyNumberFormat="1" applyFont="1" applyFill="1" applyBorder="1" applyAlignment="1">
      <alignment horizontal="center" vertical="top" wrapText="1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2" fontId="9" fillId="15" borderId="0" xfId="0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12" fillId="11" borderId="0" xfId="0" applyFont="1" applyFill="1" applyBorder="1" applyAlignment="1">
      <alignment horizontal="center" vertical="top" wrapText="1"/>
    </xf>
    <xf numFmtId="165" fontId="11" fillId="0" borderId="0" xfId="0" applyNumberFormat="1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top" wrapText="1"/>
    </xf>
    <xf numFmtId="0" fontId="1" fillId="0" borderId="20" xfId="0" applyFont="1" applyFill="1" applyBorder="1" applyAlignment="1">
      <alignment horizontal="center" vertical="top" wrapText="1"/>
    </xf>
    <xf numFmtId="2" fontId="9" fillId="0" borderId="20" xfId="0" applyNumberFormat="1" applyFont="1" applyFill="1" applyBorder="1" applyAlignment="1">
      <alignment horizontal="center" vertical="center" wrapText="1"/>
    </xf>
    <xf numFmtId="165" fontId="11" fillId="0" borderId="0" xfId="0" applyNumberFormat="1" applyFont="1" applyFill="1" applyBorder="1" applyAlignment="1">
      <alignment horizontal="left" vertical="center"/>
    </xf>
    <xf numFmtId="49" fontId="11" fillId="0" borderId="2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/>
    </xf>
    <xf numFmtId="49" fontId="11" fillId="2" borderId="20" xfId="0" applyNumberFormat="1" applyFont="1" applyFill="1" applyBorder="1" applyAlignment="1">
      <alignment horizontal="center"/>
    </xf>
    <xf numFmtId="0" fontId="11" fillId="0" borderId="20" xfId="0" applyFont="1" applyBorder="1" applyAlignment="1">
      <alignment vertical="top" wrapText="1"/>
    </xf>
    <xf numFmtId="0" fontId="11" fillId="0" borderId="0" xfId="0" applyFont="1" applyAlignment="1">
      <alignment horizontal="left"/>
    </xf>
    <xf numFmtId="0" fontId="1" fillId="15" borderId="16" xfId="0" applyFont="1" applyFill="1" applyBorder="1" applyAlignment="1">
      <alignment horizontal="center" vertical="top" wrapText="1"/>
    </xf>
    <xf numFmtId="0" fontId="1" fillId="15" borderId="10" xfId="0" applyFont="1" applyFill="1" applyBorder="1" applyAlignment="1">
      <alignment horizontal="center" vertical="top" wrapText="1"/>
    </xf>
    <xf numFmtId="0" fontId="9" fillId="0" borderId="16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top" wrapText="1"/>
    </xf>
    <xf numFmtId="0" fontId="9" fillId="13" borderId="20" xfId="0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40" xfId="0" applyFont="1" applyFill="1" applyBorder="1" applyAlignment="1">
      <alignment horizontal="center" vertical="top" wrapText="1"/>
    </xf>
    <xf numFmtId="0" fontId="1" fillId="0" borderId="46" xfId="0" applyFont="1" applyFill="1" applyBorder="1" applyAlignment="1">
      <alignment horizontal="center" vertical="top" wrapText="1"/>
    </xf>
    <xf numFmtId="0" fontId="1" fillId="0" borderId="23" xfId="0" applyFont="1" applyFill="1" applyBorder="1" applyAlignment="1">
      <alignment horizontal="center" vertical="top" wrapText="1"/>
    </xf>
    <xf numFmtId="0" fontId="1" fillId="0" borderId="39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17" xfId="0" applyFont="1" applyFill="1" applyBorder="1" applyAlignment="1">
      <alignment horizontal="center" vertical="top" wrapText="1"/>
    </xf>
    <xf numFmtId="0" fontId="1" fillId="0" borderId="20" xfId="0" applyFont="1" applyFill="1" applyBorder="1" applyAlignment="1">
      <alignment horizontal="center" vertical="top" wrapText="1"/>
    </xf>
    <xf numFmtId="0" fontId="14" fillId="13" borderId="40" xfId="0" applyFont="1" applyFill="1" applyBorder="1" applyAlignment="1">
      <alignment horizontal="center" vertical="top" wrapText="1"/>
    </xf>
    <xf numFmtId="0" fontId="14" fillId="13" borderId="46" xfId="0" applyFont="1" applyFill="1" applyBorder="1" applyAlignment="1">
      <alignment horizontal="center" vertical="top" wrapText="1"/>
    </xf>
    <xf numFmtId="0" fontId="14" fillId="13" borderId="39" xfId="0" applyFont="1" applyFill="1" applyBorder="1" applyAlignment="1">
      <alignment horizontal="center" vertical="top" wrapText="1"/>
    </xf>
    <xf numFmtId="0" fontId="14" fillId="13" borderId="0" xfId="0" applyFont="1" applyFill="1" applyBorder="1" applyAlignment="1">
      <alignment horizontal="center" vertical="top" wrapText="1"/>
    </xf>
    <xf numFmtId="0" fontId="14" fillId="13" borderId="66" xfId="0" applyFont="1" applyFill="1" applyBorder="1" applyAlignment="1">
      <alignment horizontal="center" vertical="top" wrapText="1"/>
    </xf>
    <xf numFmtId="0" fontId="14" fillId="13" borderId="65" xfId="0" applyFont="1" applyFill="1" applyBorder="1" applyAlignment="1">
      <alignment horizontal="center" vertical="top" wrapText="1"/>
    </xf>
    <xf numFmtId="0" fontId="1" fillId="0" borderId="30" xfId="0" applyFont="1" applyFill="1" applyBorder="1" applyAlignment="1">
      <alignment horizontal="center" vertical="top" wrapText="1"/>
    </xf>
    <xf numFmtId="0" fontId="1" fillId="0" borderId="15" xfId="0" applyFont="1" applyFill="1" applyBorder="1" applyAlignment="1">
      <alignment horizontal="center" vertical="top" wrapText="1"/>
    </xf>
    <xf numFmtId="0" fontId="1" fillId="0" borderId="36" xfId="0" applyFont="1" applyFill="1" applyBorder="1" applyAlignment="1">
      <alignment horizontal="center" vertical="top" wrapText="1"/>
    </xf>
    <xf numFmtId="0" fontId="5" fillId="6" borderId="20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9" fillId="6" borderId="40" xfId="0" applyFont="1" applyFill="1" applyBorder="1" applyAlignment="1">
      <alignment horizontal="center" vertical="top" wrapText="1"/>
    </xf>
    <xf numFmtId="0" fontId="9" fillId="6" borderId="46" xfId="0" applyFont="1" applyFill="1" applyBorder="1" applyAlignment="1">
      <alignment horizontal="center" vertical="top" wrapText="1"/>
    </xf>
    <xf numFmtId="0" fontId="9" fillId="6" borderId="23" xfId="0" applyFont="1" applyFill="1" applyBorder="1" applyAlignment="1">
      <alignment horizontal="center" vertical="top" wrapText="1"/>
    </xf>
    <xf numFmtId="0" fontId="9" fillId="6" borderId="39" xfId="0" applyFont="1" applyFill="1" applyBorder="1" applyAlignment="1">
      <alignment horizontal="center" vertical="top" wrapText="1"/>
    </xf>
    <xf numFmtId="0" fontId="9" fillId="6" borderId="0" xfId="0" applyFont="1" applyFill="1" applyBorder="1" applyAlignment="1">
      <alignment horizontal="center" vertical="top" wrapText="1"/>
    </xf>
    <xf numFmtId="0" fontId="9" fillId="6" borderId="17" xfId="0" applyFont="1" applyFill="1" applyBorder="1" applyAlignment="1">
      <alignment horizontal="center" vertical="top" wrapText="1"/>
    </xf>
    <xf numFmtId="0" fontId="9" fillId="6" borderId="30" xfId="0" applyFont="1" applyFill="1" applyBorder="1" applyAlignment="1">
      <alignment horizontal="center" vertical="top" wrapText="1"/>
    </xf>
    <xf numFmtId="0" fontId="9" fillId="6" borderId="15" xfId="0" applyFont="1" applyFill="1" applyBorder="1" applyAlignment="1">
      <alignment horizontal="center" vertical="top" wrapText="1"/>
    </xf>
    <xf numFmtId="0" fontId="9" fillId="6" borderId="36" xfId="0" applyFont="1" applyFill="1" applyBorder="1" applyAlignment="1">
      <alignment horizontal="center" vertical="top" wrapText="1"/>
    </xf>
    <xf numFmtId="0" fontId="9" fillId="16" borderId="20" xfId="0" applyFont="1" applyFill="1" applyBorder="1" applyAlignment="1">
      <alignment horizontal="center" vertical="top" wrapText="1"/>
    </xf>
    <xf numFmtId="0" fontId="9" fillId="16" borderId="20" xfId="0" quotePrefix="1" applyFont="1" applyFill="1" applyBorder="1" applyAlignment="1">
      <alignment horizontal="center" vertical="top" wrapText="1"/>
    </xf>
    <xf numFmtId="0" fontId="9" fillId="17" borderId="16" xfId="0" applyFont="1" applyFill="1" applyBorder="1" applyAlignment="1">
      <alignment horizontal="center" vertical="top" wrapText="1"/>
    </xf>
    <xf numFmtId="0" fontId="9" fillId="17" borderId="10" xfId="0" applyFont="1" applyFill="1" applyBorder="1" applyAlignment="1">
      <alignment horizontal="center" vertical="top" wrapText="1"/>
    </xf>
    <xf numFmtId="0" fontId="9" fillId="17" borderId="24" xfId="0" applyFont="1" applyFill="1" applyBorder="1" applyAlignment="1">
      <alignment horizontal="center" vertical="top" wrapText="1"/>
    </xf>
    <xf numFmtId="0" fontId="9" fillId="12" borderId="68" xfId="0" applyFont="1" applyFill="1" applyBorder="1" applyAlignment="1">
      <alignment horizontal="center" vertical="top" wrapText="1"/>
    </xf>
    <xf numFmtId="0" fontId="9" fillId="12" borderId="24" xfId="0" applyFont="1" applyFill="1" applyBorder="1" applyAlignment="1">
      <alignment horizontal="center" vertical="top" wrapText="1"/>
    </xf>
    <xf numFmtId="0" fontId="9" fillId="12" borderId="20" xfId="0" applyFont="1" applyFill="1" applyBorder="1" applyAlignment="1">
      <alignment horizontal="center" vertical="top" wrapText="1"/>
    </xf>
    <xf numFmtId="0" fontId="14" fillId="12" borderId="20" xfId="0" applyFont="1" applyFill="1" applyBorder="1" applyAlignment="1">
      <alignment horizontal="center" vertical="top" wrapText="1"/>
    </xf>
    <xf numFmtId="0" fontId="14" fillId="12" borderId="40" xfId="0" applyFont="1" applyFill="1" applyBorder="1" applyAlignment="1">
      <alignment horizontal="center" vertical="top" wrapText="1"/>
    </xf>
    <xf numFmtId="0" fontId="14" fillId="12" borderId="46" xfId="0" applyFont="1" applyFill="1" applyBorder="1" applyAlignment="1">
      <alignment horizontal="center" vertical="top" wrapText="1"/>
    </xf>
    <xf numFmtId="0" fontId="14" fillId="12" borderId="39" xfId="0" applyFont="1" applyFill="1" applyBorder="1" applyAlignment="1">
      <alignment horizontal="center" vertical="top" wrapText="1"/>
    </xf>
    <xf numFmtId="0" fontId="14" fillId="12" borderId="0" xfId="0" applyFont="1" applyFill="1" applyBorder="1" applyAlignment="1">
      <alignment horizontal="center" vertical="top" wrapText="1"/>
    </xf>
    <xf numFmtId="0" fontId="14" fillId="12" borderId="66" xfId="0" applyFont="1" applyFill="1" applyBorder="1" applyAlignment="1">
      <alignment horizontal="center" vertical="top" wrapText="1"/>
    </xf>
    <xf numFmtId="0" fontId="14" fillId="12" borderId="65" xfId="0" applyFont="1" applyFill="1" applyBorder="1" applyAlignment="1">
      <alignment horizontal="center" vertical="top" wrapText="1"/>
    </xf>
    <xf numFmtId="0" fontId="5" fillId="0" borderId="53" xfId="0" applyFont="1" applyFill="1" applyBorder="1" applyAlignment="1">
      <alignment horizontal="center" vertical="top" wrapText="1"/>
    </xf>
    <xf numFmtId="0" fontId="5" fillId="0" borderId="55" xfId="0" applyFont="1" applyFill="1" applyBorder="1" applyAlignment="1">
      <alignment horizontal="center" vertical="top" wrapText="1"/>
    </xf>
    <xf numFmtId="0" fontId="5" fillId="0" borderId="50" xfId="0" applyFont="1" applyFill="1" applyBorder="1" applyAlignment="1">
      <alignment horizontal="center" vertical="top" wrapText="1"/>
    </xf>
    <xf numFmtId="0" fontId="5" fillId="0" borderId="51" xfId="0" applyFont="1" applyFill="1" applyBorder="1" applyAlignment="1">
      <alignment horizontal="center" vertical="top" wrapText="1"/>
    </xf>
    <xf numFmtId="0" fontId="5" fillId="0" borderId="24" xfId="0" applyFont="1" applyFill="1" applyBorder="1" applyAlignment="1">
      <alignment horizontal="center" vertical="top" wrapText="1"/>
    </xf>
    <xf numFmtId="0" fontId="9" fillId="12" borderId="40" xfId="0" quotePrefix="1" applyFont="1" applyFill="1" applyBorder="1" applyAlignment="1">
      <alignment horizontal="center" vertical="top" wrapText="1"/>
    </xf>
    <xf numFmtId="0" fontId="9" fillId="12" borderId="46" xfId="0" quotePrefix="1" applyFont="1" applyFill="1" applyBorder="1" applyAlignment="1">
      <alignment horizontal="center" vertical="top" wrapText="1"/>
    </xf>
    <xf numFmtId="0" fontId="9" fillId="12" borderId="30" xfId="0" quotePrefix="1" applyFont="1" applyFill="1" applyBorder="1" applyAlignment="1">
      <alignment horizontal="center" vertical="top" wrapText="1"/>
    </xf>
    <xf numFmtId="0" fontId="9" fillId="12" borderId="15" xfId="0" quotePrefix="1" applyFont="1" applyFill="1" applyBorder="1" applyAlignment="1">
      <alignment horizontal="center" vertical="top" wrapText="1"/>
    </xf>
    <xf numFmtId="0" fontId="9" fillId="12" borderId="54" xfId="0" applyFont="1" applyFill="1" applyBorder="1" applyAlignment="1">
      <alignment horizontal="center" vertical="top" wrapText="1"/>
    </xf>
    <xf numFmtId="0" fontId="9" fillId="12" borderId="15" xfId="0" applyFont="1" applyFill="1" applyBorder="1" applyAlignment="1">
      <alignment horizontal="center" vertical="top" wrapText="1"/>
    </xf>
    <xf numFmtId="0" fontId="5" fillId="0" borderId="40" xfId="0" applyFont="1" applyFill="1" applyBorder="1" applyAlignment="1">
      <alignment horizontal="center" vertical="top" wrapText="1"/>
    </xf>
    <xf numFmtId="0" fontId="5" fillId="0" borderId="23" xfId="0" applyFont="1" applyFill="1" applyBorder="1" applyAlignment="1">
      <alignment horizontal="center" vertical="top" wrapText="1"/>
    </xf>
    <xf numFmtId="0" fontId="0" fillId="0" borderId="30" xfId="0" applyFill="1" applyBorder="1" applyAlignment="1">
      <alignment horizontal="center" vertical="top" wrapText="1"/>
    </xf>
    <xf numFmtId="0" fontId="0" fillId="0" borderId="36" xfId="0" applyFill="1" applyBorder="1" applyAlignment="1">
      <alignment horizontal="center" vertical="top" wrapText="1"/>
    </xf>
    <xf numFmtId="0" fontId="2" fillId="15" borderId="16" xfId="0" applyFont="1" applyFill="1" applyBorder="1" applyAlignment="1">
      <alignment horizontal="center" vertical="top" wrapText="1"/>
    </xf>
    <xf numFmtId="0" fontId="2" fillId="15" borderId="10" xfId="0" applyFont="1" applyFill="1" applyBorder="1" applyAlignment="1">
      <alignment horizontal="center" vertical="top" wrapText="1"/>
    </xf>
    <xf numFmtId="0" fontId="2" fillId="15" borderId="23" xfId="0" applyFont="1" applyFill="1" applyBorder="1" applyAlignment="1">
      <alignment horizontal="center" vertical="top" wrapText="1"/>
    </xf>
    <xf numFmtId="0" fontId="2" fillId="15" borderId="17" xfId="0" applyFont="1" applyFill="1" applyBorder="1" applyAlignment="1">
      <alignment horizontal="center" vertical="top" wrapText="1"/>
    </xf>
    <xf numFmtId="0" fontId="9" fillId="15" borderId="16" xfId="0" applyFont="1" applyFill="1" applyBorder="1" applyAlignment="1">
      <alignment horizontal="center" vertical="top" wrapText="1"/>
    </xf>
    <xf numFmtId="0" fontId="9" fillId="15" borderId="10" xfId="0" quotePrefix="1" applyFont="1" applyFill="1" applyBorder="1" applyAlignment="1">
      <alignment horizontal="center" vertical="top" wrapText="1"/>
    </xf>
    <xf numFmtId="0" fontId="9" fillId="0" borderId="20" xfId="0" applyFont="1" applyFill="1" applyBorder="1" applyAlignment="1">
      <alignment horizontal="center" vertical="top" wrapText="1"/>
    </xf>
    <xf numFmtId="0" fontId="9" fillId="0" borderId="16" xfId="0" applyFont="1" applyFill="1" applyBorder="1" applyAlignment="1">
      <alignment horizontal="center" vertical="top"/>
    </xf>
    <xf numFmtId="0" fontId="9" fillId="0" borderId="10" xfId="0" applyFont="1" applyFill="1" applyBorder="1" applyAlignment="1">
      <alignment horizontal="center" vertical="top"/>
    </xf>
    <xf numFmtId="0" fontId="5" fillId="0" borderId="46" xfId="0" applyFont="1" applyFill="1" applyBorder="1" applyAlignment="1">
      <alignment horizontal="center" vertical="top" wrapText="1"/>
    </xf>
    <xf numFmtId="0" fontId="5" fillId="0" borderId="39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top" wrapText="1"/>
    </xf>
    <xf numFmtId="0" fontId="5" fillId="0" borderId="30" xfId="0" applyFont="1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center" vertical="top" wrapText="1"/>
    </xf>
    <xf numFmtId="0" fontId="5" fillId="0" borderId="36" xfId="0" applyFont="1" applyFill="1" applyBorder="1" applyAlignment="1">
      <alignment horizontal="center" vertical="top" wrapText="1"/>
    </xf>
    <xf numFmtId="0" fontId="1" fillId="0" borderId="24" xfId="0" applyFont="1" applyFill="1" applyBorder="1" applyAlignment="1">
      <alignment horizontal="center" vertical="top" wrapText="1"/>
    </xf>
    <xf numFmtId="0" fontId="9" fillId="13" borderId="54" xfId="0" applyFont="1" applyFill="1" applyBorder="1" applyAlignment="1">
      <alignment horizontal="center" vertical="top" wrapText="1"/>
    </xf>
    <xf numFmtId="0" fontId="9" fillId="13" borderId="15" xfId="0" applyFont="1" applyFill="1" applyBorder="1" applyAlignment="1">
      <alignment horizontal="center" vertical="top" wrapText="1"/>
    </xf>
    <xf numFmtId="0" fontId="9" fillId="15" borderId="20" xfId="0" applyFont="1" applyFill="1" applyBorder="1" applyAlignment="1">
      <alignment horizontal="center" vertical="top" wrapText="1"/>
    </xf>
    <xf numFmtId="0" fontId="5" fillId="6" borderId="16" xfId="0" applyFont="1" applyFill="1" applyBorder="1" applyAlignment="1">
      <alignment horizontal="center" vertical="top" wrapText="1"/>
    </xf>
    <xf numFmtId="0" fontId="5" fillId="6" borderId="10" xfId="0" applyFont="1" applyFill="1" applyBorder="1" applyAlignment="1">
      <alignment horizontal="center" vertical="top" wrapText="1"/>
    </xf>
    <xf numFmtId="0" fontId="5" fillId="6" borderId="24" xfId="0" applyFont="1" applyFill="1" applyBorder="1" applyAlignment="1">
      <alignment horizontal="center" vertical="top" wrapText="1"/>
    </xf>
    <xf numFmtId="0" fontId="9" fillId="6" borderId="15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 vertical="top" wrapText="1"/>
    </xf>
    <xf numFmtId="0" fontId="9" fillId="0" borderId="46" xfId="0" applyFont="1" applyFill="1" applyBorder="1" applyAlignment="1">
      <alignment horizontal="center" vertical="top" wrapText="1"/>
    </xf>
    <xf numFmtId="0" fontId="9" fillId="0" borderId="23" xfId="0" applyFont="1" applyFill="1" applyBorder="1" applyAlignment="1">
      <alignment horizontal="center" vertical="top" wrapText="1"/>
    </xf>
    <xf numFmtId="0" fontId="9" fillId="0" borderId="39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17" xfId="0" applyFont="1" applyFill="1" applyBorder="1" applyAlignment="1">
      <alignment horizontal="center" vertical="top" wrapText="1"/>
    </xf>
    <xf numFmtId="0" fontId="9" fillId="15" borderId="20" xfId="0" applyFont="1" applyFill="1" applyBorder="1" applyAlignment="1">
      <alignment horizontal="center" vertical="top"/>
    </xf>
    <xf numFmtId="0" fontId="9" fillId="12" borderId="15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center"/>
    </xf>
    <xf numFmtId="0" fontId="9" fillId="16" borderId="16" xfId="0" applyFont="1" applyFill="1" applyBorder="1" applyAlignment="1">
      <alignment horizontal="center" vertical="top" wrapText="1"/>
    </xf>
    <xf numFmtId="0" fontId="9" fillId="16" borderId="10" xfId="0" applyFont="1" applyFill="1" applyBorder="1" applyAlignment="1">
      <alignment horizontal="center" vertical="top" wrapText="1"/>
    </xf>
    <xf numFmtId="0" fontId="9" fillId="0" borderId="16" xfId="0" quotePrefix="1" applyFont="1" applyFill="1" applyBorder="1" applyAlignment="1">
      <alignment horizontal="center" vertical="top" wrapText="1"/>
    </xf>
    <xf numFmtId="0" fontId="9" fillId="0" borderId="10" xfId="0" quotePrefix="1" applyFont="1" applyFill="1" applyBorder="1" applyAlignment="1">
      <alignment horizontal="center" vertical="top" wrapText="1"/>
    </xf>
    <xf numFmtId="0" fontId="9" fillId="0" borderId="20" xfId="0" quotePrefix="1" applyFont="1" applyFill="1" applyBorder="1" applyAlignment="1">
      <alignment horizontal="center" vertical="top" wrapText="1"/>
    </xf>
    <xf numFmtId="0" fontId="9" fillId="13" borderId="20" xfId="0" quotePrefix="1" applyFont="1" applyFill="1" applyBorder="1" applyAlignment="1">
      <alignment horizontal="center" vertical="top" wrapText="1"/>
    </xf>
    <xf numFmtId="0" fontId="9" fillId="13" borderId="42" xfId="0" quotePrefix="1" applyFont="1" applyFill="1" applyBorder="1" applyAlignment="1">
      <alignment horizontal="center" vertical="top" wrapText="1"/>
    </xf>
    <xf numFmtId="0" fontId="9" fillId="13" borderId="68" xfId="0" applyFont="1" applyFill="1" applyBorder="1" applyAlignment="1">
      <alignment horizontal="center" vertical="top" wrapText="1"/>
    </xf>
    <xf numFmtId="0" fontId="9" fillId="13" borderId="24" xfId="0" applyFont="1" applyFill="1" applyBorder="1" applyAlignment="1">
      <alignment horizontal="center" vertical="top" wrapText="1"/>
    </xf>
    <xf numFmtId="0" fontId="0" fillId="3" borderId="39" xfId="0" applyFill="1" applyBorder="1" applyAlignment="1">
      <alignment horizontal="center" textRotation="90" wrapText="1"/>
    </xf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24" xfId="0" applyNumberFormat="1" applyFont="1" applyFill="1" applyBorder="1" applyAlignment="1">
      <alignment horizontal="center" vertical="center" wrapText="1"/>
    </xf>
    <xf numFmtId="2" fontId="9" fillId="4" borderId="71" xfId="0" applyNumberFormat="1" applyFont="1" applyFill="1" applyBorder="1" applyAlignment="1">
      <alignment horizontal="center" vertical="center" wrapText="1"/>
    </xf>
    <xf numFmtId="2" fontId="9" fillId="4" borderId="10" xfId="0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2" fontId="9" fillId="4" borderId="16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2" fontId="9" fillId="0" borderId="42" xfId="0" applyNumberFormat="1" applyFont="1" applyBorder="1" applyAlignment="1">
      <alignment horizontal="center" vertical="center" wrapText="1"/>
    </xf>
    <xf numFmtId="2" fontId="9" fillId="0" borderId="21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61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50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top" textRotation="90" wrapText="1"/>
    </xf>
    <xf numFmtId="0" fontId="5" fillId="0" borderId="78" xfId="0" applyFont="1" applyBorder="1" applyAlignment="1">
      <alignment horizontal="center" vertical="top" textRotation="90" wrapText="1"/>
    </xf>
    <xf numFmtId="0" fontId="5" fillId="0" borderId="3" xfId="0" applyFont="1" applyBorder="1" applyAlignment="1">
      <alignment horizontal="center" vertical="top" wrapText="1"/>
    </xf>
    <xf numFmtId="2" fontId="9" fillId="4" borderId="0" xfId="0" applyNumberFormat="1" applyFont="1" applyFill="1" applyBorder="1" applyAlignment="1">
      <alignment horizontal="center" vertical="center" wrapText="1"/>
    </xf>
    <xf numFmtId="2" fontId="9" fillId="4" borderId="17" xfId="0" applyNumberFormat="1" applyFont="1" applyFill="1" applyBorder="1" applyAlignment="1">
      <alignment horizontal="center" vertical="center" wrapText="1"/>
    </xf>
    <xf numFmtId="0" fontId="9" fillId="4" borderId="42" xfId="0" applyNumberFormat="1" applyFont="1" applyFill="1" applyBorder="1" applyAlignment="1">
      <alignment horizontal="center" vertical="center" wrapText="1"/>
    </xf>
    <xf numFmtId="0" fontId="9" fillId="4" borderId="13" xfId="0" applyNumberFormat="1" applyFont="1" applyFill="1" applyBorder="1" applyAlignment="1">
      <alignment horizontal="center" vertical="center" wrapText="1"/>
    </xf>
    <xf numFmtId="0" fontId="9" fillId="4" borderId="21" xfId="0" applyNumberFormat="1" applyFont="1" applyFill="1" applyBorder="1" applyAlignment="1">
      <alignment horizontal="center" vertical="center" wrapText="1"/>
    </xf>
    <xf numFmtId="2" fontId="9" fillId="0" borderId="42" xfId="0" applyNumberFormat="1" applyFont="1" applyFill="1" applyBorder="1" applyAlignment="1">
      <alignment horizontal="center" vertical="center" wrapText="1"/>
    </xf>
    <xf numFmtId="2" fontId="9" fillId="0" borderId="21" xfId="0" applyNumberFormat="1" applyFont="1" applyFill="1" applyBorder="1" applyAlignment="1">
      <alignment horizontal="center" vertical="center" wrapText="1"/>
    </xf>
    <xf numFmtId="2" fontId="9" fillId="0" borderId="47" xfId="0" applyNumberFormat="1" applyFont="1" applyFill="1" applyBorder="1" applyAlignment="1">
      <alignment horizontal="center" vertical="center" wrapText="1"/>
    </xf>
    <xf numFmtId="2" fontId="9" fillId="0" borderId="26" xfId="0" applyNumberFormat="1" applyFont="1" applyFill="1" applyBorder="1" applyAlignment="1">
      <alignment horizontal="center" vertical="center" wrapText="1"/>
    </xf>
    <xf numFmtId="2" fontId="15" fillId="0" borderId="11" xfId="0" applyNumberFormat="1" applyFont="1" applyFill="1" applyBorder="1" applyAlignment="1">
      <alignment horizontal="left" vertical="top" wrapText="1"/>
    </xf>
    <xf numFmtId="2" fontId="15" fillId="0" borderId="31" xfId="0" applyNumberFormat="1" applyFont="1" applyFill="1" applyBorder="1" applyAlignment="1">
      <alignment horizontal="left" vertical="top" wrapText="1"/>
    </xf>
    <xf numFmtId="2" fontId="15" fillId="0" borderId="44" xfId="0" applyNumberFormat="1" applyFont="1" applyFill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5" fillId="0" borderId="73" xfId="0" applyFont="1" applyBorder="1" applyAlignment="1">
      <alignment horizontal="center" vertical="top" wrapText="1"/>
    </xf>
    <xf numFmtId="0" fontId="5" fillId="0" borderId="53" xfId="0" applyFont="1" applyBorder="1" applyAlignment="1">
      <alignment horizontal="center" vertical="top" wrapText="1"/>
    </xf>
    <xf numFmtId="0" fontId="5" fillId="0" borderId="55" xfId="0" applyFont="1" applyBorder="1" applyAlignment="1">
      <alignment horizontal="center" vertical="top" wrapText="1"/>
    </xf>
    <xf numFmtId="0" fontId="5" fillId="0" borderId="51" xfId="0" applyFont="1" applyBorder="1" applyAlignment="1">
      <alignment horizontal="center" vertical="top" wrapText="1"/>
    </xf>
    <xf numFmtId="0" fontId="5" fillId="0" borderId="56" xfId="0" applyFont="1" applyBorder="1" applyAlignment="1">
      <alignment horizontal="center" vertical="top" wrapText="1"/>
    </xf>
    <xf numFmtId="0" fontId="5" fillId="0" borderId="74" xfId="0" applyFont="1" applyBorder="1" applyAlignment="1">
      <alignment horizontal="center" vertical="top" wrapText="1"/>
    </xf>
    <xf numFmtId="0" fontId="5" fillId="0" borderId="46" xfId="0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center" vertical="top" wrapText="1"/>
    </xf>
    <xf numFmtId="0" fontId="5" fillId="0" borderId="5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4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2" fontId="5" fillId="0" borderId="61" xfId="0" applyNumberFormat="1" applyFont="1" applyBorder="1" applyAlignment="1">
      <alignment horizontal="center" vertical="top" wrapText="1"/>
    </xf>
    <xf numFmtId="2" fontId="5" fillId="0" borderId="19" xfId="0" applyNumberFormat="1" applyFont="1" applyBorder="1" applyAlignment="1">
      <alignment horizontal="center" vertical="top" wrapText="1"/>
    </xf>
    <xf numFmtId="2" fontId="5" fillId="0" borderId="52" xfId="0" applyNumberFormat="1" applyFont="1" applyBorder="1" applyAlignment="1">
      <alignment horizontal="center" vertical="top" wrapText="1"/>
    </xf>
    <xf numFmtId="2" fontId="5" fillId="0" borderId="17" xfId="0" applyNumberFormat="1" applyFont="1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  <xf numFmtId="0" fontId="5" fillId="0" borderId="75" xfId="0" applyFont="1" applyBorder="1" applyAlignment="1">
      <alignment horizontal="center" vertical="center" textRotation="90" wrapText="1"/>
    </xf>
    <xf numFmtId="0" fontId="5" fillId="0" borderId="73" xfId="0" applyFont="1" applyBorder="1" applyAlignment="1">
      <alignment horizontal="center" vertical="center" textRotation="90" wrapText="1"/>
    </xf>
    <xf numFmtId="0" fontId="5" fillId="0" borderId="6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64" xfId="0" applyFont="1" applyBorder="1" applyAlignment="1">
      <alignment horizontal="center" vertical="top" wrapText="1"/>
    </xf>
    <xf numFmtId="2" fontId="5" fillId="0" borderId="18" xfId="0" applyNumberFormat="1" applyFont="1" applyBorder="1" applyAlignment="1">
      <alignment horizontal="center" vertical="center" textRotation="90" wrapText="1"/>
    </xf>
    <xf numFmtId="2" fontId="5" fillId="0" borderId="10" xfId="0" applyNumberFormat="1" applyFont="1" applyBorder="1" applyAlignment="1">
      <alignment horizontal="center" vertical="center" textRotation="90" wrapText="1"/>
    </xf>
    <xf numFmtId="2" fontId="5" fillId="0" borderId="27" xfId="0" applyNumberFormat="1" applyFont="1" applyBorder="1" applyAlignment="1">
      <alignment horizontal="center" vertical="center" textRotation="90" wrapText="1"/>
    </xf>
    <xf numFmtId="0" fontId="5" fillId="0" borderId="27" xfId="0" applyFont="1" applyFill="1" applyBorder="1" applyAlignment="1">
      <alignment horizontal="center" vertical="top" wrapText="1"/>
    </xf>
    <xf numFmtId="0" fontId="5" fillId="0" borderId="6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28" xfId="0" applyFont="1" applyFill="1" applyBorder="1" applyAlignment="1">
      <alignment horizontal="center" vertical="top" wrapText="1"/>
    </xf>
    <xf numFmtId="0" fontId="5" fillId="0" borderId="58" xfId="0" applyFont="1" applyBorder="1" applyAlignment="1">
      <alignment horizontal="center" vertical="top" wrapText="1"/>
    </xf>
    <xf numFmtId="0" fontId="5" fillId="0" borderId="59" xfId="0" applyFont="1" applyBorder="1" applyAlignment="1">
      <alignment horizontal="center" vertical="top" wrapText="1"/>
    </xf>
    <xf numFmtId="0" fontId="5" fillId="0" borderId="60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29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9" fillId="0" borderId="20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2" fontId="9" fillId="0" borderId="25" xfId="0" applyNumberFormat="1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9" fillId="4" borderId="47" xfId="0" applyNumberFormat="1" applyFont="1" applyFill="1" applyBorder="1" applyAlignment="1">
      <alignment horizontal="center" vertical="center" wrapText="1"/>
    </xf>
    <xf numFmtId="0" fontId="9" fillId="4" borderId="48" xfId="0" applyNumberFormat="1" applyFont="1" applyFill="1" applyBorder="1" applyAlignment="1">
      <alignment horizontal="center" vertical="center" wrapText="1"/>
    </xf>
    <xf numFmtId="0" fontId="9" fillId="4" borderId="26" xfId="0" applyNumberFormat="1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38" xfId="0" applyFont="1" applyFill="1" applyBorder="1" applyAlignment="1">
      <alignment horizontal="center" vertical="center" wrapText="1"/>
    </xf>
    <xf numFmtId="2" fontId="9" fillId="4" borderId="25" xfId="0" applyNumberFormat="1" applyFont="1" applyFill="1" applyBorder="1" applyAlignment="1">
      <alignment horizontal="center" vertical="center" wrapText="1"/>
    </xf>
    <xf numFmtId="2" fontId="9" fillId="0" borderId="20" xfId="0" applyNumberFormat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2" fontId="9" fillId="0" borderId="43" xfId="0" applyNumberFormat="1" applyFont="1" applyBorder="1" applyAlignment="1">
      <alignment horizontal="center" vertical="center" wrapText="1"/>
    </xf>
    <xf numFmtId="2" fontId="9" fillId="0" borderId="38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top" wrapText="1"/>
    </xf>
    <xf numFmtId="0" fontId="9" fillId="0" borderId="46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36" xfId="0" applyFont="1" applyBorder="1" applyAlignment="1">
      <alignment horizontal="center" vertical="top" wrapText="1"/>
    </xf>
    <xf numFmtId="0" fontId="14" fillId="0" borderId="23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center" vertical="top" wrapText="1"/>
    </xf>
    <xf numFmtId="0" fontId="14" fillId="0" borderId="3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68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54" xfId="0" applyFont="1" applyBorder="1" applyAlignment="1">
      <alignment horizontal="center" vertical="top" wrapText="1"/>
    </xf>
    <xf numFmtId="0" fontId="9" fillId="0" borderId="40" xfId="0" quotePrefix="1" applyFont="1" applyBorder="1" applyAlignment="1">
      <alignment horizontal="center" vertical="top" wrapText="1"/>
    </xf>
    <xf numFmtId="0" fontId="9" fillId="0" borderId="46" xfId="0" quotePrefix="1" applyFont="1" applyBorder="1" applyAlignment="1">
      <alignment horizontal="center" vertical="top" wrapText="1"/>
    </xf>
    <xf numFmtId="0" fontId="9" fillId="0" borderId="23" xfId="0" quotePrefix="1" applyFont="1" applyBorder="1" applyAlignment="1">
      <alignment horizontal="center" vertical="top" wrapText="1"/>
    </xf>
    <xf numFmtId="0" fontId="9" fillId="0" borderId="39" xfId="0" quotePrefix="1" applyFont="1" applyBorder="1" applyAlignment="1">
      <alignment horizontal="center" vertical="top" wrapText="1"/>
    </xf>
    <xf numFmtId="0" fontId="9" fillId="0" borderId="0" xfId="0" quotePrefix="1" applyFont="1" applyBorder="1" applyAlignment="1">
      <alignment horizontal="center" vertical="top" wrapText="1"/>
    </xf>
    <xf numFmtId="0" fontId="9" fillId="0" borderId="17" xfId="0" quotePrefix="1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0" fontId="9" fillId="0" borderId="30" xfId="0" quotePrefix="1" applyFont="1" applyBorder="1" applyAlignment="1">
      <alignment horizontal="center" vertical="top" wrapText="1"/>
    </xf>
    <xf numFmtId="0" fontId="9" fillId="0" borderId="15" xfId="0" quotePrefix="1" applyFont="1" applyBorder="1" applyAlignment="1">
      <alignment horizontal="center" vertical="top" wrapText="1"/>
    </xf>
    <xf numFmtId="0" fontId="9" fillId="0" borderId="20" xfId="0" quotePrefix="1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14" fillId="0" borderId="40" xfId="0" applyFont="1" applyBorder="1" applyAlignment="1">
      <alignment horizontal="center" vertical="top" wrapText="1"/>
    </xf>
    <xf numFmtId="0" fontId="14" fillId="0" borderId="57" xfId="0" applyFont="1" applyBorder="1" applyAlignment="1">
      <alignment horizontal="center" vertical="top" wrapText="1"/>
    </xf>
    <xf numFmtId="0" fontId="14" fillId="0" borderId="66" xfId="0" applyFont="1" applyBorder="1" applyAlignment="1">
      <alignment horizontal="center" vertical="top" wrapText="1"/>
    </xf>
    <xf numFmtId="0" fontId="14" fillId="0" borderId="67" xfId="0" applyFont="1" applyBorder="1" applyAlignment="1">
      <alignment horizontal="center" vertical="top" wrapText="1"/>
    </xf>
    <xf numFmtId="0" fontId="14" fillId="0" borderId="56" xfId="0" applyFont="1" applyBorder="1" applyAlignment="1">
      <alignment horizontal="center" vertical="top" wrapText="1"/>
    </xf>
    <xf numFmtId="0" fontId="14" fillId="0" borderId="46" xfId="0" applyFont="1" applyBorder="1" applyAlignment="1">
      <alignment horizontal="center" vertical="top" wrapText="1"/>
    </xf>
    <xf numFmtId="0" fontId="14" fillId="0" borderId="50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0" fontId="9" fillId="0" borderId="16" xfId="0" quotePrefix="1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center" vertical="top" wrapText="1"/>
    </xf>
    <xf numFmtId="0" fontId="14" fillId="0" borderId="20" xfId="0" quotePrefix="1" applyFont="1" applyBorder="1" applyAlignment="1">
      <alignment horizontal="center" vertical="top" wrapText="1"/>
    </xf>
    <xf numFmtId="0" fontId="14" fillId="0" borderId="16" xfId="0" quotePrefix="1" applyFont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/>
    </xf>
    <xf numFmtId="0" fontId="9" fillId="0" borderId="46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15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4" fillId="0" borderId="40" xfId="0" applyFont="1" applyBorder="1" applyAlignment="1">
      <alignment horizontal="center" vertical="top" wrapText="1"/>
    </xf>
    <xf numFmtId="0" fontId="4" fillId="0" borderId="46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11" fillId="0" borderId="16" xfId="0" quotePrefix="1" applyFont="1" applyBorder="1" applyAlignment="1">
      <alignment horizontal="center" vertical="top" wrapText="1"/>
    </xf>
    <xf numFmtId="0" fontId="11" fillId="0" borderId="10" xfId="0" quotePrefix="1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23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5" fillId="0" borderId="82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8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79" xfId="0" applyFont="1" applyBorder="1" applyAlignment="1">
      <alignment horizontal="center" vertical="top" wrapText="1"/>
    </xf>
    <xf numFmtId="0" fontId="5" fillId="0" borderId="80" xfId="0" applyFont="1" applyBorder="1" applyAlignment="1">
      <alignment horizontal="center" vertical="top" wrapText="1"/>
    </xf>
    <xf numFmtId="0" fontId="5" fillId="0" borderId="81" xfId="0" applyFont="1" applyBorder="1" applyAlignment="1">
      <alignment horizontal="center" vertical="top" wrapText="1"/>
    </xf>
    <xf numFmtId="2" fontId="5" fillId="0" borderId="56" xfId="0" applyNumberFormat="1" applyFont="1" applyBorder="1" applyAlignment="1">
      <alignment horizontal="center" vertical="top" wrapText="1"/>
    </xf>
    <xf numFmtId="2" fontId="5" fillId="0" borderId="50" xfId="0" applyNumberFormat="1" applyFont="1" applyBorder="1" applyAlignment="1">
      <alignment horizontal="center" vertical="top" wrapText="1"/>
    </xf>
    <xf numFmtId="2" fontId="5" fillId="0" borderId="16" xfId="0" applyNumberFormat="1" applyFont="1" applyBorder="1" applyAlignment="1">
      <alignment horizontal="center" vertical="top" wrapText="1"/>
    </xf>
    <xf numFmtId="2" fontId="5" fillId="0" borderId="10" xfId="0" applyNumberFormat="1" applyFont="1" applyBorder="1" applyAlignment="1">
      <alignment horizontal="center" vertical="top" wrapText="1"/>
    </xf>
    <xf numFmtId="2" fontId="5" fillId="0" borderId="24" xfId="0" applyNumberFormat="1" applyFont="1" applyBorder="1" applyAlignment="1">
      <alignment horizontal="center" vertical="top" wrapText="1"/>
    </xf>
    <xf numFmtId="0" fontId="5" fillId="0" borderId="83" xfId="0" applyFont="1" applyBorder="1" applyAlignment="1">
      <alignment horizontal="center" vertical="top" wrapText="1"/>
    </xf>
    <xf numFmtId="0" fontId="5" fillId="0" borderId="75" xfId="0" applyFont="1" applyBorder="1" applyAlignment="1">
      <alignment horizontal="center" vertical="top" wrapText="1"/>
    </xf>
    <xf numFmtId="0" fontId="5" fillId="0" borderId="84" xfId="0" applyFont="1" applyBorder="1" applyAlignment="1">
      <alignment horizontal="center" vertical="top" wrapText="1"/>
    </xf>
    <xf numFmtId="2" fontId="9" fillId="4" borderId="20" xfId="0" applyNumberFormat="1" applyFont="1" applyFill="1" applyBorder="1" applyAlignment="1">
      <alignment horizontal="center" vertical="top" wrapText="1"/>
    </xf>
    <xf numFmtId="2" fontId="9" fillId="4" borderId="42" xfId="0" applyNumberFormat="1" applyFont="1" applyFill="1" applyBorder="1" applyAlignment="1">
      <alignment horizontal="center" vertical="center" wrapText="1"/>
    </xf>
    <xf numFmtId="2" fontId="9" fillId="4" borderId="21" xfId="0" applyNumberFormat="1" applyFont="1" applyFill="1" applyBorder="1" applyAlignment="1">
      <alignment horizontal="center" vertical="center" wrapText="1"/>
    </xf>
    <xf numFmtId="2" fontId="9" fillId="4" borderId="42" xfId="0" applyNumberFormat="1" applyFont="1" applyFill="1" applyBorder="1" applyAlignment="1">
      <alignment horizontal="center" vertical="top" wrapText="1"/>
    </xf>
    <xf numFmtId="2" fontId="9" fillId="4" borderId="21" xfId="0" applyNumberFormat="1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29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top"/>
    </xf>
    <xf numFmtId="0" fontId="11" fillId="0" borderId="4" xfId="0" quotePrefix="1" applyFont="1" applyBorder="1" applyAlignment="1">
      <alignment horizontal="left" vertical="top" wrapText="1"/>
    </xf>
    <xf numFmtId="0" fontId="11" fillId="0" borderId="5" xfId="0" quotePrefix="1" applyFont="1" applyBorder="1" applyAlignment="1">
      <alignment horizontal="left" vertical="top" wrapText="1"/>
    </xf>
    <xf numFmtId="0" fontId="11" fillId="0" borderId="2" xfId="0" quotePrefix="1" applyFont="1" applyBorder="1" applyAlignment="1">
      <alignment horizontal="left" vertical="top" wrapText="1"/>
    </xf>
    <xf numFmtId="0" fontId="11" fillId="0" borderId="3" xfId="0" quotePrefix="1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9" fillId="0" borderId="41" xfId="0" quotePrefix="1" applyFont="1" applyBorder="1" applyAlignment="1">
      <alignment horizontal="center" vertical="top" wrapText="1"/>
    </xf>
    <xf numFmtId="0" fontId="9" fillId="0" borderId="5" xfId="0" quotePrefix="1" applyFont="1" applyBorder="1" applyAlignment="1">
      <alignment horizontal="center" vertical="top" wrapText="1"/>
    </xf>
    <xf numFmtId="0" fontId="11" fillId="0" borderId="4" xfId="0" quotePrefix="1" applyFont="1" applyBorder="1" applyAlignment="1">
      <alignment horizontal="center" vertical="top"/>
    </xf>
    <xf numFmtId="0" fontId="11" fillId="0" borderId="6" xfId="0" quotePrefix="1" applyFont="1" applyBorder="1" applyAlignment="1">
      <alignment horizontal="center" vertical="top"/>
    </xf>
    <xf numFmtId="0" fontId="11" fillId="0" borderId="2" xfId="0" quotePrefix="1" applyFont="1" applyBorder="1" applyAlignment="1">
      <alignment horizontal="center" vertical="top"/>
    </xf>
    <xf numFmtId="0" fontId="11" fillId="0" borderId="29" xfId="0" quotePrefix="1" applyFont="1" applyBorder="1" applyAlignment="1">
      <alignment horizontal="center" vertical="top"/>
    </xf>
    <xf numFmtId="2" fontId="11" fillId="0" borderId="4" xfId="0" quotePrefix="1" applyNumberFormat="1" applyFont="1" applyBorder="1" applyAlignment="1">
      <alignment horizontal="center" vertical="top"/>
    </xf>
    <xf numFmtId="2" fontId="11" fillId="0" borderId="6" xfId="0" quotePrefix="1" applyNumberFormat="1" applyFont="1" applyBorder="1" applyAlignment="1">
      <alignment horizontal="center" vertical="top"/>
    </xf>
    <xf numFmtId="2" fontId="11" fillId="0" borderId="2" xfId="0" quotePrefix="1" applyNumberFormat="1" applyFont="1" applyBorder="1" applyAlignment="1">
      <alignment horizontal="center" vertical="top"/>
    </xf>
    <xf numFmtId="2" fontId="11" fillId="0" borderId="29" xfId="0" quotePrefix="1" applyNumberFormat="1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1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9" fillId="0" borderId="62" xfId="0" applyFont="1" applyBorder="1" applyAlignment="1">
      <alignment horizontal="center" vertical="top" wrapText="1"/>
    </xf>
    <xf numFmtId="0" fontId="9" fillId="0" borderId="28" xfId="0" applyFont="1" applyBorder="1" applyAlignment="1">
      <alignment horizontal="center" vertical="top" wrapText="1"/>
    </xf>
    <xf numFmtId="0" fontId="14" fillId="0" borderId="19" xfId="0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0" fontId="9" fillId="0" borderId="19" xfId="0" quotePrefix="1" applyFont="1" applyBorder="1" applyAlignment="1">
      <alignment horizontal="center" vertical="top" wrapText="1"/>
    </xf>
    <xf numFmtId="0" fontId="9" fillId="0" borderId="36" xfId="0" quotePrefix="1" applyFont="1" applyBorder="1" applyAlignment="1">
      <alignment horizontal="center" vertical="top" wrapText="1"/>
    </xf>
    <xf numFmtId="0" fontId="9" fillId="0" borderId="28" xfId="0" quotePrefix="1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7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/>
    </xf>
    <xf numFmtId="2" fontId="11" fillId="0" borderId="4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left" vertical="top"/>
    </xf>
    <xf numFmtId="0" fontId="11" fillId="0" borderId="44" xfId="0" quotePrefix="1" applyFont="1" applyBorder="1" applyAlignment="1">
      <alignment horizontal="left" vertical="top"/>
    </xf>
    <xf numFmtId="0" fontId="11" fillId="0" borderId="4" xfId="0" quotePrefix="1" applyFont="1" applyBorder="1" applyAlignment="1">
      <alignment horizontal="center" vertical="top" wrapText="1"/>
    </xf>
    <xf numFmtId="0" fontId="11" fillId="0" borderId="6" xfId="0" quotePrefix="1" applyFont="1" applyBorder="1" applyAlignment="1">
      <alignment horizontal="center" vertical="top" wrapText="1"/>
    </xf>
    <xf numFmtId="0" fontId="11" fillId="0" borderId="2" xfId="0" quotePrefix="1" applyFont="1" applyBorder="1" applyAlignment="1">
      <alignment horizontal="center" vertical="top" wrapText="1"/>
    </xf>
    <xf numFmtId="0" fontId="11" fillId="0" borderId="29" xfId="0" quotePrefix="1" applyFont="1" applyBorder="1" applyAlignment="1">
      <alignment horizontal="center" vertical="top" wrapText="1"/>
    </xf>
    <xf numFmtId="0" fontId="11" fillId="0" borderId="3" xfId="0" quotePrefix="1" applyFont="1" applyBorder="1" applyAlignment="1">
      <alignment horizontal="center" vertical="top" wrapText="1"/>
    </xf>
    <xf numFmtId="0" fontId="5" fillId="0" borderId="4" xfId="0" quotePrefix="1" applyFont="1" applyBorder="1" applyAlignment="1">
      <alignment horizontal="center" vertical="top" wrapText="1"/>
    </xf>
    <xf numFmtId="0" fontId="5" fillId="0" borderId="6" xfId="0" quotePrefix="1" applyFont="1" applyBorder="1" applyAlignment="1">
      <alignment horizontal="center" vertical="top" wrapText="1"/>
    </xf>
    <xf numFmtId="0" fontId="5" fillId="0" borderId="2" xfId="0" quotePrefix="1" applyFont="1" applyBorder="1" applyAlignment="1">
      <alignment horizontal="center" vertical="top" wrapText="1"/>
    </xf>
    <xf numFmtId="0" fontId="5" fillId="0" borderId="29" xfId="0" quotePrefix="1" applyFont="1" applyBorder="1" applyAlignment="1">
      <alignment horizontal="center" vertical="top" wrapText="1"/>
    </xf>
    <xf numFmtId="0" fontId="11" fillId="0" borderId="5" xfId="0" quotePrefix="1" applyFont="1" applyBorder="1" applyAlignment="1">
      <alignment horizontal="center" vertical="top" wrapText="1"/>
    </xf>
    <xf numFmtId="0" fontId="12" fillId="0" borderId="4" xfId="0" quotePrefix="1" applyFont="1" applyBorder="1" applyAlignment="1">
      <alignment horizontal="left" vertical="top" wrapText="1"/>
    </xf>
    <xf numFmtId="0" fontId="12" fillId="0" borderId="5" xfId="0" quotePrefix="1" applyFont="1" applyBorder="1" applyAlignment="1">
      <alignment horizontal="left" vertical="top" wrapText="1"/>
    </xf>
    <xf numFmtId="0" fontId="12" fillId="0" borderId="2" xfId="0" quotePrefix="1" applyFont="1" applyBorder="1" applyAlignment="1">
      <alignment horizontal="left" vertical="top" wrapText="1"/>
    </xf>
    <xf numFmtId="0" fontId="12" fillId="0" borderId="3" xfId="0" quotePrefix="1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6" xfId="0" quotePrefix="1" applyFont="1" applyBorder="1" applyAlignment="1">
      <alignment horizontal="left" vertical="top" wrapText="1"/>
    </xf>
    <xf numFmtId="0" fontId="12" fillId="0" borderId="29" xfId="0" quotePrefix="1" applyFont="1" applyBorder="1" applyAlignment="1">
      <alignment horizontal="left" vertical="top" wrapText="1"/>
    </xf>
    <xf numFmtId="0" fontId="5" fillId="0" borderId="5" xfId="0" quotePrefix="1" applyFont="1" applyBorder="1" applyAlignment="1">
      <alignment horizontal="center" vertical="top" wrapText="1"/>
    </xf>
    <xf numFmtId="0" fontId="5" fillId="0" borderId="3" xfId="0" quotePrefix="1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9" fillId="0" borderId="6" xfId="0" quotePrefix="1" applyFont="1" applyBorder="1" applyAlignment="1">
      <alignment horizontal="center" vertical="top" wrapText="1"/>
    </xf>
    <xf numFmtId="0" fontId="9" fillId="0" borderId="7" xfId="0" quotePrefix="1" applyFont="1" applyBorder="1" applyAlignment="1">
      <alignment horizontal="center" vertical="top" wrapText="1"/>
    </xf>
    <xf numFmtId="0" fontId="9" fillId="0" borderId="8" xfId="0" quotePrefix="1" applyFont="1" applyBorder="1" applyAlignment="1">
      <alignment horizontal="center" vertical="top" wrapText="1"/>
    </xf>
    <xf numFmtId="0" fontId="9" fillId="0" borderId="9" xfId="0" quotePrefix="1" applyFont="1" applyBorder="1" applyAlignment="1">
      <alignment horizontal="center" vertical="top" wrapText="1"/>
    </xf>
    <xf numFmtId="0" fontId="9" fillId="0" borderId="61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0" borderId="50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29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center" textRotation="90" wrapText="1"/>
    </xf>
    <xf numFmtId="0" fontId="9" fillId="0" borderId="39" xfId="0" quotePrefix="1" applyFont="1" applyBorder="1" applyAlignment="1">
      <alignment horizontal="center" vertical="center" textRotation="90" wrapText="1"/>
    </xf>
    <xf numFmtId="0" fontId="9" fillId="0" borderId="62" xfId="0" quotePrefix="1" applyFont="1" applyBorder="1" applyAlignment="1">
      <alignment horizontal="center" vertical="center" textRotation="90" wrapText="1"/>
    </xf>
    <xf numFmtId="0" fontId="9" fillId="0" borderId="3" xfId="0" quotePrefix="1" applyFont="1" applyBorder="1" applyAlignment="1">
      <alignment horizontal="center" vertical="top" wrapText="1"/>
    </xf>
    <xf numFmtId="0" fontId="9" fillId="0" borderId="29" xfId="0" quotePrefix="1" applyFont="1" applyBorder="1" applyAlignment="1">
      <alignment horizontal="center" vertical="top" wrapText="1"/>
    </xf>
    <xf numFmtId="0" fontId="11" fillId="0" borderId="46" xfId="0" quotePrefix="1" applyFont="1" applyBorder="1" applyAlignment="1">
      <alignment horizontal="center" vertical="top" wrapText="1"/>
    </xf>
    <xf numFmtId="0" fontId="11" fillId="0" borderId="23" xfId="0" quotePrefix="1" applyFont="1" applyBorder="1" applyAlignment="1">
      <alignment horizontal="center" vertical="top" wrapText="1"/>
    </xf>
    <xf numFmtId="0" fontId="11" fillId="0" borderId="0" xfId="0" quotePrefix="1" applyFont="1" applyBorder="1" applyAlignment="1">
      <alignment horizontal="center" vertical="top" wrapText="1"/>
    </xf>
    <xf numFmtId="0" fontId="11" fillId="0" borderId="17" xfId="0" quotePrefix="1" applyFont="1" applyBorder="1" applyAlignment="1">
      <alignment horizontal="center" vertical="top" wrapText="1"/>
    </xf>
    <xf numFmtId="0" fontId="11" fillId="0" borderId="28" xfId="0" quotePrefix="1" applyFont="1" applyBorder="1" applyAlignment="1">
      <alignment horizontal="center" vertical="top" wrapText="1"/>
    </xf>
    <xf numFmtId="0" fontId="9" fillId="0" borderId="62" xfId="0" quotePrefix="1" applyFont="1" applyBorder="1" applyAlignment="1">
      <alignment horizontal="center" vertical="top" wrapText="1"/>
    </xf>
    <xf numFmtId="0" fontId="9" fillId="0" borderId="27" xfId="0" quotePrefix="1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center" vertical="top" wrapText="1"/>
    </xf>
    <xf numFmtId="0" fontId="0" fillId="0" borderId="15" xfId="0" applyBorder="1"/>
    <xf numFmtId="0" fontId="14" fillId="0" borderId="65" xfId="0" applyFont="1" applyBorder="1" applyAlignment="1">
      <alignment horizontal="center" vertical="top" wrapText="1"/>
    </xf>
    <xf numFmtId="0" fontId="0" fillId="0" borderId="62" xfId="0" applyBorder="1"/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2" fontId="9" fillId="4" borderId="24" xfId="0" applyNumberFormat="1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center" textRotation="90" wrapText="1"/>
    </xf>
    <xf numFmtId="0" fontId="5" fillId="0" borderId="78" xfId="0" applyFont="1" applyBorder="1" applyAlignment="1">
      <alignment horizontal="center" vertical="center" textRotation="90" wrapText="1"/>
    </xf>
    <xf numFmtId="2" fontId="9" fillId="0" borderId="24" xfId="0" applyNumberFormat="1" applyFont="1" applyFill="1" applyBorder="1" applyAlignment="1">
      <alignment horizontal="center" vertical="center" wrapText="1"/>
    </xf>
    <xf numFmtId="2" fontId="9" fillId="0" borderId="71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2" fontId="9" fillId="0" borderId="40" xfId="0" applyNumberFormat="1" applyFont="1" applyFill="1" applyBorder="1" applyAlignment="1">
      <alignment horizontal="center" vertical="center" wrapText="1"/>
    </xf>
    <xf numFmtId="2" fontId="9" fillId="0" borderId="23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8" fillId="0" borderId="3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4" xfId="0" applyFont="1" applyFill="1" applyBorder="1" applyAlignment="1">
      <alignment horizontal="left" vertical="center" wrapText="1"/>
    </xf>
    <xf numFmtId="0" fontId="9" fillId="0" borderId="42" xfId="0" applyNumberFormat="1" applyFont="1" applyFill="1" applyBorder="1" applyAlignment="1">
      <alignment horizontal="center" vertical="center" wrapText="1"/>
    </xf>
    <xf numFmtId="0" fontId="9" fillId="0" borderId="13" xfId="0" applyNumberFormat="1" applyFont="1" applyFill="1" applyBorder="1" applyAlignment="1">
      <alignment horizontal="center" vertical="center" wrapText="1"/>
    </xf>
    <xf numFmtId="0" fontId="9" fillId="0" borderId="21" xfId="0" applyNumberFormat="1" applyFont="1" applyFill="1" applyBorder="1" applyAlignment="1">
      <alignment horizontal="center" vertical="center" wrapText="1"/>
    </xf>
    <xf numFmtId="1" fontId="12" fillId="0" borderId="20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  <xf numFmtId="2" fontId="12" fillId="0" borderId="16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Fill="1" applyBorder="1" applyAlignment="1">
      <alignment horizontal="center" vertical="center" wrapText="1"/>
    </xf>
    <xf numFmtId="2" fontId="12" fillId="0" borderId="24" xfId="0" applyNumberFormat="1" applyFont="1" applyFill="1" applyBorder="1" applyAlignment="1">
      <alignment horizontal="center" vertical="center" wrapText="1"/>
    </xf>
    <xf numFmtId="1" fontId="12" fillId="0" borderId="16" xfId="0" applyNumberFormat="1" applyFont="1" applyFill="1" applyBorder="1" applyAlignment="1">
      <alignment horizontal="center" vertical="center" wrapText="1"/>
    </xf>
    <xf numFmtId="1" fontId="12" fillId="0" borderId="10" xfId="0" applyNumberFormat="1" applyFont="1" applyFill="1" applyBorder="1" applyAlignment="1">
      <alignment horizontal="center" vertical="center" wrapText="1"/>
    </xf>
    <xf numFmtId="1" fontId="12" fillId="0" borderId="24" xfId="0" applyNumberFormat="1" applyFont="1" applyFill="1" applyBorder="1" applyAlignment="1">
      <alignment horizontal="center" vertical="center" wrapText="1"/>
    </xf>
    <xf numFmtId="0" fontId="12" fillId="11" borderId="20" xfId="0" applyFont="1" applyFill="1" applyBorder="1" applyAlignment="1">
      <alignment horizontal="center" vertical="top" wrapText="1"/>
    </xf>
    <xf numFmtId="2" fontId="12" fillId="0" borderId="20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/>
    </xf>
    <xf numFmtId="0" fontId="11" fillId="0" borderId="40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39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11" fillId="0" borderId="36" xfId="0" applyFont="1" applyBorder="1" applyAlignment="1">
      <alignment horizontal="center" vertical="top" wrapText="1"/>
    </xf>
    <xf numFmtId="0" fontId="1" fillId="2" borderId="20" xfId="0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center" vertical="top" wrapText="1"/>
    </xf>
    <xf numFmtId="2" fontId="9" fillId="2" borderId="13" xfId="0" applyNumberFormat="1" applyFont="1" applyFill="1" applyBorder="1" applyAlignment="1">
      <alignment horizontal="center" vertical="top" wrapText="1"/>
    </xf>
    <xf numFmtId="0" fontId="9" fillId="2" borderId="21" xfId="0" applyNumberFormat="1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center" vertical="center"/>
    </xf>
    <xf numFmtId="2" fontId="9" fillId="2" borderId="42" xfId="0" applyNumberFormat="1" applyFont="1" applyFill="1" applyBorder="1" applyAlignment="1">
      <alignment horizontal="center" vertical="center"/>
    </xf>
    <xf numFmtId="165" fontId="9" fillId="2" borderId="15" xfId="0" applyNumberFormat="1" applyFont="1" applyFill="1" applyBorder="1" applyAlignment="1">
      <alignment horizontal="center" vertical="center"/>
    </xf>
    <xf numFmtId="165" fontId="9" fillId="2" borderId="20" xfId="0" applyNumberFormat="1" applyFont="1" applyFill="1" applyBorder="1" applyAlignment="1">
      <alignment horizontal="center" vertical="center"/>
    </xf>
    <xf numFmtId="2" fontId="9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/>
    <xf numFmtId="0" fontId="9" fillId="2" borderId="13" xfId="0" applyFont="1" applyFill="1" applyBorder="1" applyAlignment="1">
      <alignment vertical="center"/>
    </xf>
    <xf numFmtId="2" fontId="9" fillId="2" borderId="21" xfId="0" applyNumberFormat="1" applyFont="1" applyFill="1" applyBorder="1" applyAlignment="1">
      <alignment horizontal="left" vertical="center"/>
    </xf>
    <xf numFmtId="2" fontId="9" fillId="2" borderId="42" xfId="0" applyNumberFormat="1" applyFont="1" applyFill="1" applyBorder="1" applyAlignment="1">
      <alignment horizontal="right" vertical="top" wrapText="1"/>
    </xf>
    <xf numFmtId="1" fontId="9" fillId="2" borderId="21" xfId="0" applyNumberFormat="1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right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1" fontId="9" fillId="2" borderId="13" xfId="0" applyNumberFormat="1" applyFont="1" applyFill="1" applyBorder="1" applyAlignment="1">
      <alignment horizontal="center" vertical="center" wrapText="1"/>
    </xf>
    <xf numFmtId="165" fontId="9" fillId="2" borderId="42" xfId="0" applyNumberFormat="1" applyFont="1" applyFill="1" applyBorder="1" applyAlignment="1">
      <alignment horizontal="right" vertical="center" wrapText="1"/>
    </xf>
    <xf numFmtId="2" fontId="9" fillId="2" borderId="13" xfId="0" applyNumberFormat="1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9" fillId="2" borderId="42" xfId="0" applyFont="1" applyFill="1" applyBorder="1" applyAlignment="1">
      <alignment vertical="center"/>
    </xf>
    <xf numFmtId="0" fontId="9" fillId="2" borderId="13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right" vertical="center"/>
    </xf>
    <xf numFmtId="0" fontId="9" fillId="2" borderId="20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/>
    </xf>
    <xf numFmtId="0" fontId="9" fillId="0" borderId="21" xfId="0" applyNumberFormat="1" applyFont="1" applyFill="1" applyBorder="1" applyAlignment="1">
      <alignment horizontal="left" vertical="top" wrapText="1"/>
    </xf>
    <xf numFmtId="0" fontId="9" fillId="0" borderId="20" xfId="0" applyNumberFormat="1" applyFont="1" applyFill="1" applyBorder="1" applyAlignment="1">
      <alignment horizontal="center" vertical="top" wrapText="1"/>
    </xf>
    <xf numFmtId="0" fontId="9" fillId="0" borderId="21" xfId="0" applyNumberFormat="1" applyFont="1" applyFill="1" applyBorder="1" applyAlignment="1">
      <alignment horizontal="center" vertical="top" wrapText="1"/>
    </xf>
    <xf numFmtId="0" fontId="9" fillId="0" borderId="15" xfId="0" applyFont="1" applyFill="1" applyBorder="1" applyAlignment="1">
      <alignment horizontal="center" vertical="center"/>
    </xf>
    <xf numFmtId="2" fontId="9" fillId="0" borderId="42" xfId="0" applyNumberFormat="1" applyFont="1" applyFill="1" applyBorder="1" applyAlignment="1">
      <alignment horizontal="center" vertical="center"/>
    </xf>
    <xf numFmtId="2" fontId="9" fillId="0" borderId="21" xfId="0" applyNumberFormat="1" applyFont="1" applyFill="1" applyBorder="1" applyAlignment="1">
      <alignment horizontal="left" vertical="center"/>
    </xf>
    <xf numFmtId="165" fontId="9" fillId="0" borderId="15" xfId="0" applyNumberFormat="1" applyFont="1" applyFill="1" applyBorder="1" applyAlignment="1">
      <alignment horizontal="center" vertical="center"/>
    </xf>
    <xf numFmtId="165" fontId="9" fillId="0" borderId="20" xfId="0" applyNumberFormat="1" applyFont="1" applyFill="1" applyBorder="1" applyAlignment="1">
      <alignment horizontal="center" vertical="center"/>
    </xf>
    <xf numFmtId="0" fontId="29" fillId="0" borderId="42" xfId="0" applyNumberFormat="1" applyFont="1" applyFill="1" applyBorder="1" applyAlignment="1">
      <alignment horizontal="right" vertical="top" wrapText="1"/>
    </xf>
    <xf numFmtId="2" fontId="29" fillId="0" borderId="13" xfId="0" applyNumberFormat="1" applyFont="1" applyFill="1" applyBorder="1" applyAlignment="1">
      <alignment horizontal="center" vertical="top" wrapText="1"/>
    </xf>
    <xf numFmtId="0" fontId="29" fillId="0" borderId="21" xfId="0" applyNumberFormat="1" applyFont="1" applyFill="1" applyBorder="1" applyAlignment="1">
      <alignment horizontal="left" vertical="top" wrapText="1"/>
    </xf>
    <xf numFmtId="0" fontId="9" fillId="0" borderId="23" xfId="0" applyNumberFormat="1" applyFont="1" applyFill="1" applyBorder="1" applyAlignment="1">
      <alignment horizontal="center" vertical="top" wrapText="1"/>
    </xf>
    <xf numFmtId="165" fontId="30" fillId="2" borderId="15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9" fillId="0" borderId="20" xfId="0" applyFont="1" applyFill="1" applyBorder="1"/>
    <xf numFmtId="0" fontId="9" fillId="0" borderId="20" xfId="0" applyFont="1" applyFill="1" applyBorder="1" applyAlignment="1">
      <alignment horizontal="right"/>
    </xf>
    <xf numFmtId="0" fontId="9" fillId="0" borderId="20" xfId="0" quotePrefix="1" applyFont="1" applyFill="1" applyBorder="1"/>
    <xf numFmtId="0" fontId="0" fillId="0" borderId="20" xfId="0" applyBorder="1"/>
    <xf numFmtId="0" fontId="9" fillId="0" borderId="20" xfId="0" applyFont="1" applyFill="1" applyBorder="1" applyAlignment="1">
      <alignment horizontal="left"/>
    </xf>
    <xf numFmtId="0" fontId="9" fillId="2" borderId="13" xfId="0" applyFont="1" applyFill="1" applyBorder="1" applyAlignment="1"/>
  </cellXfs>
  <cellStyles count="2">
    <cellStyle name="Обычный" xfId="0" builtinId="0"/>
    <cellStyle name="Финансовый" xfId="1" builtinId="3"/>
  </cellStyles>
  <dxfs count="163"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theme="0" tint="-0.14996795556505021"/>
      </font>
      <fill>
        <patternFill>
          <fgColor auto="1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/>
  </sheetPr>
  <dimension ref="A1:CP261"/>
  <sheetViews>
    <sheetView zoomScaleNormal="100" workbookViewId="0">
      <pane xSplit="1" ySplit="9" topLeftCell="B22" activePane="bottomRight" state="frozen"/>
      <selection pane="topRight" activeCell="C1" sqref="C1"/>
      <selection pane="bottomLeft" activeCell="A9" sqref="A9"/>
      <selection pane="bottomRight" activeCell="H174" sqref="H174"/>
    </sheetView>
  </sheetViews>
  <sheetFormatPr defaultColWidth="9.109375" defaultRowHeight="13.2" x14ac:dyDescent="0.25"/>
  <cols>
    <col min="1" max="1" width="60.33203125" style="406" customWidth="1"/>
    <col min="2" max="3" width="8.44140625" style="406" customWidth="1"/>
    <col min="4" max="4" width="3.109375" style="408" bestFit="1" customWidth="1"/>
    <col min="5" max="5" width="2" style="406" bestFit="1" customWidth="1"/>
    <col min="6" max="6" width="5.5546875" style="409" customWidth="1"/>
    <col min="7" max="7" width="10.5546875" style="406" customWidth="1"/>
    <col min="8" max="8" width="19" style="406" bestFit="1" customWidth="1"/>
    <col min="9" max="9" width="6.5546875" style="408" customWidth="1"/>
    <col min="10" max="10" width="2.109375" style="406" bestFit="1" customWidth="1"/>
    <col min="11" max="11" width="8.44140625" style="409" customWidth="1"/>
    <col min="12" max="12" width="18.44140625" style="417" customWidth="1"/>
    <col min="13" max="16" width="0" style="417" hidden="1" customWidth="1"/>
    <col min="17" max="18" width="7.44140625" style="417" customWidth="1"/>
    <col min="19" max="19" width="7.88671875" style="417" customWidth="1"/>
    <col min="20" max="20" width="2.109375" style="406" hidden="1" customWidth="1"/>
    <col min="21" max="21" width="7.44140625" style="409" hidden="1" customWidth="1"/>
    <col min="22" max="22" width="8.6640625" style="417" customWidth="1"/>
    <col min="23" max="23" width="2.6640625" style="406" hidden="1" customWidth="1"/>
    <col min="24" max="24" width="8.6640625" style="409" hidden="1" customWidth="1"/>
    <col min="25" max="25" width="23.33203125" style="406" customWidth="1"/>
    <col min="26" max="26" width="19" style="417" customWidth="1"/>
    <col min="27" max="28" width="9.33203125" style="417" hidden="1" customWidth="1"/>
    <col min="29" max="29" width="5.5546875" style="406" hidden="1" customWidth="1"/>
    <col min="30" max="30" width="6.88671875" style="406" hidden="1" customWidth="1"/>
    <col min="31" max="31" width="3.33203125" style="406" hidden="1" customWidth="1"/>
    <col min="32" max="32" width="6" style="406" hidden="1" customWidth="1"/>
    <col min="33" max="35" width="0" style="406" hidden="1" customWidth="1"/>
    <col min="36" max="36" width="5.5546875" style="406" hidden="1" customWidth="1"/>
    <col min="37" max="37" width="1.88671875" style="406" hidden="1" customWidth="1"/>
    <col min="38" max="38" width="3.6640625" style="406" hidden="1" customWidth="1"/>
    <col min="39" max="41" width="0" style="406" hidden="1" customWidth="1"/>
    <col min="42" max="42" width="4.88671875" style="406" hidden="1" customWidth="1"/>
    <col min="43" max="43" width="2" style="406" hidden="1" customWidth="1"/>
    <col min="44" max="44" width="4.33203125" style="406" hidden="1" customWidth="1"/>
    <col min="45" max="47" width="0" style="406" hidden="1" customWidth="1"/>
    <col min="48" max="48" width="4.88671875" style="406" hidden="1" customWidth="1"/>
    <col min="49" max="49" width="2" style="406" hidden="1" customWidth="1"/>
    <col min="50" max="50" width="4" style="406" hidden="1" customWidth="1"/>
    <col min="51" max="52" width="0" style="406" hidden="1" customWidth="1"/>
    <col min="53" max="54" width="9.33203125" style="406" hidden="1" customWidth="1"/>
    <col min="55" max="55" width="10" style="406" hidden="1" customWidth="1"/>
    <col min="56" max="60" width="9.33203125" style="406" hidden="1" customWidth="1"/>
    <col min="61" max="61" width="6.5546875" style="406" hidden="1" customWidth="1"/>
    <col min="62" max="62" width="5.88671875" style="406" hidden="1" customWidth="1"/>
    <col min="63" max="63" width="2.109375" style="406" hidden="1" customWidth="1"/>
    <col min="64" max="64" width="4.44140625" style="406" hidden="1" customWidth="1"/>
    <col min="65" max="65" width="8" style="417" hidden="1" customWidth="1"/>
    <col min="66" max="67" width="9.33203125" style="406" hidden="1" customWidth="1"/>
    <col min="68" max="68" width="5.6640625" style="406" hidden="1" customWidth="1"/>
    <col min="69" max="69" width="2.109375" style="406" hidden="1" customWidth="1"/>
    <col min="70" max="70" width="6" style="406" hidden="1" customWidth="1"/>
    <col min="71" max="71" width="8.44140625" style="406" hidden="1" customWidth="1"/>
    <col min="72" max="72" width="9.33203125" style="406" hidden="1" customWidth="1"/>
    <col min="73" max="74" width="10.6640625" style="406" customWidth="1"/>
    <col min="75" max="75" width="12.109375" style="406" customWidth="1"/>
    <col min="76" max="77" width="12.33203125" style="406" customWidth="1"/>
    <col min="78" max="78" width="17.88671875" style="406" customWidth="1"/>
    <col min="79" max="79" width="25.109375" style="406" hidden="1" customWidth="1"/>
    <col min="80" max="84" width="12.33203125" style="406" hidden="1" customWidth="1"/>
    <col min="85" max="85" width="23.5546875" style="406" hidden="1" customWidth="1"/>
    <col min="86" max="88" width="12.33203125" style="406" hidden="1" customWidth="1"/>
    <col min="89" max="89" width="23.109375" style="406" customWidth="1"/>
    <col min="90" max="90" width="12.33203125" style="406" customWidth="1"/>
    <col min="91" max="91" width="21.6640625" style="406" bestFit="1" customWidth="1"/>
    <col min="92" max="92" width="19.5546875" style="406" bestFit="1" customWidth="1"/>
    <col min="93" max="93" width="26.109375" style="406" bestFit="1" customWidth="1"/>
    <col min="94" max="94" width="24.6640625" style="406" bestFit="1" customWidth="1"/>
    <col min="95" max="16384" width="9.109375" style="406"/>
  </cols>
  <sheetData>
    <row r="1" spans="1:94" x14ac:dyDescent="0.25">
      <c r="A1" s="502" t="s">
        <v>214</v>
      </c>
      <c r="R1" s="503" t="s">
        <v>213</v>
      </c>
      <c r="BV1" s="503" t="s">
        <v>213</v>
      </c>
    </row>
    <row r="2" spans="1:94" ht="25.5" customHeight="1" x14ac:dyDescent="0.35">
      <c r="A2" s="424" t="s">
        <v>203</v>
      </c>
      <c r="B2" s="407"/>
      <c r="C2" s="407"/>
      <c r="H2" s="453" t="s">
        <v>207</v>
      </c>
      <c r="I2" s="608" t="s">
        <v>208</v>
      </c>
      <c r="J2" s="608"/>
      <c r="K2" s="608"/>
      <c r="L2" s="608"/>
      <c r="M2" s="462"/>
      <c r="N2" s="462"/>
      <c r="O2" s="462"/>
      <c r="P2" s="462"/>
      <c r="Q2" s="616" t="s">
        <v>204</v>
      </c>
      <c r="R2" s="616"/>
      <c r="S2" s="616"/>
      <c r="T2" s="616"/>
      <c r="U2" s="616"/>
      <c r="V2" s="616"/>
      <c r="W2" s="616"/>
      <c r="X2" s="616"/>
      <c r="Y2" s="488" t="s">
        <v>211</v>
      </c>
      <c r="Z2" s="490" t="s">
        <v>205</v>
      </c>
      <c r="BU2" s="617" t="s">
        <v>206</v>
      </c>
      <c r="BV2" s="617"/>
      <c r="BW2" s="617"/>
      <c r="BX2" s="615" t="s">
        <v>220</v>
      </c>
      <c r="BY2" s="615"/>
      <c r="BZ2" s="615"/>
      <c r="CA2" s="615"/>
      <c r="CB2" s="615"/>
      <c r="CC2" s="615"/>
      <c r="CD2" s="615"/>
      <c r="CE2" s="615"/>
      <c r="CF2" s="615"/>
      <c r="CG2" s="615"/>
      <c r="CH2" s="615"/>
      <c r="CI2" s="615"/>
      <c r="CJ2" s="615"/>
      <c r="CK2" s="615"/>
      <c r="CL2" s="604" t="s">
        <v>71</v>
      </c>
      <c r="CM2" s="417" t="s">
        <v>123</v>
      </c>
      <c r="CN2" s="417" t="s">
        <v>17</v>
      </c>
      <c r="CO2" s="417" t="s">
        <v>215</v>
      </c>
      <c r="CP2" s="417" t="s">
        <v>216</v>
      </c>
    </row>
    <row r="3" spans="1:94" ht="12.75" customHeight="1" x14ac:dyDescent="0.25">
      <c r="A3" s="592" t="s">
        <v>150</v>
      </c>
      <c r="B3" s="544" t="s">
        <v>0</v>
      </c>
      <c r="C3" s="544" t="s">
        <v>160</v>
      </c>
      <c r="D3" s="609" t="s">
        <v>44</v>
      </c>
      <c r="E3" s="610"/>
      <c r="F3" s="611"/>
      <c r="G3" s="611" t="s">
        <v>212</v>
      </c>
      <c r="H3" s="618"/>
      <c r="I3" s="546" t="s">
        <v>27</v>
      </c>
      <c r="J3" s="547"/>
      <c r="K3" s="548"/>
      <c r="L3" s="605" t="s">
        <v>161</v>
      </c>
      <c r="M3" s="500"/>
      <c r="N3" s="500"/>
      <c r="O3" s="500"/>
      <c r="P3" s="500"/>
      <c r="Q3" s="575" t="s">
        <v>8</v>
      </c>
      <c r="R3" s="576"/>
      <c r="S3" s="576"/>
      <c r="T3" s="576"/>
      <c r="U3" s="576"/>
      <c r="V3" s="576"/>
      <c r="W3" s="479"/>
      <c r="X3" s="480"/>
      <c r="Y3" s="557" t="s">
        <v>29</v>
      </c>
      <c r="Z3" s="555" t="s">
        <v>28</v>
      </c>
      <c r="AA3" s="581" t="s">
        <v>181</v>
      </c>
      <c r="AB3" s="582"/>
      <c r="AC3" s="581" t="s">
        <v>90</v>
      </c>
      <c r="AD3" s="594"/>
      <c r="AE3" s="594"/>
      <c r="AF3" s="594"/>
      <c r="AG3" s="594"/>
      <c r="AH3" s="582"/>
      <c r="AI3" s="527" t="s">
        <v>195</v>
      </c>
      <c r="AJ3" s="528"/>
      <c r="AK3" s="528"/>
      <c r="AL3" s="528"/>
      <c r="AM3" s="528"/>
      <c r="AN3" s="529"/>
      <c r="AO3" s="527" t="s">
        <v>196</v>
      </c>
      <c r="AP3" s="528"/>
      <c r="AQ3" s="528"/>
      <c r="AR3" s="528"/>
      <c r="AS3" s="528"/>
      <c r="AT3" s="529"/>
      <c r="AU3" s="527" t="s">
        <v>197</v>
      </c>
      <c r="AV3" s="528"/>
      <c r="AW3" s="528"/>
      <c r="AX3" s="528"/>
      <c r="AY3" s="528"/>
      <c r="AZ3" s="529"/>
      <c r="BA3" s="581" t="s">
        <v>128</v>
      </c>
      <c r="BB3" s="594"/>
      <c r="BC3" s="582"/>
      <c r="BD3" s="591" t="s">
        <v>193</v>
      </c>
      <c r="BE3" s="591"/>
      <c r="BF3" s="591"/>
      <c r="BG3" s="591"/>
      <c r="BH3" s="591"/>
      <c r="BI3" s="591" t="s">
        <v>109</v>
      </c>
      <c r="BJ3" s="622"/>
      <c r="BK3" s="622"/>
      <c r="BL3" s="622"/>
      <c r="BM3" s="622"/>
      <c r="BN3" s="622"/>
      <c r="BO3" s="527" t="s">
        <v>182</v>
      </c>
      <c r="BP3" s="528"/>
      <c r="BQ3" s="528"/>
      <c r="BR3" s="528"/>
      <c r="BS3" s="528"/>
      <c r="BT3" s="529"/>
      <c r="BU3" s="623" t="str">
        <f>IF(BI9&gt;0,"Защитный шланг","Наружная оболочка")</f>
        <v>Наружная оболочка</v>
      </c>
      <c r="BV3" s="623"/>
      <c r="BW3" s="624"/>
      <c r="BX3" s="615"/>
      <c r="BY3" s="615"/>
      <c r="BZ3" s="615"/>
      <c r="CA3" s="615"/>
      <c r="CB3" s="615"/>
      <c r="CC3" s="615"/>
      <c r="CD3" s="615"/>
      <c r="CE3" s="615"/>
      <c r="CF3" s="615"/>
      <c r="CG3" s="615"/>
      <c r="CH3" s="615"/>
      <c r="CI3" s="615"/>
      <c r="CJ3" s="615"/>
      <c r="CK3" s="615"/>
      <c r="CL3" s="604"/>
      <c r="CM3" s="406" t="s">
        <v>221</v>
      </c>
      <c r="CN3" s="406" t="s">
        <v>223</v>
      </c>
      <c r="CO3" s="406" t="s">
        <v>132</v>
      </c>
      <c r="CP3" s="406" t="s">
        <v>134</v>
      </c>
    </row>
    <row r="4" spans="1:94" ht="12.75" customHeight="1" x14ac:dyDescent="0.25">
      <c r="A4" s="593"/>
      <c r="B4" s="545"/>
      <c r="C4" s="545"/>
      <c r="D4" s="612"/>
      <c r="E4" s="613"/>
      <c r="F4" s="614"/>
      <c r="G4" s="614"/>
      <c r="H4" s="619"/>
      <c r="I4" s="549"/>
      <c r="J4" s="550"/>
      <c r="K4" s="551"/>
      <c r="L4" s="607"/>
      <c r="M4" s="543" t="s">
        <v>48</v>
      </c>
      <c r="N4" s="543" t="s">
        <v>54</v>
      </c>
      <c r="O4" s="543" t="s">
        <v>55</v>
      </c>
      <c r="P4" s="543" t="s">
        <v>56</v>
      </c>
      <c r="Q4" s="577"/>
      <c r="R4" s="578"/>
      <c r="S4" s="578"/>
      <c r="T4" s="578"/>
      <c r="U4" s="578"/>
      <c r="V4" s="578"/>
      <c r="W4" s="481"/>
      <c r="X4" s="482"/>
      <c r="Y4" s="558"/>
      <c r="Z4" s="556"/>
      <c r="AA4" s="583"/>
      <c r="AB4" s="584"/>
      <c r="AC4" s="595"/>
      <c r="AD4" s="596"/>
      <c r="AE4" s="596"/>
      <c r="AF4" s="596"/>
      <c r="AG4" s="596"/>
      <c r="AH4" s="597"/>
      <c r="AI4" s="540"/>
      <c r="AJ4" s="541"/>
      <c r="AK4" s="541"/>
      <c r="AL4" s="541"/>
      <c r="AM4" s="541"/>
      <c r="AN4" s="542"/>
      <c r="AO4" s="540"/>
      <c r="AP4" s="541"/>
      <c r="AQ4" s="541"/>
      <c r="AR4" s="541"/>
      <c r="AS4" s="541"/>
      <c r="AT4" s="542"/>
      <c r="AU4" s="540"/>
      <c r="AV4" s="541"/>
      <c r="AW4" s="541"/>
      <c r="AX4" s="541"/>
      <c r="AY4" s="541"/>
      <c r="AZ4" s="542"/>
      <c r="BA4" s="595"/>
      <c r="BB4" s="596"/>
      <c r="BC4" s="597"/>
      <c r="BD4" s="591"/>
      <c r="BE4" s="591"/>
      <c r="BF4" s="591"/>
      <c r="BG4" s="591"/>
      <c r="BH4" s="591"/>
      <c r="BI4" s="622"/>
      <c r="BJ4" s="622"/>
      <c r="BK4" s="622"/>
      <c r="BL4" s="622"/>
      <c r="BM4" s="622"/>
      <c r="BN4" s="622"/>
      <c r="BO4" s="540"/>
      <c r="BP4" s="541"/>
      <c r="BQ4" s="541"/>
      <c r="BR4" s="541"/>
      <c r="BS4" s="541"/>
      <c r="BT4" s="542"/>
      <c r="BU4" s="623"/>
      <c r="BV4" s="623"/>
      <c r="BW4" s="624"/>
      <c r="BX4" s="615"/>
      <c r="BY4" s="615"/>
      <c r="BZ4" s="615"/>
      <c r="CA4" s="615"/>
      <c r="CB4" s="615"/>
      <c r="CC4" s="615"/>
      <c r="CD4" s="615"/>
      <c r="CE4" s="615"/>
      <c r="CF4" s="615"/>
      <c r="CG4" s="615"/>
      <c r="CH4" s="615"/>
      <c r="CI4" s="615"/>
      <c r="CJ4" s="615"/>
      <c r="CK4" s="615"/>
      <c r="CL4" s="604"/>
      <c r="CM4" s="406" t="s">
        <v>222</v>
      </c>
      <c r="CN4" s="406" t="s">
        <v>224</v>
      </c>
      <c r="CO4" s="406" t="s">
        <v>217</v>
      </c>
      <c r="CP4" s="406" t="s">
        <v>218</v>
      </c>
    </row>
    <row r="5" spans="1:94" ht="13.5" customHeight="1" x14ac:dyDescent="0.25">
      <c r="A5" s="593"/>
      <c r="B5" s="545"/>
      <c r="C5" s="545"/>
      <c r="D5" s="612"/>
      <c r="E5" s="613"/>
      <c r="F5" s="614"/>
      <c r="G5" s="614"/>
      <c r="H5" s="619"/>
      <c r="I5" s="549"/>
      <c r="J5" s="550"/>
      <c r="K5" s="551"/>
      <c r="L5" s="605" t="s">
        <v>209</v>
      </c>
      <c r="M5" s="543"/>
      <c r="N5" s="543"/>
      <c r="O5" s="543"/>
      <c r="P5" s="543"/>
      <c r="Q5" s="564" t="s">
        <v>31</v>
      </c>
      <c r="R5" s="565"/>
      <c r="S5" s="563" t="s">
        <v>32</v>
      </c>
      <c r="T5" s="563"/>
      <c r="U5" s="563"/>
      <c r="V5" s="563"/>
      <c r="W5" s="563"/>
      <c r="X5" s="563"/>
      <c r="Y5" s="558"/>
      <c r="Z5" s="556"/>
      <c r="AA5" s="544" t="s">
        <v>129</v>
      </c>
      <c r="AB5" s="544" t="s">
        <v>61</v>
      </c>
      <c r="AC5" s="544" t="s">
        <v>129</v>
      </c>
      <c r="AD5" s="581" t="s">
        <v>60</v>
      </c>
      <c r="AE5" s="594"/>
      <c r="AF5" s="582"/>
      <c r="AG5" s="525" t="s">
        <v>140</v>
      </c>
      <c r="AH5" s="544" t="s">
        <v>61</v>
      </c>
      <c r="AI5" s="525" t="s">
        <v>184</v>
      </c>
      <c r="AJ5" s="527" t="s">
        <v>198</v>
      </c>
      <c r="AK5" s="528"/>
      <c r="AL5" s="529"/>
      <c r="AM5" s="525" t="s">
        <v>186</v>
      </c>
      <c r="AN5" s="533" t="s">
        <v>199</v>
      </c>
      <c r="AO5" s="525" t="s">
        <v>184</v>
      </c>
      <c r="AP5" s="527" t="s">
        <v>198</v>
      </c>
      <c r="AQ5" s="528"/>
      <c r="AR5" s="529"/>
      <c r="AS5" s="525" t="s">
        <v>186</v>
      </c>
      <c r="AT5" s="533" t="s">
        <v>199</v>
      </c>
      <c r="AU5" s="525" t="s">
        <v>184</v>
      </c>
      <c r="AV5" s="527" t="s">
        <v>198</v>
      </c>
      <c r="AW5" s="528"/>
      <c r="AX5" s="529"/>
      <c r="AY5" s="525" t="s">
        <v>186</v>
      </c>
      <c r="AZ5" s="533" t="s">
        <v>199</v>
      </c>
      <c r="BA5" s="570" t="s">
        <v>49</v>
      </c>
      <c r="BB5" s="571"/>
      <c r="BC5" s="570" t="s">
        <v>141</v>
      </c>
      <c r="BD5" s="522" t="s">
        <v>129</v>
      </c>
      <c r="BE5" s="522" t="s">
        <v>189</v>
      </c>
      <c r="BF5" s="522" t="s">
        <v>190</v>
      </c>
      <c r="BG5" s="522" t="s">
        <v>191</v>
      </c>
      <c r="BH5" s="522" t="s">
        <v>192</v>
      </c>
      <c r="BI5" s="522" t="s">
        <v>129</v>
      </c>
      <c r="BJ5" s="609" t="s">
        <v>93</v>
      </c>
      <c r="BK5" s="610"/>
      <c r="BL5" s="611"/>
      <c r="BM5" s="620" t="s">
        <v>130</v>
      </c>
      <c r="BN5" s="533" t="s">
        <v>183</v>
      </c>
      <c r="BO5" s="525" t="s">
        <v>184</v>
      </c>
      <c r="BP5" s="527" t="s">
        <v>185</v>
      </c>
      <c r="BQ5" s="528"/>
      <c r="BR5" s="529"/>
      <c r="BS5" s="525" t="s">
        <v>186</v>
      </c>
      <c r="BT5" s="533" t="s">
        <v>183</v>
      </c>
      <c r="BU5" s="534" t="s">
        <v>31</v>
      </c>
      <c r="BV5" s="535"/>
      <c r="BW5" s="524" t="s">
        <v>162</v>
      </c>
      <c r="BX5" s="520" t="s">
        <v>123</v>
      </c>
      <c r="BY5" s="520" t="s">
        <v>17</v>
      </c>
      <c r="BZ5" s="520" t="s">
        <v>215</v>
      </c>
      <c r="CA5" s="520" t="s">
        <v>179</v>
      </c>
      <c r="CB5" s="587" t="s">
        <v>188</v>
      </c>
      <c r="CC5" s="520" t="s">
        <v>90</v>
      </c>
      <c r="CD5" s="520" t="s">
        <v>202</v>
      </c>
      <c r="CE5" s="520" t="s">
        <v>200</v>
      </c>
      <c r="CF5" s="520" t="s">
        <v>201</v>
      </c>
      <c r="CG5" s="520" t="s">
        <v>178</v>
      </c>
      <c r="CH5" s="589" t="s">
        <v>194</v>
      </c>
      <c r="CI5" s="520" t="s">
        <v>136</v>
      </c>
      <c r="CJ5" s="585" t="s">
        <v>187</v>
      </c>
      <c r="CK5" s="520" t="s">
        <v>216</v>
      </c>
      <c r="CL5" s="604"/>
      <c r="CP5" s="406" t="s">
        <v>219</v>
      </c>
    </row>
    <row r="6" spans="1:94" ht="13.5" customHeight="1" x14ac:dyDescent="0.25">
      <c r="A6" s="593"/>
      <c r="B6" s="545"/>
      <c r="C6" s="545"/>
      <c r="D6" s="612"/>
      <c r="E6" s="613"/>
      <c r="F6" s="614"/>
      <c r="G6" s="614"/>
      <c r="H6" s="619"/>
      <c r="I6" s="549"/>
      <c r="J6" s="550"/>
      <c r="K6" s="551"/>
      <c r="L6" s="606"/>
      <c r="M6" s="543"/>
      <c r="N6" s="543"/>
      <c r="O6" s="543"/>
      <c r="P6" s="543"/>
      <c r="Q6" s="566"/>
      <c r="R6" s="567"/>
      <c r="S6" s="563"/>
      <c r="T6" s="563"/>
      <c r="U6" s="563"/>
      <c r="V6" s="563"/>
      <c r="W6" s="563"/>
      <c r="X6" s="563"/>
      <c r="Y6" s="558"/>
      <c r="Z6" s="556"/>
      <c r="AA6" s="545"/>
      <c r="AB6" s="545"/>
      <c r="AC6" s="545"/>
      <c r="AD6" s="595"/>
      <c r="AE6" s="596"/>
      <c r="AF6" s="597"/>
      <c r="AG6" s="526"/>
      <c r="AH6" s="545"/>
      <c r="AI6" s="526"/>
      <c r="AJ6" s="530"/>
      <c r="AK6" s="531"/>
      <c r="AL6" s="532"/>
      <c r="AM6" s="526"/>
      <c r="AN6" s="533"/>
      <c r="AO6" s="526"/>
      <c r="AP6" s="530"/>
      <c r="AQ6" s="531"/>
      <c r="AR6" s="532"/>
      <c r="AS6" s="526"/>
      <c r="AT6" s="533"/>
      <c r="AU6" s="526"/>
      <c r="AV6" s="530"/>
      <c r="AW6" s="531"/>
      <c r="AX6" s="532"/>
      <c r="AY6" s="526"/>
      <c r="AZ6" s="533"/>
      <c r="BA6" s="572"/>
      <c r="BB6" s="573"/>
      <c r="BC6" s="572"/>
      <c r="BD6" s="523"/>
      <c r="BE6" s="523"/>
      <c r="BF6" s="523"/>
      <c r="BG6" s="523"/>
      <c r="BH6" s="523"/>
      <c r="BI6" s="523"/>
      <c r="BJ6" s="612"/>
      <c r="BK6" s="613"/>
      <c r="BL6" s="614"/>
      <c r="BM6" s="621"/>
      <c r="BN6" s="533"/>
      <c r="BO6" s="526"/>
      <c r="BP6" s="530"/>
      <c r="BQ6" s="531"/>
      <c r="BR6" s="532"/>
      <c r="BS6" s="526"/>
      <c r="BT6" s="533"/>
      <c r="BU6" s="536"/>
      <c r="BV6" s="537"/>
      <c r="BW6" s="524"/>
      <c r="BX6" s="521"/>
      <c r="BY6" s="521"/>
      <c r="BZ6" s="521"/>
      <c r="CA6" s="521"/>
      <c r="CB6" s="588"/>
      <c r="CC6" s="521"/>
      <c r="CD6" s="521"/>
      <c r="CE6" s="521"/>
      <c r="CF6" s="521"/>
      <c r="CG6" s="521"/>
      <c r="CH6" s="590"/>
      <c r="CI6" s="521"/>
      <c r="CJ6" s="586"/>
      <c r="CK6" s="521"/>
      <c r="CL6" s="604"/>
    </row>
    <row r="7" spans="1:94" ht="15.75" customHeight="1" x14ac:dyDescent="0.25">
      <c r="A7" s="593"/>
      <c r="B7" s="545"/>
      <c r="C7" s="545"/>
      <c r="D7" s="612"/>
      <c r="E7" s="613"/>
      <c r="F7" s="614"/>
      <c r="G7" s="614"/>
      <c r="H7" s="619"/>
      <c r="I7" s="549"/>
      <c r="J7" s="550"/>
      <c r="K7" s="551"/>
      <c r="L7" s="606"/>
      <c r="M7" s="543"/>
      <c r="N7" s="543"/>
      <c r="O7" s="543"/>
      <c r="P7" s="543"/>
      <c r="Q7" s="568"/>
      <c r="R7" s="569"/>
      <c r="S7" s="563"/>
      <c r="T7" s="563"/>
      <c r="U7" s="563"/>
      <c r="V7" s="563"/>
      <c r="W7" s="563"/>
      <c r="X7" s="563"/>
      <c r="Y7" s="558"/>
      <c r="Z7" s="556"/>
      <c r="AA7" s="545"/>
      <c r="AB7" s="545"/>
      <c r="AC7" s="545"/>
      <c r="AD7" s="595"/>
      <c r="AE7" s="596"/>
      <c r="AF7" s="597"/>
      <c r="AG7" s="526"/>
      <c r="AH7" s="545"/>
      <c r="AI7" s="526"/>
      <c r="AJ7" s="530"/>
      <c r="AK7" s="531"/>
      <c r="AL7" s="532"/>
      <c r="AM7" s="526"/>
      <c r="AN7" s="533"/>
      <c r="AO7" s="526"/>
      <c r="AP7" s="530"/>
      <c r="AQ7" s="531"/>
      <c r="AR7" s="532"/>
      <c r="AS7" s="526"/>
      <c r="AT7" s="533"/>
      <c r="AU7" s="526"/>
      <c r="AV7" s="530"/>
      <c r="AW7" s="531"/>
      <c r="AX7" s="532"/>
      <c r="AY7" s="526"/>
      <c r="AZ7" s="533"/>
      <c r="BA7" s="544" t="s">
        <v>125</v>
      </c>
      <c r="BB7" s="544" t="s">
        <v>126</v>
      </c>
      <c r="BC7" s="544" t="s">
        <v>126</v>
      </c>
      <c r="BD7" s="523"/>
      <c r="BE7" s="523"/>
      <c r="BF7" s="523"/>
      <c r="BG7" s="523"/>
      <c r="BH7" s="523"/>
      <c r="BI7" s="523"/>
      <c r="BJ7" s="612"/>
      <c r="BK7" s="613"/>
      <c r="BL7" s="614"/>
      <c r="BM7" s="621"/>
      <c r="BN7" s="533"/>
      <c r="BO7" s="526"/>
      <c r="BP7" s="530"/>
      <c r="BQ7" s="531"/>
      <c r="BR7" s="532"/>
      <c r="BS7" s="526"/>
      <c r="BT7" s="533"/>
      <c r="BU7" s="538"/>
      <c r="BV7" s="539"/>
      <c r="BW7" s="524"/>
      <c r="BX7" s="521"/>
      <c r="BY7" s="521"/>
      <c r="BZ7" s="521"/>
      <c r="CA7" s="521"/>
      <c r="CB7" s="588"/>
      <c r="CC7" s="521"/>
      <c r="CD7" s="521"/>
      <c r="CE7" s="521"/>
      <c r="CF7" s="521"/>
      <c r="CG7" s="521"/>
      <c r="CH7" s="590"/>
      <c r="CI7" s="521"/>
      <c r="CJ7" s="586"/>
      <c r="CK7" s="521"/>
      <c r="CL7" s="604"/>
    </row>
    <row r="8" spans="1:94" ht="15.75" customHeight="1" x14ac:dyDescent="0.25">
      <c r="A8" s="593"/>
      <c r="B8" s="545"/>
      <c r="C8" s="545"/>
      <c r="D8" s="612"/>
      <c r="E8" s="613"/>
      <c r="F8" s="614"/>
      <c r="G8" s="614"/>
      <c r="H8" s="619"/>
      <c r="I8" s="552"/>
      <c r="J8" s="553"/>
      <c r="K8" s="554"/>
      <c r="L8" s="606"/>
      <c r="M8" s="543"/>
      <c r="N8" s="543"/>
      <c r="O8" s="543"/>
      <c r="P8" s="543"/>
      <c r="Q8" s="560" t="s">
        <v>125</v>
      </c>
      <c r="R8" s="579" t="s">
        <v>126</v>
      </c>
      <c r="S8" s="562" t="s">
        <v>125</v>
      </c>
      <c r="T8" s="562"/>
      <c r="U8" s="562"/>
      <c r="V8" s="562" t="s">
        <v>126</v>
      </c>
      <c r="W8" s="562"/>
      <c r="X8" s="562"/>
      <c r="Y8" s="558"/>
      <c r="Z8" s="556"/>
      <c r="AA8" s="545"/>
      <c r="AB8" s="545"/>
      <c r="AC8" s="545"/>
      <c r="AD8" s="595"/>
      <c r="AE8" s="596"/>
      <c r="AF8" s="597"/>
      <c r="AG8" s="526"/>
      <c r="AH8" s="545"/>
      <c r="AI8" s="526"/>
      <c r="AJ8" s="530"/>
      <c r="AK8" s="531"/>
      <c r="AL8" s="532"/>
      <c r="AM8" s="526"/>
      <c r="AN8" s="533"/>
      <c r="AO8" s="526"/>
      <c r="AP8" s="530"/>
      <c r="AQ8" s="531"/>
      <c r="AR8" s="532"/>
      <c r="AS8" s="526"/>
      <c r="AT8" s="533"/>
      <c r="AU8" s="526"/>
      <c r="AV8" s="530"/>
      <c r="AW8" s="531"/>
      <c r="AX8" s="532"/>
      <c r="AY8" s="526"/>
      <c r="AZ8" s="533"/>
      <c r="BA8" s="545"/>
      <c r="BB8" s="545"/>
      <c r="BC8" s="545"/>
      <c r="BD8" s="523"/>
      <c r="BE8" s="523"/>
      <c r="BF8" s="523"/>
      <c r="BG8" s="523"/>
      <c r="BH8" s="523"/>
      <c r="BI8" s="523"/>
      <c r="BJ8" s="612"/>
      <c r="BK8" s="613"/>
      <c r="BL8" s="614"/>
      <c r="BM8" s="621"/>
      <c r="BN8" s="533"/>
      <c r="BO8" s="526"/>
      <c r="BP8" s="530"/>
      <c r="BQ8" s="531"/>
      <c r="BR8" s="532"/>
      <c r="BS8" s="526"/>
      <c r="BT8" s="533"/>
      <c r="BU8" s="625" t="s">
        <v>125</v>
      </c>
      <c r="BV8" s="602" t="s">
        <v>126</v>
      </c>
      <c r="BW8" s="524"/>
      <c r="BX8" s="521"/>
      <c r="BY8" s="521"/>
      <c r="BZ8" s="521"/>
      <c r="CA8" s="521"/>
      <c r="CB8" s="588"/>
      <c r="CC8" s="521"/>
      <c r="CD8" s="521"/>
      <c r="CE8" s="521"/>
      <c r="CF8" s="521"/>
      <c r="CG8" s="521"/>
      <c r="CH8" s="590"/>
      <c r="CI8" s="521"/>
      <c r="CJ8" s="586"/>
      <c r="CK8" s="521"/>
      <c r="CL8" s="604"/>
    </row>
    <row r="9" spans="1:94" ht="12.75" customHeight="1" x14ac:dyDescent="0.25">
      <c r="A9" s="416" t="s">
        <v>210</v>
      </c>
      <c r="B9" s="435"/>
      <c r="C9" s="435"/>
      <c r="D9" s="436"/>
      <c r="E9" s="437"/>
      <c r="F9" s="448"/>
      <c r="G9" s="438"/>
      <c r="H9" s="459"/>
      <c r="I9" s="463"/>
      <c r="J9" s="464"/>
      <c r="K9" s="465"/>
      <c r="L9" s="607"/>
      <c r="M9" s="543"/>
      <c r="N9" s="543"/>
      <c r="O9" s="543"/>
      <c r="P9" s="543"/>
      <c r="Q9" s="561"/>
      <c r="R9" s="580"/>
      <c r="S9" s="562"/>
      <c r="T9" s="562"/>
      <c r="U9" s="562"/>
      <c r="V9" s="562"/>
      <c r="W9" s="562"/>
      <c r="X9" s="562"/>
      <c r="Y9" s="559"/>
      <c r="Z9" s="556"/>
      <c r="AA9" s="425">
        <v>0</v>
      </c>
      <c r="AB9" s="574"/>
      <c r="AC9" s="425">
        <v>2</v>
      </c>
      <c r="AD9" s="598"/>
      <c r="AE9" s="599"/>
      <c r="AF9" s="600"/>
      <c r="AG9" s="601"/>
      <c r="AH9" s="574"/>
      <c r="AI9" s="425">
        <v>0</v>
      </c>
      <c r="AJ9" s="440">
        <f>IF(AI9=0,0,0.5)</f>
        <v>0</v>
      </c>
      <c r="AK9" s="429"/>
      <c r="AL9" s="441">
        <f>IF(AI9=0,0,60)</f>
        <v>0</v>
      </c>
      <c r="AM9" s="442"/>
      <c r="AN9" s="533"/>
      <c r="AO9" s="442">
        <f>AI9</f>
        <v>0</v>
      </c>
      <c r="AP9" s="440">
        <f>IF(AO9=0,0,0.5)</f>
        <v>0</v>
      </c>
      <c r="AQ9" s="429"/>
      <c r="AR9" s="441">
        <f>IF(AI9=0,0,60)</f>
        <v>0</v>
      </c>
      <c r="AS9" s="442"/>
      <c r="AT9" s="533"/>
      <c r="AU9" s="442">
        <f>AO9</f>
        <v>0</v>
      </c>
      <c r="AV9" s="440">
        <f>IF(AU9=0,0,0.5)</f>
        <v>0</v>
      </c>
      <c r="AW9" s="429"/>
      <c r="AX9" s="441">
        <f>IF(AI9=0,0,60)</f>
        <v>0</v>
      </c>
      <c r="AY9" s="442"/>
      <c r="AZ9" s="533"/>
      <c r="BA9" s="574"/>
      <c r="BB9" s="574"/>
      <c r="BC9" s="574"/>
      <c r="BD9" s="434">
        <v>0</v>
      </c>
      <c r="BE9" s="434">
        <f>IF(BD9&gt;0,0.2,0)</f>
        <v>0</v>
      </c>
      <c r="BF9" s="523"/>
      <c r="BG9" s="434">
        <f>IF(BD9&gt;0,30,0)</f>
        <v>0</v>
      </c>
      <c r="BH9" s="523"/>
      <c r="BI9" s="425">
        <v>0</v>
      </c>
      <c r="BJ9" s="426">
        <f>IF(BI9=0,0,0.25)</f>
        <v>0</v>
      </c>
      <c r="BK9" s="427"/>
      <c r="BL9" s="411"/>
      <c r="BM9" s="410">
        <f>IF(BI9=0,0,35)</f>
        <v>0</v>
      </c>
      <c r="BN9" s="533"/>
      <c r="BO9" s="425">
        <v>0</v>
      </c>
      <c r="BP9" s="428">
        <f>IF(BO9&gt;0,0.1,0)</f>
        <v>0</v>
      </c>
      <c r="BQ9" s="429"/>
      <c r="BR9" s="430"/>
      <c r="BS9" s="425">
        <v>35</v>
      </c>
      <c r="BT9" s="533"/>
      <c r="BU9" s="626"/>
      <c r="BV9" s="603"/>
      <c r="BW9" s="524"/>
      <c r="BX9" s="454">
        <v>2.7</v>
      </c>
      <c r="BY9" s="454">
        <v>8.89</v>
      </c>
      <c r="BZ9" s="454">
        <v>1.34</v>
      </c>
      <c r="CA9" s="454" t="e">
        <f>IF(CA5="Кабельный пластикат ПВХ (втор. перераб.)",#REF!,
IF(CA5="Кабельный пластикат ПВХ нг-LS (втор. перераб.)",#REF!,
IF(CA5="Кабельный пластикат НГП (втор. перераб.)",#REF!,
IF(CA5="Композиция безгалогенная марки Винтес 3020",#REF!,
IF(CA5="Кабельный пластикат ПВХ ХЛ(втор. перераб.)",#REF!,
"ошибка")))))</f>
        <v>#REF!</v>
      </c>
      <c r="CB9" s="455">
        <v>0.69</v>
      </c>
      <c r="CC9" s="454">
        <v>1.4</v>
      </c>
      <c r="CD9" s="454">
        <v>0.32</v>
      </c>
      <c r="CE9" s="454">
        <v>1.4870000000000001</v>
      </c>
      <c r="CF9" s="454">
        <v>0.89</v>
      </c>
      <c r="CG9" s="454" t="e">
        <f>IF(CG5="Кабельный пластикат ОМ-40",#REF!,
IF(CG5="Кабельный пластикат НГП 30-32",#REF!,
IF(CG5="Резиноподобный наполнитель WK 75/25",#REF!,
IF(CG5="Кабельный полиэтилен 102-10 КУ ВС",#REF!,
IF(CG5="Кабельный пластикат ППО 30-35",#REF!,
IF(CG5="Кабельный пластикат ППВ 28",#REF!,
IF(CG5="Кабельный пластикат НГП 40-32 (-50C)",#REF!,
IF(CG5="Кабельный пластикат Лоусгран 3110 АЭС",#REF!,
"ошибка"))))))))</f>
        <v>#REF!</v>
      </c>
      <c r="CH9" s="454">
        <v>1.1499999999999999</v>
      </c>
      <c r="CI9" s="454">
        <v>7.8</v>
      </c>
      <c r="CJ9" s="456">
        <v>8.89</v>
      </c>
      <c r="CK9" s="454">
        <v>1.4</v>
      </c>
      <c r="CL9" s="604"/>
    </row>
    <row r="10" spans="1:94" s="207" customFormat="1" ht="14.25" hidden="1" customHeight="1" x14ac:dyDescent="0.25">
      <c r="A10" s="389" t="str">
        <f>IF(D10="",CONCATENATE("Кабель ",IF(C10="а","А",""),$A$9),CONCATENATE("Кабель ",IF(C10="а","А",""),$A$9," ",D10,"*",F10,IF(G10="ок"," (ож)","")," - ",B10," ",IF(G10="мс"," фас. ",""),$A$2))</f>
        <v>Кабель ВВГ 1*16 - 0,66 ГОСТ 16442-80</v>
      </c>
      <c r="B10" s="511">
        <v>0.66</v>
      </c>
      <c r="C10" s="451" t="s">
        <v>163</v>
      </c>
      <c r="D10" s="274">
        <v>1</v>
      </c>
      <c r="E10" s="34" t="s">
        <v>40</v>
      </c>
      <c r="F10" s="289">
        <v>16</v>
      </c>
      <c r="G10" s="276" t="s">
        <v>154</v>
      </c>
      <c r="H10" s="1066">
        <v>1.77</v>
      </c>
      <c r="I10" s="257">
        <v>7</v>
      </c>
      <c r="J10" s="37" t="s">
        <v>40</v>
      </c>
      <c r="K10" s="1067">
        <f>ROUNDUP(SQRT(F10/I10/PI()*4*1.07),2)</f>
        <v>1.77</v>
      </c>
      <c r="L10" s="1068">
        <v>1.39</v>
      </c>
      <c r="M10" s="1069"/>
      <c r="N10" s="1069"/>
      <c r="O10" s="1069"/>
      <c r="P10" s="1069"/>
      <c r="Q10" s="1070">
        <f t="shared" ref="Q10:Q73" si="0">0.9*R10-0.1</f>
        <v>0.71000000000000008</v>
      </c>
      <c r="R10" s="61">
        <f>IF(B10=0.66,VLOOKUP(F10,'Данные ТНПА'!$B$8:$C$16,2,0),
IF(B10=1,VLOOKUP(F10,'Данные ТНПА'!$B$17:$C$37,2,0),"ошибка"))</f>
        <v>0.9</v>
      </c>
      <c r="S10" s="1071">
        <f t="shared" ref="S10:S73" si="1">IF(I10=1,K10+2*Q10,L10+2*Q10)</f>
        <v>2.81</v>
      </c>
      <c r="T10" s="413"/>
      <c r="U10" s="1072"/>
      <c r="V10" s="1071">
        <f t="shared" ref="V10:V73" si="2">IF(I10=1,K10+2*R10,L10+2*R10)</f>
        <v>3.19</v>
      </c>
      <c r="W10" s="413"/>
      <c r="X10" s="1072"/>
      <c r="Y10" s="61">
        <f t="shared" ref="Y10:Y73" si="3">IF(V10="","",ROUND(V10*IF(AND(D10=4,F10&gt;16),0.414,IF(D10=5,0.702,0)),1))</f>
        <v>0</v>
      </c>
      <c r="Z10" s="1073">
        <f t="shared" ref="Z10:Z73" si="4">IF(R10="","",
IF(G10="мс",2*(V10+(N10+R10)*(1/COS(PI()*(D10-2)/(2*D10))-1)),
IF(D10=1,V10*1,IF(D10=2,V10*2,IF(D10=3,V10*2.15,IF(D10=4,V10*2.41,IF(D10=5,V10*2.7,"ошибка")))))))</f>
        <v>3.19</v>
      </c>
      <c r="AA10" s="237">
        <f t="shared" ref="AA10:AA73" si="5">IF(G10="","",IF(G10="мс",$AA$9,0))</f>
        <v>0</v>
      </c>
      <c r="AB10" s="512">
        <f t="shared" ref="AB10:AB73" si="6">IF(Z10="","",Z10)</f>
        <v>3.19</v>
      </c>
      <c r="AC10" s="201">
        <f t="shared" ref="AC10:AC73" si="7">IF(G10="","",IF(G10="мс",$AC$9,0))</f>
        <v>0</v>
      </c>
      <c r="AD10" s="203">
        <f t="shared" ref="AD10:AD73" si="8">IF(AC10="","",IF(AC10&gt;0,IF(AND(Z10&gt;=10,Z10&lt;=20),0.035,IF(Z10&gt;20,0.05,"ошибка")),0))</f>
        <v>0</v>
      </c>
      <c r="AE10" s="37" t="str">
        <f t="shared" ref="AE10:AE73" si="9">IF(Z10="","",IF(AND(G10="мс",AC10&gt;0),"×",""))</f>
        <v/>
      </c>
      <c r="AF10" s="202">
        <f t="shared" ref="AF10:AF73" si="10">IF(AC10="","",IF(AC10&gt;0,IF(AND(Z10&gt;=10,Z10&lt;=20),50,IF(Z10&gt;20,60,"ошибка")),0))</f>
        <v>0</v>
      </c>
      <c r="AG10" s="201">
        <f t="shared" ref="AG10:AG73" si="11">IF(AC10="","",IF(AC10&gt;0,IF(AND(Z10&gt;=10,Z10&lt;=13),40,IF(AND(Z10&gt;=13,Z10&lt;=16),30,IF(Z10&gt;16,25,"ошибка"))),0))</f>
        <v>0</v>
      </c>
      <c r="AH10" s="61">
        <f t="shared" ref="AH10:AH73" si="12">IF(Z10="","",IF(AND(G10="мс",AC10&gt;0),Z10+2*AC10*AD10*IF(AG10&lt;=25,1,IF(AG10&gt;33,2,1.5)),Z10))</f>
        <v>3.19</v>
      </c>
      <c r="AI10" s="443">
        <f>IF(OR($AI$9=0,AH10&lt;=10,D10=1,AND(D10&gt;1,F10&lt;=10,OR(G10="ок",G10="мк"))),0,1)</f>
        <v>0</v>
      </c>
      <c r="AJ10" s="444">
        <f t="shared" ref="AJ10:AJ73" si="13">IF(AI10=0,0,$AJ$9)</f>
        <v>0</v>
      </c>
      <c r="AK10" s="445">
        <f t="shared" ref="AK10:AK73" si="14">IF(AI10="","",IF(AI10=0,0,"×"))</f>
        <v>0</v>
      </c>
      <c r="AL10" s="446">
        <f t="shared" ref="AL10:AL73" si="15">IF(AI10=0,0,$AL$9)</f>
        <v>0</v>
      </c>
      <c r="AM10" s="447">
        <f t="shared" ref="AM10:AM73" si="16">IF(AI10=0,0,
IF(AND(AH10&gt;10,AH10&lt;=13),55,
IF(AND(AH10&gt;13,AH10&lt;=15),45,
IF(AND(AH10&gt;15,AH10&lt;=18),35,
IF(AND(AH10&gt;18,AH10&lt;=20),30,
IF(AH10&gt;20,15,
0))))))</f>
        <v>0</v>
      </c>
      <c r="AN10" s="24">
        <f t="shared" ref="AN10:AN73" si="17">AH10+2*AI10*AJ10*(IF(AM10&lt;25,1,IF(AM10&gt;33,2,1.5)))</f>
        <v>3.19</v>
      </c>
      <c r="AO10" s="443">
        <f t="shared" ref="AO10:AO73" si="18">IF(OR(AI10=0,AN10&lt;=10,AN10&gt;23,AND(D10&gt;1,F10&lt;=10,OR(G10="ок",G10="мк"))),0,1)</f>
        <v>0</v>
      </c>
      <c r="AP10" s="444">
        <f t="shared" ref="AP10:AP73" si="19">IF(OR(AO10=0,AN10&gt;23),0,$AP$9)</f>
        <v>0</v>
      </c>
      <c r="AQ10" s="445">
        <f t="shared" ref="AQ10:AQ73" si="20">IF(OR(AN10&gt;23,AO10=0),0,"×")</f>
        <v>0</v>
      </c>
      <c r="AR10" s="446">
        <f t="shared" ref="AR10:AR73" si="21">IF(OR(AN10&gt;23,AO10=0),0,$AR$9)</f>
        <v>0</v>
      </c>
      <c r="AS10" s="447">
        <f t="shared" ref="AS10:AS73" si="22">IF(AO10=0,0,
IF(AND(AH10&gt;10,AH10&lt;=13),55,
IF(AND(AH10&gt;13,AH10&lt;=15),45,
IF(AND(AH10&gt;15,AH10&lt;=18),35,
IF(AND(AH10&gt;18,AH10&lt;=20),30,
IF(AND(AH10&gt;20,AH10&lt;=23),15,
0))))))</f>
        <v>0</v>
      </c>
      <c r="AT10" s="24">
        <f t="shared" ref="AT10:AT73" si="23">AN10+2*AO10*AP10*(IF(AS10&lt;25,1,IF(AS10&gt;33,2,1.5)))</f>
        <v>3.19</v>
      </c>
      <c r="AU10" s="443">
        <f t="shared" ref="AU10:AU73" si="24">IF(OR(AI10=0,D10=1,AN10&lt;=23),0,1)</f>
        <v>0</v>
      </c>
      <c r="AV10" s="444">
        <f t="shared" ref="AV10:AV73" si="25">IF(OR(AU10=0,AN10&lt;=23),0,$AV$9)</f>
        <v>0</v>
      </c>
      <c r="AW10" s="445">
        <f t="shared" ref="AW10:AW73" si="26">IF(OR(AN10&lt;=23,AU10=0),0,"×")</f>
        <v>0</v>
      </c>
      <c r="AX10" s="446">
        <f t="shared" ref="AX10:AX73" si="27">IF(OR(AN10&lt;=23,AU10=0),0,$AX$9)</f>
        <v>0</v>
      </c>
      <c r="AY10" s="447">
        <f t="shared" ref="AY10:AY73" si="28">IF(AU10=0,0,15)</f>
        <v>0</v>
      </c>
      <c r="AZ10" s="24">
        <f t="shared" ref="AZ10:AZ73" si="29">AT10+2*AU10*AV10*(IF(AY10&lt;25,1,IF(AY10&gt;33,2,1.5)))</f>
        <v>3.19</v>
      </c>
      <c r="BA10" s="43">
        <f>IF(BB10=0,0,
IF(D10=1,
(IF(AND(AH10&gt;'Данные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"ошибка_1"))))))),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"ошибка_2"))))))))</f>
        <v>0</v>
      </c>
      <c r="BB10" s="43">
        <f>IF(OR($AI$9=0,AND(D10&gt;1,F10&gt;10)),0,
IF(D10=1,
(IF(AND(AH10&gt;'Данные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"ошибка_1"))))))),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IF(AND(AH10&gt;'Данные ТНПА'!#REF!,AH10&lt;='Данные ТНПА'!#REF!),'Данные ТНПА'!#REF!,
"ошибка_2"))))))))</f>
        <v>0</v>
      </c>
      <c r="BC10" s="43">
        <f t="shared" ref="BC10:BC73" si="30">AZ10+2*BB10</f>
        <v>3.19</v>
      </c>
      <c r="BD10" s="237">
        <f t="shared" ref="BD10:BD73" si="31">IF(BC10="","",
IF(BC10=0,0,$BD$9))</f>
        <v>0</v>
      </c>
      <c r="BE10" s="43">
        <f t="shared" ref="BE10:BE73" si="32">IF(BC10="","",
IF(BC10=0,0,$BE$9))</f>
        <v>0</v>
      </c>
      <c r="BF10" s="201">
        <f t="shared" ref="BF10:BF73" si="33">IF(BC10="","",
IF($BD$9=0,0,
IF(BC10&lt;=13,20,
IF(AND(BC10&gt;13,BC10&lt;=18),30,
IF(AND(BC10&gt;18,BC10&lt;=23),40,
IF(AND(BC10&gt;23,BC10&lt;=30),50,
60))))))</f>
        <v>0</v>
      </c>
      <c r="BG10" s="201">
        <f t="shared" ref="BG10:BG73" si="34">IF(BC10="","",$BG$9)</f>
        <v>0</v>
      </c>
      <c r="BH10" s="61">
        <f t="shared" ref="BH10:BH73" si="35">IF(BC10="","",BC10+2*BD10*BE10*IF(BG10&lt;=25,1,IF(BG10&gt;33,2,1.5)))</f>
        <v>3.19</v>
      </c>
      <c r="BI10" s="237">
        <f t="shared" ref="BI10:BI73" si="36">IF(BC10="","",$BI$9)</f>
        <v>0</v>
      </c>
      <c r="BJ10" s="247">
        <f t="shared" ref="BJ10:BJ73" si="37">IF(BC10="","",$BJ$9)</f>
        <v>0</v>
      </c>
      <c r="BK10" s="431">
        <f t="shared" ref="BK10:BK73" si="38">IF(BJ10="","",IF(BJ10&lt;&gt;0,"×",0))</f>
        <v>0</v>
      </c>
      <c r="BL10" s="250">
        <f t="shared" ref="BL10:BL73" si="39">IF(BK10="","",
IF(BJ10&lt;&gt;0,
IF(AND(BC10&gt;7,BC10&lt;=10),15,
IF(AND(BC10&gt;10,BC10&lt;=13),20,
IF(AND(BC10&gt;13,BC10&lt;=21),30,
IF(AND(BC10&gt;21,BC10&lt;=31),40,
IF(AND(BC10&gt;31,BC10&lt;=70),50,
IF(AND(BC10&gt;70,BC10&lt;=80),60,
"ошибка")))))),0))</f>
        <v>0</v>
      </c>
      <c r="BM10" s="237">
        <f t="shared" ref="BM10:BM73" si="40">IF(BL10="","",$BM$9)</f>
        <v>0</v>
      </c>
      <c r="BN10" s="512">
        <f t="shared" ref="BN10:BN73" si="41">IF(BH10="","",BH10+2*BI10*BJ10)</f>
        <v>3.19</v>
      </c>
      <c r="BO10" s="237">
        <f t="shared" ref="BO10:BO73" si="42">IF(BN10="","",$BO$9)</f>
        <v>0</v>
      </c>
      <c r="BP10" s="432">
        <f t="shared" ref="BP10:BP73" si="43">IF(BO10="","",IF(BO10&gt;0,$BP$9,0))</f>
        <v>0</v>
      </c>
      <c r="BQ10" s="22" t="str">
        <f t="shared" ref="BQ10:BQ73" si="44">IF(BP10="","",IF(BP10&gt;0,"×",""))</f>
        <v/>
      </c>
      <c r="BR10" s="250">
        <f t="shared" ref="BR10:BR73" si="45">IF(BN10="","",IF(BO10=0,0,IF(BN10&lt;=19,30,IF(AND(BN10&gt;19,BN10&lt;=23),40,50))))</f>
        <v>0</v>
      </c>
      <c r="BS10" s="237">
        <f t="shared" ref="BS10:BS73" si="46">IF(BO10="","",IF(BO10=0,0,$BS$9))</f>
        <v>0</v>
      </c>
      <c r="BT10" s="512">
        <f t="shared" ref="BT10:BT73" si="47">IF(BN10="","",BN10+2*BO10*BP10*IF(BS10&lt;=25,1,IF(BS10&gt;33,2,1.5)))</f>
        <v>3.19</v>
      </c>
      <c r="BU10" s="1074">
        <f t="shared" ref="BU10:BU73" si="48">0.85*BV10-0.1</f>
        <v>0.92</v>
      </c>
      <c r="BV10" s="43">
        <f>IF(BT10="","",
IF(AND(BT10&gt;'Данные ТНПА'!$K$8,BT10&lt;='Данные ТНПА'!$L$8),'Данные ТНПА'!$N$8,
IF(AND(BT10&gt;'Данные ТНПА'!$K$9,BT10&lt;='Данные ТНПА'!$L$9),'Данные ТНПА'!$N$9,
IF(AND(BT10&gt;'Данные ТНПА'!$K$10,BT10&lt;='Данные ТНПА'!$L$10),'Данные ТНПА'!$N$10,
IF(AND(BT10&gt;'Данные ТНПА'!$K$11,BT10&lt;='Данные ТНПА'!$L$11),'Данные ТНПА'!$N$11,
IF(AND(BT10&gt;'Данные ТНПА'!$K$12,BT10&lt;='Данные ТНПА'!$L$12),'Данные ТНПА'!$N$12,
IF(AND(BT10&gt;'Данные ТНПА'!$K$13,BT10&lt;='Данные ТНПА'!$L$13),'Данные ТНПА'!$N$13,
IF(AND(BT10&gt;'Данные ТНПА'!$K$14,BT10&lt;='Данные ТНПА'!$L$14),'Данные ТНПА'!$N$14))))))))</f>
        <v>1.2</v>
      </c>
      <c r="BW10" s="43">
        <f t="shared" ref="BW10:BW73" si="49">BT10+2*BV10</f>
        <v>5.59</v>
      </c>
      <c r="BX10" s="15">
        <f t="shared" ref="BX10:BX73" si="50">IF(C10="а",F10*$BX$9*D10*IF(D10&gt;1,1.007,1),0)</f>
        <v>0</v>
      </c>
      <c r="BY10" s="15">
        <f t="shared" ref="BY10:BY73" si="51">IF(C10="а",0,F10*$BY$9*D10*IF(D10&gt;1,1.007,1))</f>
        <v>142.24</v>
      </c>
      <c r="BZ10" s="15">
        <f t="shared" ref="BZ10:BZ73" si="52">IF(G10="мс",PI()*(P10/PI()+R10)*R10*$BZ$9*1.13*D10*1.007,
PI()*(IF(I10=1,K10,L10)+R10)*R10*$BZ$9*D10*IF(D10&gt;1,1.007,1)*IF(I10=1,1,(IF(F10&gt;=4,1.1,1.07))))</f>
        <v>9.5438883046375853</v>
      </c>
      <c r="CA10" s="15" t="e">
        <f t="shared" ref="CA10:CA73" si="53">PI()*POWER(Y10,2)/4*$CA$9</f>
        <v>#REF!</v>
      </c>
      <c r="CB10" s="512">
        <f t="shared" ref="CB10:CB73" si="54">IF(AA10="","",
IF(AA10=2,SQRT((Z10*PI()/50)^2+1)*$CB$9*AA10,0))</f>
        <v>0</v>
      </c>
      <c r="CC10" s="15">
        <f t="shared" ref="CC10:CC73" si="55">PI()*(Z10+AC10*AD10)*AC10*AD10*$CC$9*ROUND(100/(100-AG10),2)</f>
        <v>0</v>
      </c>
      <c r="CD10" s="15">
        <f t="shared" ref="CD10:CD73" si="56">PI()*(AH10+AI10*AJ10)*AI10*AJ10*$CD$9*ROUND(100/(100-AM10),2)</f>
        <v>0</v>
      </c>
      <c r="CE10" s="15">
        <f t="shared" ref="CE10:CE73" si="57">PI()*(AN10+AO10*AP10)*AO10*AP10*$CE$9*ROUND(100/(100-AS10),2)</f>
        <v>0</v>
      </c>
      <c r="CF10" s="15">
        <f t="shared" ref="CF10:CF73" si="58">PI()*(AT10+AU10*AV10)*AU10*AV10*$CF$9*ROUND(100/(100-AY10),2)</f>
        <v>0</v>
      </c>
      <c r="CG10" s="512">
        <f t="shared" ref="CG10:CG73" si="59">IF(CB10="","",
IF(BB10=0,0,
IF(AND(G10="мс",AC10=0),(PI()*BC10^2/4-D10*(O10+PI()*(P10/PI()+R10)*R10)-((POWER((N10+R10),2)*(D10*TAN(PI()*((D10-2)/(2*D10)))-(PI()*(D10-2)/2)))))*$CG$9,
IF(AND(D10&gt;1,OR(G10="ок",G10="мк")),(PI()*BC10^2/4-PI()*V10^2*(D10+2)/8-D10*(SIN(PI()*(D10-2)/D10))/2*(AB10/2-V10/2)^2)*$CG$9,
PI()*(AB10+BB10)*BB10*1.07*$CG$9))))</f>
        <v>0</v>
      </c>
      <c r="CH10" s="15">
        <f t="shared" ref="CH10:CH73" si="60">IF(BE10="","",
IF(BD10=0,0,
PI()*(BC10+BD10*BE10)*BD10*BE10*$CH$9*ROUND(100/(100-BG10),2)))</f>
        <v>0</v>
      </c>
      <c r="CI10" s="15">
        <f t="shared" ref="CI10:CI73" si="61">IF(BH10="","",
PI()*(BH10+BI10*BJ10)*BI10*BJ10*$CI$9*ROUND(100/(100+BM10),2))</f>
        <v>0</v>
      </c>
      <c r="CJ10" s="512">
        <f t="shared" ref="CJ10:CJ73" si="62">IF(BO10="","",PI()*(BN10+BO10*BP10)*BO10*BP10*$CJ$9*ROUND(100/(100-BS10),2))</f>
        <v>0</v>
      </c>
      <c r="CK10" s="512">
        <f>PI()*(BT10+BV10)*BV10*IF($BI$9&gt;0,1.1,1.04)*$CK$9</f>
        <v>24.096669104305654</v>
      </c>
      <c r="CL10" s="15">
        <f>BX10+BY10+BZ10+CK10</f>
        <v>175.88055740894325</v>
      </c>
      <c r="CM10" s="195"/>
      <c r="CN10" s="195"/>
    </row>
    <row r="11" spans="1:94" s="207" customFormat="1" ht="14.25" hidden="1" customHeight="1" x14ac:dyDescent="0.25">
      <c r="A11" s="389" t="str">
        <f>IF(D11="",CONCATENATE("Кабель ",IF(C11="а","А",""),$A$9),CONCATENATE("Кабель ",IF(C11="а","А",""),$A$9," ",D11,"*",F11,IF(G11="ок"," (ож)","")," - ",B11," ",IF(G11="мс"," фас. ",""),$A$2))</f>
        <v>Кабель ВВГ 1*25 - 0,66 ГОСТ 16442-80</v>
      </c>
      <c r="B11" s="511">
        <v>0.66</v>
      </c>
      <c r="C11" s="451" t="s">
        <v>163</v>
      </c>
      <c r="D11" s="439">
        <v>1</v>
      </c>
      <c r="E11" s="34" t="s">
        <v>40</v>
      </c>
      <c r="F11" s="289">
        <v>25</v>
      </c>
      <c r="G11" s="276" t="s">
        <v>154</v>
      </c>
      <c r="H11" s="460">
        <v>2.21</v>
      </c>
      <c r="I11" s="468">
        <v>7</v>
      </c>
      <c r="J11" s="469" t="s">
        <v>40</v>
      </c>
      <c r="K11" s="470">
        <f>ROUNDUP(SQRT(F11/I11/PI()*4*1.07),2)</f>
        <v>2.21</v>
      </c>
      <c r="L11" s="501">
        <v>1.79</v>
      </c>
      <c r="M11" s="467"/>
      <c r="N11" s="467"/>
      <c r="O11" s="467"/>
      <c r="P11" s="467"/>
      <c r="Q11" s="483">
        <f t="shared" si="0"/>
        <v>0.89000000000000012</v>
      </c>
      <c r="R11" s="484">
        <f>IF(B11=0.66,VLOOKUP(F11,'Данные ТНПА'!$B$8:$C$16,2,0),
IF(B11=1,VLOOKUP(F11,'Данные ТНПА'!$B$17:$C$37,2,0),"ошибка"))</f>
        <v>1.1000000000000001</v>
      </c>
      <c r="S11" s="485">
        <f t="shared" si="1"/>
        <v>3.5700000000000003</v>
      </c>
      <c r="T11" s="486"/>
      <c r="U11" s="487"/>
      <c r="V11" s="485">
        <f t="shared" si="2"/>
        <v>3.99</v>
      </c>
      <c r="W11" s="486"/>
      <c r="X11" s="487"/>
      <c r="Y11" s="489">
        <f t="shared" si="3"/>
        <v>0</v>
      </c>
      <c r="Z11" s="491">
        <f t="shared" si="4"/>
        <v>3.99</v>
      </c>
      <c r="AA11" s="237">
        <f t="shared" si="5"/>
        <v>0</v>
      </c>
      <c r="AB11" s="452">
        <f t="shared" si="6"/>
        <v>3.99</v>
      </c>
      <c r="AC11" s="201">
        <f t="shared" si="7"/>
        <v>0</v>
      </c>
      <c r="AD11" s="203">
        <f t="shared" si="8"/>
        <v>0</v>
      </c>
      <c r="AE11" s="37" t="str">
        <f t="shared" si="9"/>
        <v/>
      </c>
      <c r="AF11" s="202">
        <f t="shared" si="10"/>
        <v>0</v>
      </c>
      <c r="AG11" s="201">
        <f t="shared" si="11"/>
        <v>0</v>
      </c>
      <c r="AH11" s="61">
        <f t="shared" si="12"/>
        <v>3.99</v>
      </c>
      <c r="AI11" s="443">
        <f>AM14</f>
        <v>0</v>
      </c>
      <c r="AJ11" s="444">
        <f t="shared" si="13"/>
        <v>0</v>
      </c>
      <c r="AK11" s="445">
        <f t="shared" si="14"/>
        <v>0</v>
      </c>
      <c r="AL11" s="446">
        <f t="shared" si="15"/>
        <v>0</v>
      </c>
      <c r="AM11" s="447">
        <f t="shared" si="16"/>
        <v>0</v>
      </c>
      <c r="AN11" s="24">
        <f t="shared" si="17"/>
        <v>3.99</v>
      </c>
      <c r="AO11" s="443">
        <f t="shared" si="18"/>
        <v>0</v>
      </c>
      <c r="AP11" s="444">
        <f t="shared" si="19"/>
        <v>0</v>
      </c>
      <c r="AQ11" s="445">
        <f t="shared" si="20"/>
        <v>0</v>
      </c>
      <c r="AR11" s="446">
        <f t="shared" si="21"/>
        <v>0</v>
      </c>
      <c r="AS11" s="447">
        <f t="shared" si="22"/>
        <v>0</v>
      </c>
      <c r="AT11" s="24">
        <f t="shared" si="23"/>
        <v>3.99</v>
      </c>
      <c r="AU11" s="443">
        <f t="shared" si="24"/>
        <v>0</v>
      </c>
      <c r="AV11" s="444">
        <f t="shared" si="25"/>
        <v>0</v>
      </c>
      <c r="AW11" s="445">
        <f t="shared" si="26"/>
        <v>0</v>
      </c>
      <c r="AX11" s="446">
        <f t="shared" si="27"/>
        <v>0</v>
      </c>
      <c r="AY11" s="447">
        <f t="shared" si="28"/>
        <v>0</v>
      </c>
      <c r="AZ11" s="24">
        <f t="shared" si="29"/>
        <v>3.99</v>
      </c>
      <c r="BA11" s="43">
        <f>IF(BB11=0,0,
IF(D11=1,
(IF(AND(AH11&gt;'Данные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"ошибка_1"))))))),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"ошибка_2"))))))))</f>
        <v>0</v>
      </c>
      <c r="BB11" s="43">
        <f>IF(OR($AI$9=0,AND(D11&gt;1,F11&gt;10)),0,
IF(D11=1,
(IF(AND(AH11&gt;'Данные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"ошибка_1"))))))),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IF(AND(AH11&gt;'Данные ТНПА'!#REF!,AH11&lt;='Данные ТНПА'!#REF!),'Данные ТНПА'!#REF!,
"ошибка_2"))))))))</f>
        <v>0</v>
      </c>
      <c r="BC11" s="43">
        <f t="shared" si="30"/>
        <v>3.99</v>
      </c>
      <c r="BD11" s="237">
        <f t="shared" si="31"/>
        <v>0</v>
      </c>
      <c r="BE11" s="43">
        <f t="shared" si="32"/>
        <v>0</v>
      </c>
      <c r="BF11" s="201">
        <f t="shared" si="33"/>
        <v>0</v>
      </c>
      <c r="BG11" s="201">
        <f t="shared" si="34"/>
        <v>0</v>
      </c>
      <c r="BH11" s="61">
        <f t="shared" si="35"/>
        <v>3.99</v>
      </c>
      <c r="BI11" s="237">
        <f t="shared" si="36"/>
        <v>0</v>
      </c>
      <c r="BJ11" s="247">
        <f t="shared" si="37"/>
        <v>0</v>
      </c>
      <c r="BK11" s="431">
        <f t="shared" si="38"/>
        <v>0</v>
      </c>
      <c r="BL11" s="250">
        <f t="shared" si="39"/>
        <v>0</v>
      </c>
      <c r="BM11" s="237">
        <f t="shared" si="40"/>
        <v>0</v>
      </c>
      <c r="BN11" s="452">
        <f t="shared" si="41"/>
        <v>3.99</v>
      </c>
      <c r="BO11" s="237">
        <f t="shared" si="42"/>
        <v>0</v>
      </c>
      <c r="BP11" s="432">
        <f t="shared" si="43"/>
        <v>0</v>
      </c>
      <c r="BQ11" s="22" t="str">
        <f t="shared" si="44"/>
        <v/>
      </c>
      <c r="BR11" s="250">
        <f t="shared" si="45"/>
        <v>0</v>
      </c>
      <c r="BS11" s="237">
        <f t="shared" si="46"/>
        <v>0</v>
      </c>
      <c r="BT11" s="452">
        <f t="shared" si="47"/>
        <v>3.99</v>
      </c>
      <c r="BU11" s="492">
        <f t="shared" si="48"/>
        <v>0.92</v>
      </c>
      <c r="BV11" s="493">
        <f>IF(BT11="","",
IF(AND(BT11&gt;'Данные ТНПА'!$K$8,BT11&lt;='Данные ТНПА'!$L$8),'Данные ТНПА'!$N$8,
IF(AND(BT11&gt;'Данные ТНПА'!$K$9,BT11&lt;='Данные ТНПА'!$L$9),'Данные ТНПА'!$N$9,
IF(AND(BT11&gt;'Данные ТНПА'!$K$10,BT11&lt;='Данные ТНПА'!$L$10),'Данные ТНПА'!$N$10,
IF(AND(BT11&gt;'Данные ТНПА'!$K$11,BT11&lt;='Данные ТНПА'!$L$11),'Данные ТНПА'!$N$11,
IF(AND(BT11&gt;'Данные ТНПА'!$K$12,BT11&lt;='Данные ТНПА'!$L$12),'Данные ТНПА'!$N$12,
IF(AND(BT11&gt;'Данные ТНПА'!$K$13,BT11&lt;='Данные ТНПА'!$L$13),'Данные ТНПА'!$N$13,
IF(AND(BT11&gt;'Данные ТНПА'!$K$14,BT11&lt;='Данные ТНПА'!$L$14),'Данные ТНПА'!$N$14))))))))</f>
        <v>1.2</v>
      </c>
      <c r="BW11" s="493">
        <f t="shared" si="49"/>
        <v>6.3900000000000006</v>
      </c>
      <c r="BX11" s="457">
        <f t="shared" si="50"/>
        <v>0</v>
      </c>
      <c r="BY11" s="457">
        <f t="shared" si="51"/>
        <v>222.25</v>
      </c>
      <c r="BZ11" s="457">
        <f t="shared" si="52"/>
        <v>14.721019369453119</v>
      </c>
      <c r="CA11" s="457" t="e">
        <f t="shared" si="53"/>
        <v>#REF!</v>
      </c>
      <c r="CB11" s="458">
        <f t="shared" si="54"/>
        <v>0</v>
      </c>
      <c r="CC11" s="457">
        <f t="shared" si="55"/>
        <v>0</v>
      </c>
      <c r="CD11" s="457">
        <f t="shared" si="56"/>
        <v>0</v>
      </c>
      <c r="CE11" s="457">
        <f t="shared" si="57"/>
        <v>0</v>
      </c>
      <c r="CF11" s="457">
        <f t="shared" si="58"/>
        <v>0</v>
      </c>
      <c r="CG11" s="458">
        <f t="shared" si="59"/>
        <v>0</v>
      </c>
      <c r="CH11" s="457">
        <f t="shared" si="60"/>
        <v>0</v>
      </c>
      <c r="CI11" s="457">
        <f t="shared" si="61"/>
        <v>0</v>
      </c>
      <c r="CJ11" s="458">
        <f t="shared" si="62"/>
        <v>0</v>
      </c>
      <c r="CK11" s="458">
        <f t="shared" ref="CK11:CK74" si="63">PI()*(BT11+BV11)*BV11*IF($BI$9&gt;0,1.1,1.04)*$CK$9</f>
        <v>28.48786165178733</v>
      </c>
      <c r="CL11" s="457">
        <f t="shared" ref="CL11:CL74" si="64">BX11+BY11+BZ11+CK11</f>
        <v>265.45888102124047</v>
      </c>
      <c r="CM11" s="504"/>
      <c r="CN11" s="504"/>
    </row>
    <row r="12" spans="1:94" s="207" customFormat="1" ht="14.25" hidden="1" customHeight="1" x14ac:dyDescent="0.25">
      <c r="A12" s="389" t="str">
        <f>IF(D12="",CONCATENATE("Кабель ",IF(C12="а","А",""),$A$9),CONCATENATE("Кабель ",IF(C12="а","А",""),$A$9," ",D12,"*",F12,IF(G12="ок"," (ож)","")," - ",B12," ",IF(G12="мс"," фас. ",""),$A$2))</f>
        <v>Кабель ВВГ 1*35 - 0,66 ГОСТ 16442-80</v>
      </c>
      <c r="B12" s="450">
        <v>0.66</v>
      </c>
      <c r="C12" s="451" t="s">
        <v>163</v>
      </c>
      <c r="D12" s="439">
        <v>1</v>
      </c>
      <c r="E12" s="34" t="s">
        <v>40</v>
      </c>
      <c r="F12" s="289">
        <v>35</v>
      </c>
      <c r="G12" s="276" t="s">
        <v>154</v>
      </c>
      <c r="H12" s="460">
        <v>2.61</v>
      </c>
      <c r="I12" s="468">
        <v>7</v>
      </c>
      <c r="J12" s="469" t="s">
        <v>40</v>
      </c>
      <c r="K12" s="470">
        <f>ROUNDUP(SQRT(F12/I12/PI()*4*1.07),2)</f>
        <v>2.61</v>
      </c>
      <c r="L12" s="501">
        <v>2.2599999999999998</v>
      </c>
      <c r="M12" s="467"/>
      <c r="N12" s="467"/>
      <c r="O12" s="467"/>
      <c r="P12" s="467"/>
      <c r="Q12" s="483">
        <f t="shared" si="0"/>
        <v>0.89000000000000012</v>
      </c>
      <c r="R12" s="484">
        <f>IF(B12=0.66,VLOOKUP(F12,'Данные ТНПА'!$B$8:$C$16,2,0),
IF(B12=1,VLOOKUP(F12,'Данные ТНПА'!$B$17:$C$37,2,0),"ошибка"))</f>
        <v>1.1000000000000001</v>
      </c>
      <c r="S12" s="485">
        <f t="shared" si="1"/>
        <v>4.04</v>
      </c>
      <c r="T12" s="486"/>
      <c r="U12" s="487"/>
      <c r="V12" s="485">
        <f t="shared" si="2"/>
        <v>4.46</v>
      </c>
      <c r="W12" s="486"/>
      <c r="X12" s="487"/>
      <c r="Y12" s="489">
        <f t="shared" si="3"/>
        <v>0</v>
      </c>
      <c r="Z12" s="491">
        <f t="shared" si="4"/>
        <v>4.46</v>
      </c>
      <c r="AA12" s="237">
        <f t="shared" si="5"/>
        <v>0</v>
      </c>
      <c r="AB12" s="452">
        <f t="shared" si="6"/>
        <v>4.46</v>
      </c>
      <c r="AC12" s="201">
        <f t="shared" si="7"/>
        <v>0</v>
      </c>
      <c r="AD12" s="203">
        <f t="shared" si="8"/>
        <v>0</v>
      </c>
      <c r="AE12" s="37" t="str">
        <f t="shared" si="9"/>
        <v/>
      </c>
      <c r="AF12" s="202">
        <f t="shared" si="10"/>
        <v>0</v>
      </c>
      <c r="AG12" s="201">
        <f t="shared" si="11"/>
        <v>0</v>
      </c>
      <c r="AH12" s="61">
        <f t="shared" si="12"/>
        <v>4.46</v>
      </c>
      <c r="AI12" s="443">
        <f t="shared" ref="AI12:AI22" si="65">IF(OR($AI$9=0,AH12&lt;=10,D12=1,AND(D12&gt;1,F12&lt;=10,OR(G12="ок",G12="мк"))),0,1)</f>
        <v>0</v>
      </c>
      <c r="AJ12" s="444">
        <f t="shared" si="13"/>
        <v>0</v>
      </c>
      <c r="AK12" s="445">
        <f t="shared" si="14"/>
        <v>0</v>
      </c>
      <c r="AL12" s="446">
        <f t="shared" si="15"/>
        <v>0</v>
      </c>
      <c r="AM12" s="447">
        <f t="shared" si="16"/>
        <v>0</v>
      </c>
      <c r="AN12" s="24">
        <f t="shared" si="17"/>
        <v>4.46</v>
      </c>
      <c r="AO12" s="443">
        <f t="shared" si="18"/>
        <v>0</v>
      </c>
      <c r="AP12" s="444">
        <f t="shared" si="19"/>
        <v>0</v>
      </c>
      <c r="AQ12" s="445">
        <f t="shared" si="20"/>
        <v>0</v>
      </c>
      <c r="AR12" s="446">
        <f t="shared" si="21"/>
        <v>0</v>
      </c>
      <c r="AS12" s="447">
        <f t="shared" si="22"/>
        <v>0</v>
      </c>
      <c r="AT12" s="24">
        <f t="shared" si="23"/>
        <v>4.46</v>
      </c>
      <c r="AU12" s="443">
        <f t="shared" si="24"/>
        <v>0</v>
      </c>
      <c r="AV12" s="444">
        <f t="shared" si="25"/>
        <v>0</v>
      </c>
      <c r="AW12" s="445">
        <f t="shared" si="26"/>
        <v>0</v>
      </c>
      <c r="AX12" s="446">
        <f t="shared" si="27"/>
        <v>0</v>
      </c>
      <c r="AY12" s="447">
        <f t="shared" si="28"/>
        <v>0</v>
      </c>
      <c r="AZ12" s="24">
        <f t="shared" si="29"/>
        <v>4.46</v>
      </c>
      <c r="BA12" s="43">
        <f>IF(BB12=0,0,
IF(D12=1,
(IF(AND(AH12&gt;'Данные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"ошибка_1"))))))),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"ошибка_2"))))))))</f>
        <v>0</v>
      </c>
      <c r="BB12" s="43">
        <f>IF(OR($AI$9=0,AND(D12&gt;1,F12&gt;10)),0,
IF(D12=1,
(IF(AND(AH12&gt;'Данные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"ошибка_1"))))))),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IF(AND(AH12&gt;'Данные ТНПА'!#REF!,AH12&lt;='Данные ТНПА'!#REF!),'Данные ТНПА'!#REF!,
"ошибка_2"))))))))</f>
        <v>0</v>
      </c>
      <c r="BC12" s="43">
        <f t="shared" si="30"/>
        <v>4.46</v>
      </c>
      <c r="BD12" s="237">
        <f t="shared" si="31"/>
        <v>0</v>
      </c>
      <c r="BE12" s="43">
        <f t="shared" si="32"/>
        <v>0</v>
      </c>
      <c r="BF12" s="201">
        <f t="shared" si="33"/>
        <v>0</v>
      </c>
      <c r="BG12" s="201">
        <f t="shared" si="34"/>
        <v>0</v>
      </c>
      <c r="BH12" s="61">
        <f t="shared" si="35"/>
        <v>4.46</v>
      </c>
      <c r="BI12" s="237">
        <f t="shared" si="36"/>
        <v>0</v>
      </c>
      <c r="BJ12" s="247">
        <f t="shared" si="37"/>
        <v>0</v>
      </c>
      <c r="BK12" s="431">
        <f t="shared" si="38"/>
        <v>0</v>
      </c>
      <c r="BL12" s="250">
        <f t="shared" si="39"/>
        <v>0</v>
      </c>
      <c r="BM12" s="237">
        <f t="shared" si="40"/>
        <v>0</v>
      </c>
      <c r="BN12" s="452">
        <f t="shared" si="41"/>
        <v>4.46</v>
      </c>
      <c r="BO12" s="237">
        <f t="shared" si="42"/>
        <v>0</v>
      </c>
      <c r="BP12" s="432">
        <f t="shared" si="43"/>
        <v>0</v>
      </c>
      <c r="BQ12" s="22" t="str">
        <f t="shared" si="44"/>
        <v/>
      </c>
      <c r="BR12" s="250">
        <f t="shared" si="45"/>
        <v>0</v>
      </c>
      <c r="BS12" s="237">
        <f t="shared" si="46"/>
        <v>0</v>
      </c>
      <c r="BT12" s="452">
        <f t="shared" si="47"/>
        <v>4.46</v>
      </c>
      <c r="BU12" s="492">
        <f t="shared" si="48"/>
        <v>0.92</v>
      </c>
      <c r="BV12" s="493">
        <f>IF(BT12="","",
IF(AND(BT12&gt;'Данные ТНПА'!$K$8,BT12&lt;='Данные ТНПА'!$L$8),'Данные ТНПА'!$N$8,
IF(AND(BT12&gt;'Данные ТНПА'!$K$9,BT12&lt;='Данные ТНПА'!$L$9),'Данные ТНПА'!$N$9,
IF(AND(BT12&gt;'Данные ТНПА'!$K$10,BT12&lt;='Данные ТНПА'!$L$10),'Данные ТНПА'!$N$10,
IF(AND(BT12&gt;'Данные ТНПА'!$K$11,BT12&lt;='Данные ТНПА'!$L$11),'Данные ТНПА'!$N$11,
IF(AND(BT12&gt;'Данные ТНПА'!$K$12,BT12&lt;='Данные ТНПА'!$L$12),'Данные ТНПА'!$N$12,
IF(AND(BT12&gt;'Данные ТНПА'!$K$13,BT12&lt;='Данные ТНПА'!$L$13),'Данные ТНПА'!$N$13,
IF(AND(BT12&gt;'Данные ТНПА'!$K$14,BT12&lt;='Данные ТНПА'!$L$14),'Данные ТНПА'!$N$14))))))))</f>
        <v>1.2</v>
      </c>
      <c r="BW12" s="493">
        <f t="shared" si="49"/>
        <v>6.8599999999999994</v>
      </c>
      <c r="BX12" s="457">
        <f t="shared" si="50"/>
        <v>0</v>
      </c>
      <c r="BY12" s="457">
        <f t="shared" si="51"/>
        <v>311.15000000000003</v>
      </c>
      <c r="BZ12" s="457">
        <f t="shared" si="52"/>
        <v>17.115095183862451</v>
      </c>
      <c r="CA12" s="457" t="e">
        <f t="shared" si="53"/>
        <v>#REF!</v>
      </c>
      <c r="CB12" s="458">
        <f t="shared" si="54"/>
        <v>0</v>
      </c>
      <c r="CC12" s="457">
        <f t="shared" si="55"/>
        <v>0</v>
      </c>
      <c r="CD12" s="457">
        <f t="shared" si="56"/>
        <v>0</v>
      </c>
      <c r="CE12" s="457">
        <f t="shared" si="57"/>
        <v>0</v>
      </c>
      <c r="CF12" s="457">
        <f t="shared" si="58"/>
        <v>0</v>
      </c>
      <c r="CG12" s="458">
        <f t="shared" si="59"/>
        <v>0</v>
      </c>
      <c r="CH12" s="457">
        <f t="shared" si="60"/>
        <v>0</v>
      </c>
      <c r="CI12" s="457">
        <f t="shared" si="61"/>
        <v>0</v>
      </c>
      <c r="CJ12" s="458">
        <f t="shared" si="62"/>
        <v>0</v>
      </c>
      <c r="CK12" s="458">
        <f t="shared" si="63"/>
        <v>31.067687273432806</v>
      </c>
      <c r="CL12" s="457">
        <f t="shared" si="64"/>
        <v>359.33278245729531</v>
      </c>
      <c r="CM12" s="504"/>
      <c r="CN12" s="504"/>
    </row>
    <row r="13" spans="1:94" s="207" customFormat="1" ht="14.25" hidden="1" customHeight="1" x14ac:dyDescent="0.25">
      <c r="A13" s="389" t="str">
        <f>IF(D13="",CONCATENATE("Кабель ",IF(C13="а","А",""),$A$9),CONCATENATE("Кабель ",IF(C13="а","А",""),$A$9," ",D13,"*",F13,IF(G13="ок"," (ож)","")," - ",B13," ",IF(G13="мс"," фас. ",""),$A$2))</f>
        <v>Кабель ВВГ 1*50 - 0,66 ГОСТ 16442-80</v>
      </c>
      <c r="B13" s="450">
        <v>0.66</v>
      </c>
      <c r="C13" s="451" t="s">
        <v>163</v>
      </c>
      <c r="D13" s="439">
        <v>1</v>
      </c>
      <c r="E13" s="34" t="s">
        <v>40</v>
      </c>
      <c r="F13" s="289">
        <v>50</v>
      </c>
      <c r="G13" s="276" t="s">
        <v>154</v>
      </c>
      <c r="H13" s="460">
        <v>3.1199999999999997</v>
      </c>
      <c r="I13" s="468">
        <v>7</v>
      </c>
      <c r="J13" s="469" t="s">
        <v>40</v>
      </c>
      <c r="K13" s="470">
        <f>ROUNDUP(SQRT(F13/I13/PI()*4*1.07),2)</f>
        <v>3.1199999999999997</v>
      </c>
      <c r="L13" s="501">
        <v>2.7699999999999996</v>
      </c>
      <c r="M13" s="467"/>
      <c r="N13" s="467"/>
      <c r="O13" s="467"/>
      <c r="P13" s="467"/>
      <c r="Q13" s="483">
        <f t="shared" si="0"/>
        <v>1.07</v>
      </c>
      <c r="R13" s="484">
        <f>IF(B13=0.66,VLOOKUP(F13,'Данные ТНПА'!$B$8:$C$16,2,0),
IF(B13=1,VLOOKUP(F13,'Данные ТНПА'!$B$17:$C$37,2,0),"ошибка"))</f>
        <v>1.3</v>
      </c>
      <c r="S13" s="485">
        <f t="shared" si="1"/>
        <v>4.91</v>
      </c>
      <c r="T13" s="486"/>
      <c r="U13" s="487"/>
      <c r="V13" s="485">
        <f t="shared" si="2"/>
        <v>5.3699999999999992</v>
      </c>
      <c r="W13" s="486"/>
      <c r="X13" s="487"/>
      <c r="Y13" s="489">
        <f t="shared" si="3"/>
        <v>0</v>
      </c>
      <c r="Z13" s="491">
        <f t="shared" si="4"/>
        <v>5.3699999999999992</v>
      </c>
      <c r="AA13" s="237">
        <f t="shared" si="5"/>
        <v>0</v>
      </c>
      <c r="AB13" s="452">
        <f t="shared" si="6"/>
        <v>5.3699999999999992</v>
      </c>
      <c r="AC13" s="201">
        <f t="shared" si="7"/>
        <v>0</v>
      </c>
      <c r="AD13" s="203">
        <f t="shared" si="8"/>
        <v>0</v>
      </c>
      <c r="AE13" s="37" t="str">
        <f t="shared" si="9"/>
        <v/>
      </c>
      <c r="AF13" s="202">
        <f t="shared" si="10"/>
        <v>0</v>
      </c>
      <c r="AG13" s="201">
        <f t="shared" si="11"/>
        <v>0</v>
      </c>
      <c r="AH13" s="61">
        <f t="shared" si="12"/>
        <v>5.3699999999999992</v>
      </c>
      <c r="AI13" s="443">
        <f t="shared" si="65"/>
        <v>0</v>
      </c>
      <c r="AJ13" s="444">
        <f t="shared" si="13"/>
        <v>0</v>
      </c>
      <c r="AK13" s="445">
        <f t="shared" si="14"/>
        <v>0</v>
      </c>
      <c r="AL13" s="446">
        <f t="shared" si="15"/>
        <v>0</v>
      </c>
      <c r="AM13" s="447">
        <f t="shared" si="16"/>
        <v>0</v>
      </c>
      <c r="AN13" s="24">
        <f t="shared" si="17"/>
        <v>5.3699999999999992</v>
      </c>
      <c r="AO13" s="443">
        <f t="shared" si="18"/>
        <v>0</v>
      </c>
      <c r="AP13" s="444">
        <f t="shared" si="19"/>
        <v>0</v>
      </c>
      <c r="AQ13" s="445">
        <f t="shared" si="20"/>
        <v>0</v>
      </c>
      <c r="AR13" s="446">
        <f t="shared" si="21"/>
        <v>0</v>
      </c>
      <c r="AS13" s="447">
        <f t="shared" si="22"/>
        <v>0</v>
      </c>
      <c r="AT13" s="24">
        <f t="shared" si="23"/>
        <v>5.3699999999999992</v>
      </c>
      <c r="AU13" s="443">
        <f t="shared" si="24"/>
        <v>0</v>
      </c>
      <c r="AV13" s="444">
        <f t="shared" si="25"/>
        <v>0</v>
      </c>
      <c r="AW13" s="445">
        <f t="shared" si="26"/>
        <v>0</v>
      </c>
      <c r="AX13" s="446">
        <f t="shared" si="27"/>
        <v>0</v>
      </c>
      <c r="AY13" s="447">
        <f t="shared" si="28"/>
        <v>0</v>
      </c>
      <c r="AZ13" s="24">
        <f t="shared" si="29"/>
        <v>5.3699999999999992</v>
      </c>
      <c r="BA13" s="43">
        <f>IF(BB13=0,0,
IF(D13=1,
(IF(AND(AH13&gt;'Данные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"ошибка_1"))))))),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"ошибка_2"))))))))</f>
        <v>0</v>
      </c>
      <c r="BB13" s="43">
        <f>IF(OR($AI$9=0,AND(D13&gt;1,F13&gt;10)),0,
IF(D13=1,
(IF(AND(AH13&gt;'Данные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"ошибка_1"))))))),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IF(AND(AH13&gt;'Данные ТНПА'!#REF!,AH13&lt;='Данные ТНПА'!#REF!),'Данные ТНПА'!#REF!,
"ошибка_2"))))))))</f>
        <v>0</v>
      </c>
      <c r="BC13" s="43">
        <f t="shared" si="30"/>
        <v>5.3699999999999992</v>
      </c>
      <c r="BD13" s="237">
        <f t="shared" si="31"/>
        <v>0</v>
      </c>
      <c r="BE13" s="43">
        <f t="shared" si="32"/>
        <v>0</v>
      </c>
      <c r="BF13" s="201">
        <f t="shared" si="33"/>
        <v>0</v>
      </c>
      <c r="BG13" s="201">
        <f t="shared" si="34"/>
        <v>0</v>
      </c>
      <c r="BH13" s="61">
        <f t="shared" si="35"/>
        <v>5.3699999999999992</v>
      </c>
      <c r="BI13" s="237">
        <f t="shared" si="36"/>
        <v>0</v>
      </c>
      <c r="BJ13" s="247">
        <f t="shared" si="37"/>
        <v>0</v>
      </c>
      <c r="BK13" s="431">
        <f t="shared" si="38"/>
        <v>0</v>
      </c>
      <c r="BL13" s="250">
        <f t="shared" si="39"/>
        <v>0</v>
      </c>
      <c r="BM13" s="237">
        <f t="shared" si="40"/>
        <v>0</v>
      </c>
      <c r="BN13" s="452">
        <f t="shared" si="41"/>
        <v>5.3699999999999992</v>
      </c>
      <c r="BO13" s="237">
        <f t="shared" si="42"/>
        <v>0</v>
      </c>
      <c r="BP13" s="432">
        <f t="shared" si="43"/>
        <v>0</v>
      </c>
      <c r="BQ13" s="22" t="str">
        <f t="shared" si="44"/>
        <v/>
      </c>
      <c r="BR13" s="250">
        <f t="shared" si="45"/>
        <v>0</v>
      </c>
      <c r="BS13" s="237">
        <f t="shared" si="46"/>
        <v>0</v>
      </c>
      <c r="BT13" s="452">
        <f t="shared" si="47"/>
        <v>5.3699999999999992</v>
      </c>
      <c r="BU13" s="492">
        <f t="shared" si="48"/>
        <v>0.92</v>
      </c>
      <c r="BV13" s="493">
        <f>IF(BT13="","",
IF(AND(BT13&gt;'Данные ТНПА'!$K$8,BT13&lt;='Данные ТНПА'!$L$8),'Данные ТНПА'!$N$8,
IF(AND(BT13&gt;'Данные ТНПА'!$K$9,BT13&lt;='Данные ТНПА'!$L$9),'Данные ТНПА'!$N$9,
IF(AND(BT13&gt;'Данные ТНПА'!$K$10,BT13&lt;='Данные ТНПА'!$L$10),'Данные ТНПА'!$N$10,
IF(AND(BT13&gt;'Данные ТНПА'!$K$11,BT13&lt;='Данные ТНПА'!$L$11),'Данные ТНПА'!$N$11,
IF(AND(BT13&gt;'Данные ТНПА'!$K$12,BT13&lt;='Данные ТНПА'!$L$12),'Данные ТНПА'!$N$12,
IF(AND(BT13&gt;'Данные ТНПА'!$K$13,BT13&lt;='Данные ТНПА'!$L$13),'Данные ТНПА'!$N$13,
IF(AND(BT13&gt;'Данные ТНПА'!$K$14,BT13&lt;='Данные ТНПА'!$L$14),'Данные ТНПА'!$N$14))))))))</f>
        <v>1.2</v>
      </c>
      <c r="BW13" s="493">
        <f t="shared" si="49"/>
        <v>7.77</v>
      </c>
      <c r="BX13" s="457">
        <f t="shared" si="50"/>
        <v>0</v>
      </c>
      <c r="BY13" s="457">
        <f t="shared" si="51"/>
        <v>444.5</v>
      </c>
      <c r="BZ13" s="457">
        <f t="shared" si="52"/>
        <v>24.501073760231659</v>
      </c>
      <c r="CA13" s="457" t="e">
        <f t="shared" si="53"/>
        <v>#REF!</v>
      </c>
      <c r="CB13" s="458">
        <f t="shared" si="54"/>
        <v>0</v>
      </c>
      <c r="CC13" s="457">
        <f t="shared" si="55"/>
        <v>0</v>
      </c>
      <c r="CD13" s="457">
        <f t="shared" si="56"/>
        <v>0</v>
      </c>
      <c r="CE13" s="457">
        <f t="shared" si="57"/>
        <v>0</v>
      </c>
      <c r="CF13" s="457">
        <f t="shared" si="58"/>
        <v>0</v>
      </c>
      <c r="CG13" s="458">
        <f t="shared" si="59"/>
        <v>0</v>
      </c>
      <c r="CH13" s="457">
        <f t="shared" si="60"/>
        <v>0</v>
      </c>
      <c r="CI13" s="457">
        <f t="shared" si="61"/>
        <v>0</v>
      </c>
      <c r="CJ13" s="458">
        <f t="shared" si="62"/>
        <v>0</v>
      </c>
      <c r="CK13" s="458">
        <f t="shared" si="63"/>
        <v>36.062668796193201</v>
      </c>
      <c r="CL13" s="457">
        <f t="shared" si="64"/>
        <v>505.06374255642481</v>
      </c>
      <c r="CM13" s="504"/>
      <c r="CN13" s="504"/>
    </row>
    <row r="14" spans="1:94" s="207" customFormat="1" ht="14.25" hidden="1" customHeight="1" x14ac:dyDescent="0.25">
      <c r="A14" s="389" t="str">
        <f>IF(D14="",CONCATENATE("Кабель ",IF(C14="а","А",""),$A$9),CONCATENATE("Кабель ",IF(C14="а","А",""),$A$9," ",D14,"*",F14,IF(G14="ок"," (ож)","")," - ",B14," ",IF(G14="мс"," фас. ",""),$A$2))</f>
        <v>Кабель ВВГ 1*1,5 (ож) - 0,66 ГОСТ 16442-80</v>
      </c>
      <c r="B14" s="450">
        <v>0.66</v>
      </c>
      <c r="C14" s="451" t="s">
        <v>163</v>
      </c>
      <c r="D14" s="439">
        <v>1</v>
      </c>
      <c r="E14" s="34" t="s">
        <v>40</v>
      </c>
      <c r="F14" s="289">
        <v>1.5</v>
      </c>
      <c r="G14" s="276" t="s">
        <v>153</v>
      </c>
      <c r="H14" s="460">
        <v>1.39</v>
      </c>
      <c r="I14" s="494">
        <v>1</v>
      </c>
      <c r="J14" s="495" t="s">
        <v>40</v>
      </c>
      <c r="K14" s="496">
        <f>ROUNDUP(SQRT(F14/PI()*4),2)</f>
        <v>1.39</v>
      </c>
      <c r="L14" s="501">
        <v>3.57</v>
      </c>
      <c r="M14" s="467"/>
      <c r="N14" s="467"/>
      <c r="O14" s="467"/>
      <c r="P14" s="467"/>
      <c r="Q14" s="483">
        <f t="shared" si="0"/>
        <v>0.44000000000000006</v>
      </c>
      <c r="R14" s="484">
        <f>IF(B14=0.66,VLOOKUP(F14,'Данные ТНПА'!$B$8:$C$16,2,0),
IF(B14=1,VLOOKUP(F14,'Данные ТНПА'!$B$17:$C$37,2,0),"ошибка"))</f>
        <v>0.6</v>
      </c>
      <c r="S14" s="485">
        <f t="shared" si="1"/>
        <v>2.27</v>
      </c>
      <c r="T14" s="486"/>
      <c r="U14" s="487"/>
      <c r="V14" s="485">
        <f t="shared" si="2"/>
        <v>2.59</v>
      </c>
      <c r="W14" s="486"/>
      <c r="X14" s="487"/>
      <c r="Y14" s="489">
        <f t="shared" si="3"/>
        <v>0</v>
      </c>
      <c r="Z14" s="491">
        <f t="shared" si="4"/>
        <v>2.59</v>
      </c>
      <c r="AA14" s="237">
        <f t="shared" si="5"/>
        <v>0</v>
      </c>
      <c r="AB14" s="452">
        <f t="shared" si="6"/>
        <v>2.59</v>
      </c>
      <c r="AC14" s="201">
        <f t="shared" si="7"/>
        <v>0</v>
      </c>
      <c r="AD14" s="203">
        <f t="shared" si="8"/>
        <v>0</v>
      </c>
      <c r="AE14" s="37" t="str">
        <f t="shared" si="9"/>
        <v/>
      </c>
      <c r="AF14" s="202">
        <f t="shared" si="10"/>
        <v>0</v>
      </c>
      <c r="AG14" s="201">
        <f t="shared" si="11"/>
        <v>0</v>
      </c>
      <c r="AH14" s="61">
        <f t="shared" si="12"/>
        <v>2.59</v>
      </c>
      <c r="AI14" s="443">
        <f t="shared" si="65"/>
        <v>0</v>
      </c>
      <c r="AJ14" s="444">
        <f t="shared" si="13"/>
        <v>0</v>
      </c>
      <c r="AK14" s="445">
        <f t="shared" si="14"/>
        <v>0</v>
      </c>
      <c r="AL14" s="446">
        <f t="shared" si="15"/>
        <v>0</v>
      </c>
      <c r="AM14" s="447">
        <f t="shared" si="16"/>
        <v>0</v>
      </c>
      <c r="AN14" s="24">
        <f t="shared" si="17"/>
        <v>2.59</v>
      </c>
      <c r="AO14" s="443">
        <f t="shared" si="18"/>
        <v>0</v>
      </c>
      <c r="AP14" s="444">
        <f t="shared" si="19"/>
        <v>0</v>
      </c>
      <c r="AQ14" s="445">
        <f t="shared" si="20"/>
        <v>0</v>
      </c>
      <c r="AR14" s="446">
        <f t="shared" si="21"/>
        <v>0</v>
      </c>
      <c r="AS14" s="447">
        <f t="shared" si="22"/>
        <v>0</v>
      </c>
      <c r="AT14" s="24">
        <f t="shared" si="23"/>
        <v>2.59</v>
      </c>
      <c r="AU14" s="443">
        <f t="shared" si="24"/>
        <v>0</v>
      </c>
      <c r="AV14" s="444">
        <f t="shared" si="25"/>
        <v>0</v>
      </c>
      <c r="AW14" s="445">
        <f t="shared" si="26"/>
        <v>0</v>
      </c>
      <c r="AX14" s="446">
        <f t="shared" si="27"/>
        <v>0</v>
      </c>
      <c r="AY14" s="447">
        <f t="shared" si="28"/>
        <v>0</v>
      </c>
      <c r="AZ14" s="24">
        <f t="shared" si="29"/>
        <v>2.59</v>
      </c>
      <c r="BA14" s="43">
        <f>IF(BB14=0,0,
IF(D14=1,
(IF(AND(AH14&gt;'Данные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"ошибка_1"))))))),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"ошибка_2"))))))))</f>
        <v>0</v>
      </c>
      <c r="BB14" s="43">
        <f>IF(OR($AI$9=0,AND(D14&gt;1,F14&gt;10)),0,
IF(D14=1,
(IF(AND(AH14&gt;'Данные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"ошибка_1"))))))),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IF(AND(AH14&gt;'Данные ТНПА'!#REF!,AH14&lt;='Данные ТНПА'!#REF!),'Данные ТНПА'!#REF!,
"ошибка_2"))))))))</f>
        <v>0</v>
      </c>
      <c r="BC14" s="43">
        <f t="shared" si="30"/>
        <v>2.59</v>
      </c>
      <c r="BD14" s="237">
        <f t="shared" si="31"/>
        <v>0</v>
      </c>
      <c r="BE14" s="43">
        <f t="shared" si="32"/>
        <v>0</v>
      </c>
      <c r="BF14" s="201">
        <f t="shared" si="33"/>
        <v>0</v>
      </c>
      <c r="BG14" s="201">
        <f t="shared" si="34"/>
        <v>0</v>
      </c>
      <c r="BH14" s="61">
        <f t="shared" si="35"/>
        <v>2.59</v>
      </c>
      <c r="BI14" s="237">
        <f t="shared" si="36"/>
        <v>0</v>
      </c>
      <c r="BJ14" s="247">
        <f t="shared" si="37"/>
        <v>0</v>
      </c>
      <c r="BK14" s="431">
        <f t="shared" si="38"/>
        <v>0</v>
      </c>
      <c r="BL14" s="250">
        <f t="shared" si="39"/>
        <v>0</v>
      </c>
      <c r="BM14" s="237">
        <f t="shared" si="40"/>
        <v>0</v>
      </c>
      <c r="BN14" s="452">
        <f t="shared" si="41"/>
        <v>2.59</v>
      </c>
      <c r="BO14" s="237">
        <f t="shared" si="42"/>
        <v>0</v>
      </c>
      <c r="BP14" s="432">
        <f t="shared" si="43"/>
        <v>0</v>
      </c>
      <c r="BQ14" s="22" t="str">
        <f t="shared" si="44"/>
        <v/>
      </c>
      <c r="BR14" s="250">
        <f t="shared" si="45"/>
        <v>0</v>
      </c>
      <c r="BS14" s="237">
        <f t="shared" si="46"/>
        <v>0</v>
      </c>
      <c r="BT14" s="452">
        <f t="shared" si="47"/>
        <v>2.59</v>
      </c>
      <c r="BU14" s="492">
        <f t="shared" si="48"/>
        <v>0.92</v>
      </c>
      <c r="BV14" s="493">
        <f>IF(BT14="","",
IF(AND(BT14&gt;'Данные ТНПА'!$K$8,BT14&lt;='Данные ТНПА'!$L$8),'Данные ТНПА'!$N$8,
IF(AND(BT14&gt;'Данные ТНПА'!$K$9,BT14&lt;='Данные ТНПА'!$L$9),'Данные ТНПА'!$N$9,
IF(AND(BT14&gt;'Данные ТНПА'!$K$10,BT14&lt;='Данные ТНПА'!$L$10),'Данные ТНПА'!$N$10,
IF(AND(BT14&gt;'Данные ТНПА'!$K$11,BT14&lt;='Данные ТНПА'!$L$11),'Данные ТНПА'!$N$11,
IF(AND(BT14&gt;'Данные ТНПА'!$K$12,BT14&lt;='Данные ТНПА'!$L$12),'Данные ТНПА'!$N$12,
IF(AND(BT14&gt;'Данные ТНПА'!$K$13,BT14&lt;='Данные ТНПА'!$L$13),'Данные ТНПА'!$N$13,
IF(AND(BT14&gt;'Данные ТНПА'!$K$14,BT14&lt;='Данные ТНПА'!$L$14),'Данные ТНПА'!$N$14))))))))</f>
        <v>1.2</v>
      </c>
      <c r="BW14" s="493">
        <f t="shared" si="49"/>
        <v>4.99</v>
      </c>
      <c r="BX14" s="457">
        <f t="shared" si="50"/>
        <v>0</v>
      </c>
      <c r="BY14" s="457">
        <f t="shared" si="51"/>
        <v>13.335000000000001</v>
      </c>
      <c r="BZ14" s="457">
        <f t="shared" si="52"/>
        <v>5.026422582037525</v>
      </c>
      <c r="CA14" s="457" t="e">
        <f t="shared" si="53"/>
        <v>#REF!</v>
      </c>
      <c r="CB14" s="458">
        <f t="shared" si="54"/>
        <v>0</v>
      </c>
      <c r="CC14" s="457">
        <f t="shared" si="55"/>
        <v>0</v>
      </c>
      <c r="CD14" s="457">
        <f t="shared" si="56"/>
        <v>0</v>
      </c>
      <c r="CE14" s="457">
        <f t="shared" si="57"/>
        <v>0</v>
      </c>
      <c r="CF14" s="457">
        <f t="shared" si="58"/>
        <v>0</v>
      </c>
      <c r="CG14" s="458">
        <f t="shared" si="59"/>
        <v>0</v>
      </c>
      <c r="CH14" s="457">
        <f t="shared" si="60"/>
        <v>0</v>
      </c>
      <c r="CI14" s="457">
        <f t="shared" si="61"/>
        <v>0</v>
      </c>
      <c r="CJ14" s="458">
        <f t="shared" si="62"/>
        <v>0</v>
      </c>
      <c r="CK14" s="458">
        <f t="shared" si="63"/>
        <v>20.803274693694409</v>
      </c>
      <c r="CL14" s="457">
        <f t="shared" si="64"/>
        <v>39.164697275731939</v>
      </c>
      <c r="CM14" s="504"/>
      <c r="CN14" s="504"/>
    </row>
    <row r="15" spans="1:94" s="207" customFormat="1" ht="14.25" hidden="1" customHeight="1" x14ac:dyDescent="0.25">
      <c r="A15" s="389" t="str">
        <f>IF(D15="",CONCATENATE("Кабель ",IF(C15="а","А",""),$A$9),CONCATENATE("Кабель ",IF(C15="а","А",""),$A$9," ",D15,"*",F15,IF(G15="ок"," (ож)","")," - ",B15," ",IF(G15="мс"," фас. ",""),$A$2))</f>
        <v>Кабель ВВГ 1*2,5 (ож) - 0,66 ГОСТ 16442-80</v>
      </c>
      <c r="B15" s="511">
        <v>0.66</v>
      </c>
      <c r="C15" s="451" t="s">
        <v>163</v>
      </c>
      <c r="D15" s="439">
        <v>1</v>
      </c>
      <c r="E15" s="34" t="s">
        <v>40</v>
      </c>
      <c r="F15" s="289">
        <v>2.5</v>
      </c>
      <c r="G15" s="276" t="s">
        <v>153</v>
      </c>
      <c r="H15" s="1066">
        <v>1.79</v>
      </c>
      <c r="I15" s="1075">
        <v>1</v>
      </c>
      <c r="J15" s="1076" t="s">
        <v>40</v>
      </c>
      <c r="K15" s="1077">
        <f>ROUNDUP(SQRT(F15/PI()*4),2)</f>
        <v>1.79</v>
      </c>
      <c r="L15" s="1068">
        <v>4.5199999999999996</v>
      </c>
      <c r="M15" s="1078"/>
      <c r="N15" s="1078"/>
      <c r="O15" s="1078"/>
      <c r="P15" s="1078"/>
      <c r="Q15" s="1070">
        <f t="shared" si="0"/>
        <v>0.44000000000000006</v>
      </c>
      <c r="R15" s="61">
        <f>IF(B15=0.66,VLOOKUP(F15,'Данные ТНПА'!$B$8:$C$16,2,0),
IF(B15=1,VLOOKUP(F15,'Данные ТНПА'!$B$17:$C$37,2,0),"ошибка"))</f>
        <v>0.6</v>
      </c>
      <c r="S15" s="1071">
        <f t="shared" si="1"/>
        <v>2.67</v>
      </c>
      <c r="T15" s="413"/>
      <c r="U15" s="1072"/>
      <c r="V15" s="1071">
        <f t="shared" si="2"/>
        <v>2.99</v>
      </c>
      <c r="W15" s="413"/>
      <c r="X15" s="1072"/>
      <c r="Y15" s="61">
        <f t="shared" si="3"/>
        <v>0</v>
      </c>
      <c r="Z15" s="1073">
        <f t="shared" si="4"/>
        <v>2.99</v>
      </c>
      <c r="AA15" s="237">
        <f t="shared" si="5"/>
        <v>0</v>
      </c>
      <c r="AB15" s="512">
        <f t="shared" si="6"/>
        <v>2.99</v>
      </c>
      <c r="AC15" s="201">
        <f t="shared" si="7"/>
        <v>0</v>
      </c>
      <c r="AD15" s="203">
        <f t="shared" si="8"/>
        <v>0</v>
      </c>
      <c r="AE15" s="37" t="str">
        <f t="shared" si="9"/>
        <v/>
      </c>
      <c r="AF15" s="202">
        <f t="shared" si="10"/>
        <v>0</v>
      </c>
      <c r="AG15" s="201">
        <f t="shared" si="11"/>
        <v>0</v>
      </c>
      <c r="AH15" s="61">
        <f t="shared" si="12"/>
        <v>2.99</v>
      </c>
      <c r="AI15" s="443">
        <f t="shared" si="65"/>
        <v>0</v>
      </c>
      <c r="AJ15" s="444">
        <f t="shared" si="13"/>
        <v>0</v>
      </c>
      <c r="AK15" s="445">
        <f t="shared" si="14"/>
        <v>0</v>
      </c>
      <c r="AL15" s="446">
        <f t="shared" si="15"/>
        <v>0</v>
      </c>
      <c r="AM15" s="447">
        <f t="shared" si="16"/>
        <v>0</v>
      </c>
      <c r="AN15" s="24">
        <f t="shared" si="17"/>
        <v>2.99</v>
      </c>
      <c r="AO15" s="443">
        <f t="shared" si="18"/>
        <v>0</v>
      </c>
      <c r="AP15" s="444">
        <f t="shared" si="19"/>
        <v>0</v>
      </c>
      <c r="AQ15" s="445">
        <f t="shared" si="20"/>
        <v>0</v>
      </c>
      <c r="AR15" s="446">
        <f t="shared" si="21"/>
        <v>0</v>
      </c>
      <c r="AS15" s="447">
        <f t="shared" si="22"/>
        <v>0</v>
      </c>
      <c r="AT15" s="24">
        <f t="shared" si="23"/>
        <v>2.99</v>
      </c>
      <c r="AU15" s="443">
        <f t="shared" si="24"/>
        <v>0</v>
      </c>
      <c r="AV15" s="444">
        <f t="shared" si="25"/>
        <v>0</v>
      </c>
      <c r="AW15" s="445">
        <f t="shared" si="26"/>
        <v>0</v>
      </c>
      <c r="AX15" s="446">
        <f t="shared" si="27"/>
        <v>0</v>
      </c>
      <c r="AY15" s="447">
        <f t="shared" si="28"/>
        <v>0</v>
      </c>
      <c r="AZ15" s="24">
        <f t="shared" si="29"/>
        <v>2.99</v>
      </c>
      <c r="BA15" s="43">
        <f>IF(BB15=0,0,
IF(D15=1,
(IF(AND(AH15&gt;'Данные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"ошибка_1"))))))),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"ошибка_2"))))))))</f>
        <v>0</v>
      </c>
      <c r="BB15" s="43">
        <f>IF(OR($AI$9=0,AND(D15&gt;1,F15&gt;10)),0,
IF(D15=1,
(IF(AND(AH15&gt;'Данные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"ошибка_1"))))))),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IF(AND(AH15&gt;'Данные ТНПА'!#REF!,AH15&lt;='Данные ТНПА'!#REF!),'Данные ТНПА'!#REF!,
"ошибка_2"))))))))</f>
        <v>0</v>
      </c>
      <c r="BC15" s="43">
        <f t="shared" si="30"/>
        <v>2.99</v>
      </c>
      <c r="BD15" s="237">
        <f t="shared" si="31"/>
        <v>0</v>
      </c>
      <c r="BE15" s="43">
        <f t="shared" si="32"/>
        <v>0</v>
      </c>
      <c r="BF15" s="201">
        <f t="shared" si="33"/>
        <v>0</v>
      </c>
      <c r="BG15" s="201">
        <f t="shared" si="34"/>
        <v>0</v>
      </c>
      <c r="BH15" s="61">
        <f t="shared" si="35"/>
        <v>2.99</v>
      </c>
      <c r="BI15" s="237">
        <f t="shared" si="36"/>
        <v>0</v>
      </c>
      <c r="BJ15" s="247">
        <f t="shared" si="37"/>
        <v>0</v>
      </c>
      <c r="BK15" s="431">
        <f t="shared" si="38"/>
        <v>0</v>
      </c>
      <c r="BL15" s="250">
        <f t="shared" si="39"/>
        <v>0</v>
      </c>
      <c r="BM15" s="237">
        <f t="shared" si="40"/>
        <v>0</v>
      </c>
      <c r="BN15" s="512">
        <f t="shared" si="41"/>
        <v>2.99</v>
      </c>
      <c r="BO15" s="237">
        <f t="shared" si="42"/>
        <v>0</v>
      </c>
      <c r="BP15" s="432">
        <f t="shared" si="43"/>
        <v>0</v>
      </c>
      <c r="BQ15" s="22" t="str">
        <f t="shared" si="44"/>
        <v/>
      </c>
      <c r="BR15" s="250">
        <f t="shared" si="45"/>
        <v>0</v>
      </c>
      <c r="BS15" s="237">
        <f t="shared" si="46"/>
        <v>0</v>
      </c>
      <c r="BT15" s="512">
        <f t="shared" si="47"/>
        <v>2.99</v>
      </c>
      <c r="BU15" s="1074">
        <f t="shared" si="48"/>
        <v>0.92</v>
      </c>
      <c r="BV15" s="43">
        <f>IF(BT15="","",
IF(AND(BT15&gt;'Данные ТНПА'!$K$8,BT15&lt;='Данные ТНПА'!$L$8),'Данные ТНПА'!$N$8,
IF(AND(BT15&gt;'Данные ТНПА'!$K$9,BT15&lt;='Данные ТНПА'!$L$9),'Данные ТНПА'!$N$9,
IF(AND(BT15&gt;'Данные ТНПА'!$K$10,BT15&lt;='Данные ТНПА'!$L$10),'Данные ТНПА'!$N$10,
IF(AND(BT15&gt;'Данные ТНПА'!$K$11,BT15&lt;='Данные ТНПА'!$L$11),'Данные ТНПА'!$N$11,
IF(AND(BT15&gt;'Данные ТНПА'!$K$12,BT15&lt;='Данные ТНПА'!$L$12),'Данные ТНПА'!$N$12,
IF(AND(BT15&gt;'Данные ТНПА'!$K$13,BT15&lt;='Данные ТНПА'!$L$13),'Данные ТНПА'!$N$13,
IF(AND(BT15&gt;'Данные ТНПА'!$K$14,BT15&lt;='Данные ТНПА'!$L$14),'Данные ТНПА'!$N$14))))))))</f>
        <v>1.2</v>
      </c>
      <c r="BW15" s="43">
        <f t="shared" si="49"/>
        <v>5.3900000000000006</v>
      </c>
      <c r="BX15" s="15">
        <f t="shared" si="50"/>
        <v>0</v>
      </c>
      <c r="BY15" s="15">
        <f t="shared" si="51"/>
        <v>22.225000000000001</v>
      </c>
      <c r="BZ15" s="15">
        <f t="shared" si="52"/>
        <v>6.0367587794320023</v>
      </c>
      <c r="CA15" s="15" t="e">
        <f t="shared" si="53"/>
        <v>#REF!</v>
      </c>
      <c r="CB15" s="512">
        <f t="shared" si="54"/>
        <v>0</v>
      </c>
      <c r="CC15" s="15">
        <f t="shared" si="55"/>
        <v>0</v>
      </c>
      <c r="CD15" s="15">
        <f t="shared" si="56"/>
        <v>0</v>
      </c>
      <c r="CE15" s="15">
        <f t="shared" si="57"/>
        <v>0</v>
      </c>
      <c r="CF15" s="15">
        <f t="shared" si="58"/>
        <v>0</v>
      </c>
      <c r="CG15" s="512">
        <f t="shared" si="59"/>
        <v>0</v>
      </c>
      <c r="CH15" s="15">
        <f t="shared" si="60"/>
        <v>0</v>
      </c>
      <c r="CI15" s="15">
        <f t="shared" si="61"/>
        <v>0</v>
      </c>
      <c r="CJ15" s="512">
        <f t="shared" si="62"/>
        <v>0</v>
      </c>
      <c r="CK15" s="512">
        <f t="shared" si="63"/>
        <v>22.998870967435245</v>
      </c>
      <c r="CL15" s="15">
        <f t="shared" si="64"/>
        <v>51.260629746867252</v>
      </c>
      <c r="CM15" s="195"/>
      <c r="CN15" s="195"/>
    </row>
    <row r="16" spans="1:94" s="207" customFormat="1" ht="14.25" hidden="1" customHeight="1" x14ac:dyDescent="0.25">
      <c r="A16" s="389" t="str">
        <f>IF(D16="",CONCATENATE("Кабель ",IF(C16="а","А",""),$A$9),CONCATENATE("Кабель ",IF(C16="а","А",""),$A$9," ",D16,"*",F16,IF(G16="ок"," (ож)","")," - ",B16," ",IF(G16="мс"," фас. ",""),$A$2))</f>
        <v>Кабель ВВГ 1*4 (ож) - 0,66 ГОСТ 16442-80</v>
      </c>
      <c r="B16" s="450">
        <v>0.66</v>
      </c>
      <c r="C16" s="451" t="s">
        <v>163</v>
      </c>
      <c r="D16" s="439">
        <v>1</v>
      </c>
      <c r="E16" s="34" t="s">
        <v>40</v>
      </c>
      <c r="F16" s="289">
        <v>4</v>
      </c>
      <c r="G16" s="276" t="s">
        <v>153</v>
      </c>
      <c r="H16" s="460">
        <v>2.2599999999999998</v>
      </c>
      <c r="I16" s="494">
        <v>1</v>
      </c>
      <c r="J16" s="495" t="s">
        <v>40</v>
      </c>
      <c r="K16" s="496">
        <f>ROUNDUP(SQRT(F16/PI()*4),2)</f>
        <v>2.2599999999999998</v>
      </c>
      <c r="L16" s="501">
        <v>4.79</v>
      </c>
      <c r="M16" s="471"/>
      <c r="N16" s="471"/>
      <c r="O16" s="471"/>
      <c r="P16" s="471"/>
      <c r="Q16" s="483">
        <f t="shared" si="0"/>
        <v>0.53</v>
      </c>
      <c r="R16" s="484">
        <f>IF(B16=0.66,VLOOKUP(F16,'Данные ТНПА'!$B$8:$C$16,2,0),
IF(B16=1,VLOOKUP(F16,'Данные ТНПА'!$B$17:$C$37,2,0),"ошибка"))</f>
        <v>0.7</v>
      </c>
      <c r="S16" s="485">
        <f t="shared" si="1"/>
        <v>3.32</v>
      </c>
      <c r="T16" s="486"/>
      <c r="U16" s="487"/>
      <c r="V16" s="485">
        <f t="shared" si="2"/>
        <v>3.6599999999999997</v>
      </c>
      <c r="W16" s="486"/>
      <c r="X16" s="487"/>
      <c r="Y16" s="489">
        <f t="shared" si="3"/>
        <v>0</v>
      </c>
      <c r="Z16" s="491">
        <f t="shared" si="4"/>
        <v>3.6599999999999997</v>
      </c>
      <c r="AA16" s="237">
        <f t="shared" si="5"/>
        <v>0</v>
      </c>
      <c r="AB16" s="452">
        <f t="shared" si="6"/>
        <v>3.6599999999999997</v>
      </c>
      <c r="AC16" s="201">
        <f t="shared" si="7"/>
        <v>0</v>
      </c>
      <c r="AD16" s="203">
        <f t="shared" si="8"/>
        <v>0</v>
      </c>
      <c r="AE16" s="37" t="str">
        <f t="shared" si="9"/>
        <v/>
      </c>
      <c r="AF16" s="202">
        <f t="shared" si="10"/>
        <v>0</v>
      </c>
      <c r="AG16" s="201">
        <f t="shared" si="11"/>
        <v>0</v>
      </c>
      <c r="AH16" s="61">
        <f t="shared" si="12"/>
        <v>3.6599999999999997</v>
      </c>
      <c r="AI16" s="443">
        <f t="shared" si="65"/>
        <v>0</v>
      </c>
      <c r="AJ16" s="444">
        <f t="shared" si="13"/>
        <v>0</v>
      </c>
      <c r="AK16" s="445">
        <f t="shared" si="14"/>
        <v>0</v>
      </c>
      <c r="AL16" s="446">
        <f t="shared" si="15"/>
        <v>0</v>
      </c>
      <c r="AM16" s="447">
        <f t="shared" si="16"/>
        <v>0</v>
      </c>
      <c r="AN16" s="24">
        <f t="shared" si="17"/>
        <v>3.6599999999999997</v>
      </c>
      <c r="AO16" s="443">
        <f t="shared" si="18"/>
        <v>0</v>
      </c>
      <c r="AP16" s="444">
        <f t="shared" si="19"/>
        <v>0</v>
      </c>
      <c r="AQ16" s="445">
        <f t="shared" si="20"/>
        <v>0</v>
      </c>
      <c r="AR16" s="446">
        <f t="shared" si="21"/>
        <v>0</v>
      </c>
      <c r="AS16" s="447">
        <f t="shared" si="22"/>
        <v>0</v>
      </c>
      <c r="AT16" s="24">
        <f t="shared" si="23"/>
        <v>3.6599999999999997</v>
      </c>
      <c r="AU16" s="443">
        <f t="shared" si="24"/>
        <v>0</v>
      </c>
      <c r="AV16" s="444">
        <f t="shared" si="25"/>
        <v>0</v>
      </c>
      <c r="AW16" s="445">
        <f t="shared" si="26"/>
        <v>0</v>
      </c>
      <c r="AX16" s="446">
        <f t="shared" si="27"/>
        <v>0</v>
      </c>
      <c r="AY16" s="447">
        <f t="shared" si="28"/>
        <v>0</v>
      </c>
      <c r="AZ16" s="24">
        <f t="shared" si="29"/>
        <v>3.6599999999999997</v>
      </c>
      <c r="BA16" s="43">
        <f>IF(BB16=0,0,
IF(D16=1,
(IF(AND(AH16&gt;'Данные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"ошибка_1"))))))),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"ошибка_2"))))))))</f>
        <v>0</v>
      </c>
      <c r="BB16" s="43">
        <f>IF(OR($AI$9=0,AND(D16&gt;1,F16&gt;10)),0,
IF(D16=1,
(IF(AND(AH16&gt;'Данные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"ошибка_1"))))))),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IF(AND(AH16&gt;'Данные ТНПА'!#REF!,AH16&lt;='Данные ТНПА'!#REF!),'Данные ТНПА'!#REF!,
"ошибка_2"))))))))</f>
        <v>0</v>
      </c>
      <c r="BC16" s="43">
        <f t="shared" si="30"/>
        <v>3.6599999999999997</v>
      </c>
      <c r="BD16" s="237">
        <f t="shared" si="31"/>
        <v>0</v>
      </c>
      <c r="BE16" s="43">
        <f t="shared" si="32"/>
        <v>0</v>
      </c>
      <c r="BF16" s="201">
        <f t="shared" si="33"/>
        <v>0</v>
      </c>
      <c r="BG16" s="201">
        <f t="shared" si="34"/>
        <v>0</v>
      </c>
      <c r="BH16" s="61">
        <f t="shared" si="35"/>
        <v>3.6599999999999997</v>
      </c>
      <c r="BI16" s="237">
        <f t="shared" si="36"/>
        <v>0</v>
      </c>
      <c r="BJ16" s="247">
        <f t="shared" si="37"/>
        <v>0</v>
      </c>
      <c r="BK16" s="431">
        <f t="shared" si="38"/>
        <v>0</v>
      </c>
      <c r="BL16" s="250">
        <f t="shared" si="39"/>
        <v>0</v>
      </c>
      <c r="BM16" s="237">
        <f t="shared" si="40"/>
        <v>0</v>
      </c>
      <c r="BN16" s="452">
        <f t="shared" si="41"/>
        <v>3.6599999999999997</v>
      </c>
      <c r="BO16" s="237">
        <f t="shared" si="42"/>
        <v>0</v>
      </c>
      <c r="BP16" s="432">
        <f t="shared" si="43"/>
        <v>0</v>
      </c>
      <c r="BQ16" s="22" t="str">
        <f t="shared" si="44"/>
        <v/>
      </c>
      <c r="BR16" s="250">
        <f t="shared" si="45"/>
        <v>0</v>
      </c>
      <c r="BS16" s="237">
        <f t="shared" si="46"/>
        <v>0</v>
      </c>
      <c r="BT16" s="452">
        <f t="shared" si="47"/>
        <v>3.6599999999999997</v>
      </c>
      <c r="BU16" s="492">
        <f t="shared" si="48"/>
        <v>0.92</v>
      </c>
      <c r="BV16" s="493">
        <f>IF(BT16="","",
IF(AND(BT16&gt;'Данные ТНПА'!$K$8,BT16&lt;='Данные ТНПА'!$L$8),'Данные ТНПА'!$N$8,
IF(AND(BT16&gt;'Данные ТНПА'!$K$9,BT16&lt;='Данные ТНПА'!$L$9),'Данные ТНПА'!$N$9,
IF(AND(BT16&gt;'Данные ТНПА'!$K$10,BT16&lt;='Данные ТНПА'!$L$10),'Данные ТНПА'!$N$10,
IF(AND(BT16&gt;'Данные ТНПА'!$K$11,BT16&lt;='Данные ТНПА'!$L$11),'Данные ТНПА'!$N$11,
IF(AND(BT16&gt;'Данные ТНПА'!$K$12,BT16&lt;='Данные ТНПА'!$L$12),'Данные ТНПА'!$N$12,
IF(AND(BT16&gt;'Данные ТНПА'!$K$13,BT16&lt;='Данные ТНПА'!$L$13),'Данные ТНПА'!$N$13,
IF(AND(BT16&gt;'Данные ТНПА'!$K$14,BT16&lt;='Данные ТНПА'!$L$14),'Данные ТНПА'!$N$14))))))))</f>
        <v>1.2</v>
      </c>
      <c r="BW16" s="493">
        <f t="shared" si="49"/>
        <v>6.06</v>
      </c>
      <c r="BX16" s="457">
        <f t="shared" si="50"/>
        <v>0</v>
      </c>
      <c r="BY16" s="457">
        <f t="shared" si="51"/>
        <v>35.56</v>
      </c>
      <c r="BZ16" s="457">
        <f t="shared" si="52"/>
        <v>8.7225691708389892</v>
      </c>
      <c r="CA16" s="457" t="e">
        <f t="shared" si="53"/>
        <v>#REF!</v>
      </c>
      <c r="CB16" s="458">
        <f t="shared" si="54"/>
        <v>0</v>
      </c>
      <c r="CC16" s="457">
        <f t="shared" si="55"/>
        <v>0</v>
      </c>
      <c r="CD16" s="457">
        <f t="shared" si="56"/>
        <v>0</v>
      </c>
      <c r="CE16" s="457">
        <f t="shared" si="57"/>
        <v>0</v>
      </c>
      <c r="CF16" s="457">
        <f t="shared" si="58"/>
        <v>0</v>
      </c>
      <c r="CG16" s="458">
        <f t="shared" si="59"/>
        <v>0</v>
      </c>
      <c r="CH16" s="457">
        <f t="shared" si="60"/>
        <v>0</v>
      </c>
      <c r="CI16" s="457">
        <f t="shared" si="61"/>
        <v>0</v>
      </c>
      <c r="CJ16" s="458">
        <f t="shared" si="62"/>
        <v>0</v>
      </c>
      <c r="CK16" s="458">
        <f t="shared" si="63"/>
        <v>26.676494725951134</v>
      </c>
      <c r="CL16" s="457">
        <f t="shared" si="64"/>
        <v>70.959063896790127</v>
      </c>
      <c r="CM16" s="504"/>
      <c r="CN16" s="504"/>
    </row>
    <row r="17" spans="1:92" s="207" customFormat="1" ht="14.25" hidden="1" customHeight="1" x14ac:dyDescent="0.25">
      <c r="A17" s="389" t="str">
        <f>IF(D17="",CONCATENATE("Кабель ",IF(C17="а","А",""),$A$9),CONCATENATE("Кабель ",IF(C17="а","А",""),$A$9," ",D17,"*",F17,IF(G17="ок"," (ож)","")," - ",B17," ",IF(G17="мс"," фас. ",""),$A$2))</f>
        <v>Кабель ВВГ 1*6 (ож) - 0,66 ГОСТ 16442-80</v>
      </c>
      <c r="B17" s="450">
        <v>0.66</v>
      </c>
      <c r="C17" s="451" t="s">
        <v>163</v>
      </c>
      <c r="D17" s="439">
        <v>1</v>
      </c>
      <c r="E17" s="34" t="s">
        <v>40</v>
      </c>
      <c r="F17" s="289">
        <v>6</v>
      </c>
      <c r="G17" s="276" t="s">
        <v>153</v>
      </c>
      <c r="H17" s="460">
        <v>2.7699999999999996</v>
      </c>
      <c r="I17" s="494">
        <v>1</v>
      </c>
      <c r="J17" s="495" t="s">
        <v>40</v>
      </c>
      <c r="K17" s="496">
        <f>ROUNDUP(SQRT(F17/PI()*4),2)</f>
        <v>2.7699999999999996</v>
      </c>
      <c r="L17" s="501">
        <v>5.6499999999999995</v>
      </c>
      <c r="M17" s="467"/>
      <c r="N17" s="467"/>
      <c r="O17" s="467"/>
      <c r="P17" s="467"/>
      <c r="Q17" s="483">
        <f t="shared" si="0"/>
        <v>0.53</v>
      </c>
      <c r="R17" s="484">
        <f>IF(B17=0.66,VLOOKUP(F17,'Данные ТНПА'!$B$8:$C$16,2,0),
IF(B17=1,VLOOKUP(F17,'Данные ТНПА'!$B$17:$C$37,2,0),"ошибка"))</f>
        <v>0.7</v>
      </c>
      <c r="S17" s="485">
        <f t="shared" si="1"/>
        <v>3.8299999999999996</v>
      </c>
      <c r="T17" s="486"/>
      <c r="U17" s="487"/>
      <c r="V17" s="485">
        <f t="shared" si="2"/>
        <v>4.17</v>
      </c>
      <c r="W17" s="486"/>
      <c r="X17" s="487"/>
      <c r="Y17" s="489">
        <f t="shared" si="3"/>
        <v>0</v>
      </c>
      <c r="Z17" s="491">
        <f t="shared" si="4"/>
        <v>4.17</v>
      </c>
      <c r="AA17" s="237">
        <f t="shared" si="5"/>
        <v>0</v>
      </c>
      <c r="AB17" s="452">
        <f t="shared" si="6"/>
        <v>4.17</v>
      </c>
      <c r="AC17" s="201">
        <f t="shared" si="7"/>
        <v>0</v>
      </c>
      <c r="AD17" s="203">
        <f t="shared" si="8"/>
        <v>0</v>
      </c>
      <c r="AE17" s="37" t="str">
        <f t="shared" si="9"/>
        <v/>
      </c>
      <c r="AF17" s="202">
        <f t="shared" si="10"/>
        <v>0</v>
      </c>
      <c r="AG17" s="201">
        <f t="shared" si="11"/>
        <v>0</v>
      </c>
      <c r="AH17" s="61">
        <f t="shared" si="12"/>
        <v>4.17</v>
      </c>
      <c r="AI17" s="443">
        <f t="shared" si="65"/>
        <v>0</v>
      </c>
      <c r="AJ17" s="444">
        <f t="shared" si="13"/>
        <v>0</v>
      </c>
      <c r="AK17" s="445">
        <f t="shared" si="14"/>
        <v>0</v>
      </c>
      <c r="AL17" s="446">
        <f t="shared" si="15"/>
        <v>0</v>
      </c>
      <c r="AM17" s="447">
        <f t="shared" si="16"/>
        <v>0</v>
      </c>
      <c r="AN17" s="24">
        <f t="shared" si="17"/>
        <v>4.17</v>
      </c>
      <c r="AO17" s="443">
        <f t="shared" si="18"/>
        <v>0</v>
      </c>
      <c r="AP17" s="444">
        <f t="shared" si="19"/>
        <v>0</v>
      </c>
      <c r="AQ17" s="445">
        <f t="shared" si="20"/>
        <v>0</v>
      </c>
      <c r="AR17" s="446">
        <f t="shared" si="21"/>
        <v>0</v>
      </c>
      <c r="AS17" s="447">
        <f t="shared" si="22"/>
        <v>0</v>
      </c>
      <c r="AT17" s="24">
        <f t="shared" si="23"/>
        <v>4.17</v>
      </c>
      <c r="AU17" s="443">
        <f t="shared" si="24"/>
        <v>0</v>
      </c>
      <c r="AV17" s="444">
        <f t="shared" si="25"/>
        <v>0</v>
      </c>
      <c r="AW17" s="445">
        <f t="shared" si="26"/>
        <v>0</v>
      </c>
      <c r="AX17" s="446">
        <f t="shared" si="27"/>
        <v>0</v>
      </c>
      <c r="AY17" s="447">
        <f t="shared" si="28"/>
        <v>0</v>
      </c>
      <c r="AZ17" s="24">
        <f t="shared" si="29"/>
        <v>4.17</v>
      </c>
      <c r="BA17" s="43">
        <f>IF(BB17=0,0,
IF(D17=1,
(IF(AND(AH17&gt;'Данные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"ошибка_1"))))))),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"ошибка_2"))))))))</f>
        <v>0</v>
      </c>
      <c r="BB17" s="43">
        <f>IF(OR($AI$9=0,AND(D17&gt;1,F17&gt;10)),0,
IF(D17=1,
(IF(AND(AH17&gt;'Данные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"ошибка_1"))))))),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IF(AND(AH17&gt;'Данные ТНПА'!#REF!,AH17&lt;='Данные ТНПА'!#REF!),'Данные ТНПА'!#REF!,
"ошибка_2"))))))))</f>
        <v>0</v>
      </c>
      <c r="BC17" s="43">
        <f t="shared" si="30"/>
        <v>4.17</v>
      </c>
      <c r="BD17" s="237">
        <f t="shared" si="31"/>
        <v>0</v>
      </c>
      <c r="BE17" s="43">
        <f t="shared" si="32"/>
        <v>0</v>
      </c>
      <c r="BF17" s="201">
        <f t="shared" si="33"/>
        <v>0</v>
      </c>
      <c r="BG17" s="201">
        <f t="shared" si="34"/>
        <v>0</v>
      </c>
      <c r="BH17" s="61">
        <f t="shared" si="35"/>
        <v>4.17</v>
      </c>
      <c r="BI17" s="237">
        <f t="shared" si="36"/>
        <v>0</v>
      </c>
      <c r="BJ17" s="247">
        <f t="shared" si="37"/>
        <v>0</v>
      </c>
      <c r="BK17" s="431">
        <f t="shared" si="38"/>
        <v>0</v>
      </c>
      <c r="BL17" s="250">
        <f t="shared" si="39"/>
        <v>0</v>
      </c>
      <c r="BM17" s="237">
        <f t="shared" si="40"/>
        <v>0</v>
      </c>
      <c r="BN17" s="452">
        <f t="shared" si="41"/>
        <v>4.17</v>
      </c>
      <c r="BO17" s="237">
        <f t="shared" si="42"/>
        <v>0</v>
      </c>
      <c r="BP17" s="432">
        <f t="shared" si="43"/>
        <v>0</v>
      </c>
      <c r="BQ17" s="22" t="str">
        <f t="shared" si="44"/>
        <v/>
      </c>
      <c r="BR17" s="250">
        <f t="shared" si="45"/>
        <v>0</v>
      </c>
      <c r="BS17" s="237">
        <f t="shared" si="46"/>
        <v>0</v>
      </c>
      <c r="BT17" s="452">
        <f t="shared" si="47"/>
        <v>4.17</v>
      </c>
      <c r="BU17" s="492">
        <f t="shared" si="48"/>
        <v>0.92</v>
      </c>
      <c r="BV17" s="493">
        <f>IF(BT17="","",
IF(AND(BT17&gt;'Данные ТНПА'!$K$8,BT17&lt;='Данные ТНПА'!$L$8),'Данные ТНПА'!$N$8,
IF(AND(BT17&gt;'Данные ТНПА'!$K$9,BT17&lt;='Данные ТНПА'!$L$9),'Данные ТНПА'!$N$9,
IF(AND(BT17&gt;'Данные ТНПА'!$K$10,BT17&lt;='Данные ТНПА'!$L$10),'Данные ТНПА'!$N$10,
IF(AND(BT17&gt;'Данные ТНПА'!$K$11,BT17&lt;='Данные ТНПА'!$L$11),'Данные ТНПА'!$N$11,
IF(AND(BT17&gt;'Данные ТНПА'!$K$12,BT17&lt;='Данные ТНПА'!$L$12),'Данные ТНПА'!$N$12,
IF(AND(BT17&gt;'Данные ТНПА'!$K$13,BT17&lt;='Данные ТНПА'!$L$13),'Данные ТНПА'!$N$13,
IF(AND(BT17&gt;'Данные ТНПА'!$K$14,BT17&lt;='Данные ТНПА'!$L$14),'Данные ТНПА'!$N$14))))))))</f>
        <v>1.2</v>
      </c>
      <c r="BW17" s="493">
        <f t="shared" si="49"/>
        <v>6.57</v>
      </c>
      <c r="BX17" s="457">
        <f t="shared" si="50"/>
        <v>0</v>
      </c>
      <c r="BY17" s="457">
        <f t="shared" si="51"/>
        <v>53.34</v>
      </c>
      <c r="BZ17" s="457">
        <f t="shared" si="52"/>
        <v>10.225444264463272</v>
      </c>
      <c r="CA17" s="457" t="e">
        <f t="shared" si="53"/>
        <v>#REF!</v>
      </c>
      <c r="CB17" s="458">
        <f t="shared" si="54"/>
        <v>0</v>
      </c>
      <c r="CC17" s="457">
        <f t="shared" si="55"/>
        <v>0</v>
      </c>
      <c r="CD17" s="457">
        <f t="shared" si="56"/>
        <v>0</v>
      </c>
      <c r="CE17" s="457">
        <f t="shared" si="57"/>
        <v>0</v>
      </c>
      <c r="CF17" s="457">
        <f t="shared" si="58"/>
        <v>0</v>
      </c>
      <c r="CG17" s="458">
        <f t="shared" si="59"/>
        <v>0</v>
      </c>
      <c r="CH17" s="457">
        <f t="shared" si="60"/>
        <v>0</v>
      </c>
      <c r="CI17" s="457">
        <f t="shared" si="61"/>
        <v>0</v>
      </c>
      <c r="CJ17" s="458">
        <f t="shared" si="62"/>
        <v>0</v>
      </c>
      <c r="CK17" s="458">
        <f t="shared" si="63"/>
        <v>29.475879974970702</v>
      </c>
      <c r="CL17" s="457">
        <f t="shared" si="64"/>
        <v>93.041324239433976</v>
      </c>
      <c r="CM17" s="504"/>
      <c r="CN17" s="504"/>
    </row>
    <row r="18" spans="1:92" s="207" customFormat="1" ht="14.25" hidden="1" customHeight="1" x14ac:dyDescent="0.25">
      <c r="A18" s="389" t="str">
        <f>IF(D18="",CONCATENATE("Кабель ",IF(C18="а","А",""),$A$9),CONCATENATE("Кабель ",IF(C18="а","А",""),$A$9," ",D18,"*",F18,IF(G18="ок"," (ож)","")," - ",B18," ",IF(G18="мс"," фас. ",""),$A$2))</f>
        <v>Кабель ВВГ 1*10 (ож) - 0,66 ГОСТ 16442-80</v>
      </c>
      <c r="B18" s="450">
        <v>0.66</v>
      </c>
      <c r="C18" s="451" t="s">
        <v>163</v>
      </c>
      <c r="D18" s="439">
        <v>1</v>
      </c>
      <c r="E18" s="34" t="s">
        <v>40</v>
      </c>
      <c r="F18" s="289">
        <v>10</v>
      </c>
      <c r="G18" s="276" t="s">
        <v>153</v>
      </c>
      <c r="H18" s="460">
        <v>3.57</v>
      </c>
      <c r="I18" s="494">
        <v>1</v>
      </c>
      <c r="J18" s="495" t="s">
        <v>40</v>
      </c>
      <c r="K18" s="496">
        <f>ROUNDUP(SQRT(F18/PI()*4),2)</f>
        <v>3.57</v>
      </c>
      <c r="L18" s="501">
        <v>5.99</v>
      </c>
      <c r="M18" s="472"/>
      <c r="N18" s="472"/>
      <c r="O18" s="472"/>
      <c r="P18" s="472"/>
      <c r="Q18" s="483">
        <f t="shared" si="0"/>
        <v>0.71000000000000008</v>
      </c>
      <c r="R18" s="484">
        <f>IF(B18=0.66,VLOOKUP(F18,'Данные ТНПА'!$B$8:$C$16,2,0),
IF(B18=1,VLOOKUP(F18,'Данные ТНПА'!$B$17:$C$37,2,0),"ошибка"))</f>
        <v>0.9</v>
      </c>
      <c r="S18" s="485">
        <f t="shared" si="1"/>
        <v>4.99</v>
      </c>
      <c r="T18" s="486"/>
      <c r="U18" s="487"/>
      <c r="V18" s="485">
        <f t="shared" si="2"/>
        <v>5.37</v>
      </c>
      <c r="W18" s="486"/>
      <c r="X18" s="487"/>
      <c r="Y18" s="489">
        <f t="shared" si="3"/>
        <v>0</v>
      </c>
      <c r="Z18" s="491">
        <f t="shared" si="4"/>
        <v>5.37</v>
      </c>
      <c r="AA18" s="237">
        <f t="shared" si="5"/>
        <v>0</v>
      </c>
      <c r="AB18" s="452">
        <f t="shared" si="6"/>
        <v>5.37</v>
      </c>
      <c r="AC18" s="201">
        <f t="shared" si="7"/>
        <v>0</v>
      </c>
      <c r="AD18" s="203">
        <f t="shared" si="8"/>
        <v>0</v>
      </c>
      <c r="AE18" s="37" t="str">
        <f t="shared" si="9"/>
        <v/>
      </c>
      <c r="AF18" s="202">
        <f t="shared" si="10"/>
        <v>0</v>
      </c>
      <c r="AG18" s="201">
        <f t="shared" si="11"/>
        <v>0</v>
      </c>
      <c r="AH18" s="61">
        <f t="shared" si="12"/>
        <v>5.37</v>
      </c>
      <c r="AI18" s="443">
        <f t="shared" si="65"/>
        <v>0</v>
      </c>
      <c r="AJ18" s="444">
        <f t="shared" si="13"/>
        <v>0</v>
      </c>
      <c r="AK18" s="445">
        <f t="shared" si="14"/>
        <v>0</v>
      </c>
      <c r="AL18" s="446">
        <f t="shared" si="15"/>
        <v>0</v>
      </c>
      <c r="AM18" s="447">
        <f t="shared" si="16"/>
        <v>0</v>
      </c>
      <c r="AN18" s="24">
        <f t="shared" si="17"/>
        <v>5.37</v>
      </c>
      <c r="AO18" s="443">
        <f t="shared" si="18"/>
        <v>0</v>
      </c>
      <c r="AP18" s="444">
        <f t="shared" si="19"/>
        <v>0</v>
      </c>
      <c r="AQ18" s="445">
        <f t="shared" si="20"/>
        <v>0</v>
      </c>
      <c r="AR18" s="446">
        <f t="shared" si="21"/>
        <v>0</v>
      </c>
      <c r="AS18" s="447">
        <f t="shared" si="22"/>
        <v>0</v>
      </c>
      <c r="AT18" s="24">
        <f t="shared" si="23"/>
        <v>5.37</v>
      </c>
      <c r="AU18" s="443">
        <f t="shared" si="24"/>
        <v>0</v>
      </c>
      <c r="AV18" s="444">
        <f t="shared" si="25"/>
        <v>0</v>
      </c>
      <c r="AW18" s="445">
        <f t="shared" si="26"/>
        <v>0</v>
      </c>
      <c r="AX18" s="446">
        <f t="shared" si="27"/>
        <v>0</v>
      </c>
      <c r="AY18" s="447">
        <f t="shared" si="28"/>
        <v>0</v>
      </c>
      <c r="AZ18" s="24">
        <f t="shared" si="29"/>
        <v>5.37</v>
      </c>
      <c r="BA18" s="43">
        <f>IF(BB18=0,0,
IF(D18=1,
(IF(AND(AH18&gt;'Данные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"ошибка_1"))))))),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"ошибка_2"))))))))</f>
        <v>0</v>
      </c>
      <c r="BB18" s="43">
        <f>IF(OR($AI$9=0,AND(D18&gt;1,F18&gt;10)),0,
IF(D18=1,
(IF(AND(AH18&gt;'Данные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"ошибка_1"))))))),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IF(AND(AH18&gt;'Данные ТНПА'!#REF!,AH18&lt;='Данные ТНПА'!#REF!),'Данные ТНПА'!#REF!,
"ошибка_2"))))))))</f>
        <v>0</v>
      </c>
      <c r="BC18" s="43">
        <f t="shared" si="30"/>
        <v>5.37</v>
      </c>
      <c r="BD18" s="237">
        <f t="shared" si="31"/>
        <v>0</v>
      </c>
      <c r="BE18" s="43">
        <f t="shared" si="32"/>
        <v>0</v>
      </c>
      <c r="BF18" s="201">
        <f t="shared" si="33"/>
        <v>0</v>
      </c>
      <c r="BG18" s="201">
        <f t="shared" si="34"/>
        <v>0</v>
      </c>
      <c r="BH18" s="61">
        <f t="shared" si="35"/>
        <v>5.37</v>
      </c>
      <c r="BI18" s="237">
        <f t="shared" si="36"/>
        <v>0</v>
      </c>
      <c r="BJ18" s="247">
        <f t="shared" si="37"/>
        <v>0</v>
      </c>
      <c r="BK18" s="431">
        <f t="shared" si="38"/>
        <v>0</v>
      </c>
      <c r="BL18" s="250">
        <f t="shared" si="39"/>
        <v>0</v>
      </c>
      <c r="BM18" s="237">
        <f t="shared" si="40"/>
        <v>0</v>
      </c>
      <c r="BN18" s="452">
        <f t="shared" si="41"/>
        <v>5.37</v>
      </c>
      <c r="BO18" s="237">
        <f t="shared" si="42"/>
        <v>0</v>
      </c>
      <c r="BP18" s="432">
        <f t="shared" si="43"/>
        <v>0</v>
      </c>
      <c r="BQ18" s="22" t="str">
        <f t="shared" si="44"/>
        <v/>
      </c>
      <c r="BR18" s="250">
        <f t="shared" si="45"/>
        <v>0</v>
      </c>
      <c r="BS18" s="237">
        <f t="shared" si="46"/>
        <v>0</v>
      </c>
      <c r="BT18" s="452">
        <f t="shared" si="47"/>
        <v>5.37</v>
      </c>
      <c r="BU18" s="492">
        <f t="shared" si="48"/>
        <v>0.92</v>
      </c>
      <c r="BV18" s="493">
        <f>IF(BT18="","",
IF(AND(BT18&gt;'Данные ТНПА'!$K$8,BT18&lt;='Данные ТНПА'!$L$8),'Данные ТНПА'!$N$8,
IF(AND(BT18&gt;'Данные ТНПА'!$K$9,BT18&lt;='Данные ТНПА'!$L$9),'Данные ТНПА'!$N$9,
IF(AND(BT18&gt;'Данные ТНПА'!$K$10,BT18&lt;='Данные ТНПА'!$L$10),'Данные ТНПА'!$N$10,
IF(AND(BT18&gt;'Данные ТНПА'!$K$11,BT18&lt;='Данные ТНПА'!$L$11),'Данные ТНПА'!$N$11,
IF(AND(BT18&gt;'Данные ТНПА'!$K$12,BT18&lt;='Данные ТНПА'!$L$12),'Данные ТНПА'!$N$12,
IF(AND(BT18&gt;'Данные ТНПА'!$K$13,BT18&lt;='Данные ТНПА'!$L$13),'Данные ТНПА'!$N$13,
IF(AND(BT18&gt;'Данные ТНПА'!$K$14,BT18&lt;='Данные ТНПА'!$L$14),'Данные ТНПА'!$N$14))))))))</f>
        <v>1.2</v>
      </c>
      <c r="BW18" s="493">
        <f t="shared" si="49"/>
        <v>7.77</v>
      </c>
      <c r="BX18" s="457">
        <f t="shared" si="50"/>
        <v>0</v>
      </c>
      <c r="BY18" s="457">
        <f t="shared" si="51"/>
        <v>88.9</v>
      </c>
      <c r="BZ18" s="457">
        <f t="shared" si="52"/>
        <v>16.935760508824927</v>
      </c>
      <c r="CA18" s="457" t="e">
        <f t="shared" si="53"/>
        <v>#REF!</v>
      </c>
      <c r="CB18" s="458">
        <f t="shared" si="54"/>
        <v>0</v>
      </c>
      <c r="CC18" s="457">
        <f t="shared" si="55"/>
        <v>0</v>
      </c>
      <c r="CD18" s="457">
        <f t="shared" si="56"/>
        <v>0</v>
      </c>
      <c r="CE18" s="457">
        <f t="shared" si="57"/>
        <v>0</v>
      </c>
      <c r="CF18" s="457">
        <f t="shared" si="58"/>
        <v>0</v>
      </c>
      <c r="CG18" s="458">
        <f t="shared" si="59"/>
        <v>0</v>
      </c>
      <c r="CH18" s="457">
        <f t="shared" si="60"/>
        <v>0</v>
      </c>
      <c r="CI18" s="457">
        <f t="shared" si="61"/>
        <v>0</v>
      </c>
      <c r="CJ18" s="458">
        <f t="shared" si="62"/>
        <v>0</v>
      </c>
      <c r="CK18" s="458">
        <f t="shared" si="63"/>
        <v>36.062668796193208</v>
      </c>
      <c r="CL18" s="457">
        <f t="shared" si="64"/>
        <v>141.89842930501814</v>
      </c>
      <c r="CM18" s="504"/>
      <c r="CN18" s="504"/>
    </row>
    <row r="19" spans="1:92" s="207" customFormat="1" ht="14.25" hidden="1" customHeight="1" x14ac:dyDescent="0.25">
      <c r="A19" s="389" t="str">
        <f>IF(D19="",CONCATENATE("Кабель ",IF(C19="а","А",""),$A$9),CONCATENATE("Кабель ",IF(C19="а","А",""),$A$9," ",D19,"*",F19,IF(G19="ок"," (ож)","")," - ",B19," ",IF(G19="мс"," фас. ",""),$A$2))</f>
        <v>Кабель ВВГ 1*16 (ож) - 0,66 ГОСТ 16442-80</v>
      </c>
      <c r="B19" s="450">
        <v>0.66</v>
      </c>
      <c r="C19" s="451" t="s">
        <v>163</v>
      </c>
      <c r="D19" s="439">
        <v>1</v>
      </c>
      <c r="E19" s="34" t="s">
        <v>40</v>
      </c>
      <c r="F19" s="289">
        <v>16</v>
      </c>
      <c r="G19" s="276" t="s">
        <v>153</v>
      </c>
      <c r="H19" s="460">
        <v>4.5199999999999996</v>
      </c>
      <c r="I19" s="494">
        <v>1</v>
      </c>
      <c r="J19" s="495" t="s">
        <v>40</v>
      </c>
      <c r="K19" s="496">
        <f>ROUNDUP(SQRT(F19/PI()*4),2)</f>
        <v>4.5199999999999996</v>
      </c>
      <c r="L19" s="501">
        <v>6.68</v>
      </c>
      <c r="M19" s="473"/>
      <c r="N19" s="473"/>
      <c r="O19" s="473"/>
      <c r="P19" s="473"/>
      <c r="Q19" s="483">
        <f t="shared" si="0"/>
        <v>0.71000000000000008</v>
      </c>
      <c r="R19" s="484">
        <f>IF(B19=0.66,VLOOKUP(F19,'Данные ТНПА'!$B$8:$C$16,2,0),
IF(B19=1,VLOOKUP(F19,'Данные ТНПА'!$B$17:$C$37,2,0),"ошибка"))</f>
        <v>0.9</v>
      </c>
      <c r="S19" s="485">
        <f t="shared" si="1"/>
        <v>5.9399999999999995</v>
      </c>
      <c r="T19" s="486"/>
      <c r="U19" s="487"/>
      <c r="V19" s="485">
        <f t="shared" si="2"/>
        <v>6.3199999999999994</v>
      </c>
      <c r="W19" s="486"/>
      <c r="X19" s="487"/>
      <c r="Y19" s="489">
        <f t="shared" si="3"/>
        <v>0</v>
      </c>
      <c r="Z19" s="491">
        <f t="shared" si="4"/>
        <v>6.3199999999999994</v>
      </c>
      <c r="AA19" s="237">
        <f t="shared" si="5"/>
        <v>0</v>
      </c>
      <c r="AB19" s="452">
        <f t="shared" si="6"/>
        <v>6.3199999999999994</v>
      </c>
      <c r="AC19" s="201">
        <f t="shared" si="7"/>
        <v>0</v>
      </c>
      <c r="AD19" s="203">
        <f t="shared" si="8"/>
        <v>0</v>
      </c>
      <c r="AE19" s="37" t="str">
        <f t="shared" si="9"/>
        <v/>
      </c>
      <c r="AF19" s="202">
        <f t="shared" si="10"/>
        <v>0</v>
      </c>
      <c r="AG19" s="201">
        <f t="shared" si="11"/>
        <v>0</v>
      </c>
      <c r="AH19" s="61">
        <f t="shared" si="12"/>
        <v>6.3199999999999994</v>
      </c>
      <c r="AI19" s="443">
        <f t="shared" si="65"/>
        <v>0</v>
      </c>
      <c r="AJ19" s="444">
        <f t="shared" si="13"/>
        <v>0</v>
      </c>
      <c r="AK19" s="445">
        <f t="shared" si="14"/>
        <v>0</v>
      </c>
      <c r="AL19" s="446">
        <f t="shared" si="15"/>
        <v>0</v>
      </c>
      <c r="AM19" s="447">
        <f t="shared" si="16"/>
        <v>0</v>
      </c>
      <c r="AN19" s="24">
        <f t="shared" si="17"/>
        <v>6.3199999999999994</v>
      </c>
      <c r="AO19" s="443">
        <f t="shared" si="18"/>
        <v>0</v>
      </c>
      <c r="AP19" s="444">
        <f t="shared" si="19"/>
        <v>0</v>
      </c>
      <c r="AQ19" s="445">
        <f t="shared" si="20"/>
        <v>0</v>
      </c>
      <c r="AR19" s="446">
        <f t="shared" si="21"/>
        <v>0</v>
      </c>
      <c r="AS19" s="447">
        <f t="shared" si="22"/>
        <v>0</v>
      </c>
      <c r="AT19" s="24">
        <f t="shared" si="23"/>
        <v>6.3199999999999994</v>
      </c>
      <c r="AU19" s="443">
        <f t="shared" si="24"/>
        <v>0</v>
      </c>
      <c r="AV19" s="444">
        <f t="shared" si="25"/>
        <v>0</v>
      </c>
      <c r="AW19" s="445">
        <f t="shared" si="26"/>
        <v>0</v>
      </c>
      <c r="AX19" s="446">
        <f t="shared" si="27"/>
        <v>0</v>
      </c>
      <c r="AY19" s="447">
        <f t="shared" si="28"/>
        <v>0</v>
      </c>
      <c r="AZ19" s="24">
        <f t="shared" si="29"/>
        <v>6.3199999999999994</v>
      </c>
      <c r="BA19" s="43">
        <f>IF(BB19=0,0,
IF(D19=1,
(IF(AND(AH19&gt;'Данные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"ошибка_1"))))))),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"ошибка_2"))))))))</f>
        <v>0</v>
      </c>
      <c r="BB19" s="43">
        <f>IF(OR($AI$9=0,AND(D19&gt;1,F19&gt;10)),0,
IF(D19=1,
(IF(AND(AH19&gt;'Данные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"ошибка_1"))))))),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IF(AND(AH19&gt;'Данные ТНПА'!#REF!,AH19&lt;='Данные ТНПА'!#REF!),'Данные ТНПА'!#REF!,
"ошибка_2"))))))))</f>
        <v>0</v>
      </c>
      <c r="BC19" s="43">
        <f t="shared" si="30"/>
        <v>6.3199999999999994</v>
      </c>
      <c r="BD19" s="237">
        <f t="shared" si="31"/>
        <v>0</v>
      </c>
      <c r="BE19" s="43">
        <f t="shared" si="32"/>
        <v>0</v>
      </c>
      <c r="BF19" s="201">
        <f t="shared" si="33"/>
        <v>0</v>
      </c>
      <c r="BG19" s="201">
        <f t="shared" si="34"/>
        <v>0</v>
      </c>
      <c r="BH19" s="61">
        <f t="shared" si="35"/>
        <v>6.3199999999999994</v>
      </c>
      <c r="BI19" s="237">
        <f t="shared" si="36"/>
        <v>0</v>
      </c>
      <c r="BJ19" s="247">
        <f t="shared" si="37"/>
        <v>0</v>
      </c>
      <c r="BK19" s="431">
        <f t="shared" si="38"/>
        <v>0</v>
      </c>
      <c r="BL19" s="250">
        <f t="shared" si="39"/>
        <v>0</v>
      </c>
      <c r="BM19" s="237">
        <f t="shared" si="40"/>
        <v>0</v>
      </c>
      <c r="BN19" s="452">
        <f t="shared" si="41"/>
        <v>6.3199999999999994</v>
      </c>
      <c r="BO19" s="237">
        <f t="shared" si="42"/>
        <v>0</v>
      </c>
      <c r="BP19" s="432">
        <f t="shared" si="43"/>
        <v>0</v>
      </c>
      <c r="BQ19" s="22" t="str">
        <f t="shared" si="44"/>
        <v/>
      </c>
      <c r="BR19" s="250">
        <f t="shared" si="45"/>
        <v>0</v>
      </c>
      <c r="BS19" s="237">
        <f t="shared" si="46"/>
        <v>0</v>
      </c>
      <c r="BT19" s="452">
        <f t="shared" si="47"/>
        <v>6.3199999999999994</v>
      </c>
      <c r="BU19" s="492">
        <f t="shared" si="48"/>
        <v>1.1749999999999998</v>
      </c>
      <c r="BV19" s="493">
        <f>IF(BT19="","",
IF(AND(BT19&gt;'Данные ТНПА'!$K$8,BT19&lt;='Данные ТНПА'!$L$8),'Данные ТНПА'!$N$8,
IF(AND(BT19&gt;'Данные ТНПА'!$K$9,BT19&lt;='Данные ТНПА'!$L$9),'Данные ТНПА'!$N$9,
IF(AND(BT19&gt;'Данные ТНПА'!$K$10,BT19&lt;='Данные ТНПА'!$L$10),'Данные ТНПА'!$N$10,
IF(AND(BT19&gt;'Данные ТНПА'!$K$11,BT19&lt;='Данные ТНПА'!$L$11),'Данные ТНПА'!$N$11,
IF(AND(BT19&gt;'Данные ТНПА'!$K$12,BT19&lt;='Данные ТНПА'!$L$12),'Данные ТНПА'!$N$12,
IF(AND(BT19&gt;'Данные ТНПА'!$K$13,BT19&lt;='Данные ТНПА'!$L$13),'Данные ТНПА'!$N$13,
IF(AND(BT19&gt;'Данные ТНПА'!$K$14,BT19&lt;='Данные ТНПА'!$L$14),'Данные ТНПА'!$N$14))))))))</f>
        <v>1.5</v>
      </c>
      <c r="BW19" s="493">
        <f t="shared" si="49"/>
        <v>9.32</v>
      </c>
      <c r="BX19" s="457">
        <f t="shared" si="50"/>
        <v>0</v>
      </c>
      <c r="BY19" s="457">
        <f t="shared" si="51"/>
        <v>142.24</v>
      </c>
      <c r="BZ19" s="457">
        <f t="shared" si="52"/>
        <v>20.535083212042757</v>
      </c>
      <c r="CA19" s="457" t="e">
        <f t="shared" si="53"/>
        <v>#REF!</v>
      </c>
      <c r="CB19" s="458">
        <f t="shared" si="54"/>
        <v>0</v>
      </c>
      <c r="CC19" s="457">
        <f t="shared" si="55"/>
        <v>0</v>
      </c>
      <c r="CD19" s="457">
        <f t="shared" si="56"/>
        <v>0</v>
      </c>
      <c r="CE19" s="457">
        <f t="shared" si="57"/>
        <v>0</v>
      </c>
      <c r="CF19" s="457">
        <f t="shared" si="58"/>
        <v>0</v>
      </c>
      <c r="CG19" s="458">
        <f t="shared" si="59"/>
        <v>0</v>
      </c>
      <c r="CH19" s="457">
        <f t="shared" si="60"/>
        <v>0</v>
      </c>
      <c r="CI19" s="457">
        <f t="shared" si="61"/>
        <v>0</v>
      </c>
      <c r="CJ19" s="458">
        <f t="shared" si="62"/>
        <v>0</v>
      </c>
      <c r="CK19" s="458">
        <f t="shared" si="63"/>
        <v>53.654883939541641</v>
      </c>
      <c r="CL19" s="457">
        <f t="shared" si="64"/>
        <v>216.42996715158441</v>
      </c>
      <c r="CM19" s="504"/>
      <c r="CN19" s="504"/>
    </row>
    <row r="20" spans="1:92" s="207" customFormat="1" ht="14.25" hidden="1" customHeight="1" x14ac:dyDescent="0.25">
      <c r="A20" s="389" t="str">
        <f>IF(D20="",CONCATENATE("Кабель ",IF(C20="а","А",""),$A$9),CONCATENATE("Кабель ",IF(C20="а","А",""),$A$9," ",D20,"*",F20,IF(G20="ок"," (ож)","")," - ",B20," ",IF(G20="мс"," фас. ",""),$A$2))</f>
        <v>Кабель ВВГ 1*25 (ож) - 0,66 ГОСТ 16442-80</v>
      </c>
      <c r="B20" s="510">
        <v>0.66</v>
      </c>
      <c r="C20" s="415" t="s">
        <v>163</v>
      </c>
      <c r="D20" s="274">
        <v>1</v>
      </c>
      <c r="E20" s="34" t="s">
        <v>40</v>
      </c>
      <c r="F20" s="289">
        <v>25</v>
      </c>
      <c r="G20" s="276" t="s">
        <v>153</v>
      </c>
      <c r="H20" s="460">
        <v>5.6499999999999995</v>
      </c>
      <c r="I20" s="494">
        <v>1</v>
      </c>
      <c r="J20" s="495" t="s">
        <v>40</v>
      </c>
      <c r="K20" s="496">
        <f>ROUNDUP(SQRT(F20/PI()*4),2)</f>
        <v>5.6499999999999995</v>
      </c>
      <c r="L20" s="501">
        <v>7.1000000000000005</v>
      </c>
      <c r="M20" s="474"/>
      <c r="N20" s="474"/>
      <c r="O20" s="474"/>
      <c r="P20" s="474"/>
      <c r="Q20" s="483">
        <f t="shared" si="0"/>
        <v>0.89000000000000012</v>
      </c>
      <c r="R20" s="484">
        <f>IF(B20=0.66,VLOOKUP(F20,'Данные ТНПА'!$B$8:$C$16,2,0),
IF(B20=1,VLOOKUP(F20,'Данные ТНПА'!$B$17:$C$37,2,0),"ошибка"))</f>
        <v>1.1000000000000001</v>
      </c>
      <c r="S20" s="485">
        <f t="shared" si="1"/>
        <v>7.43</v>
      </c>
      <c r="T20" s="486"/>
      <c r="U20" s="487"/>
      <c r="V20" s="485">
        <f t="shared" si="2"/>
        <v>7.85</v>
      </c>
      <c r="W20" s="486"/>
      <c r="X20" s="487"/>
      <c r="Y20" s="489">
        <f t="shared" si="3"/>
        <v>0</v>
      </c>
      <c r="Z20" s="491">
        <f t="shared" si="4"/>
        <v>7.85</v>
      </c>
      <c r="AA20" s="237">
        <f t="shared" si="5"/>
        <v>0</v>
      </c>
      <c r="AB20" s="452">
        <f t="shared" si="6"/>
        <v>7.85</v>
      </c>
      <c r="AC20" s="201">
        <f t="shared" si="7"/>
        <v>0</v>
      </c>
      <c r="AD20" s="203">
        <f t="shared" si="8"/>
        <v>0</v>
      </c>
      <c r="AE20" s="37" t="str">
        <f t="shared" si="9"/>
        <v/>
      </c>
      <c r="AF20" s="202">
        <f t="shared" si="10"/>
        <v>0</v>
      </c>
      <c r="AG20" s="201">
        <f t="shared" si="11"/>
        <v>0</v>
      </c>
      <c r="AH20" s="61">
        <f t="shared" si="12"/>
        <v>7.85</v>
      </c>
      <c r="AI20" s="443">
        <f t="shared" si="65"/>
        <v>0</v>
      </c>
      <c r="AJ20" s="444">
        <f t="shared" si="13"/>
        <v>0</v>
      </c>
      <c r="AK20" s="445">
        <f t="shared" si="14"/>
        <v>0</v>
      </c>
      <c r="AL20" s="446">
        <f t="shared" si="15"/>
        <v>0</v>
      </c>
      <c r="AM20" s="447">
        <f t="shared" si="16"/>
        <v>0</v>
      </c>
      <c r="AN20" s="24">
        <f t="shared" si="17"/>
        <v>7.85</v>
      </c>
      <c r="AO20" s="443">
        <f t="shared" si="18"/>
        <v>0</v>
      </c>
      <c r="AP20" s="444">
        <f t="shared" si="19"/>
        <v>0</v>
      </c>
      <c r="AQ20" s="445">
        <f t="shared" si="20"/>
        <v>0</v>
      </c>
      <c r="AR20" s="446">
        <f t="shared" si="21"/>
        <v>0</v>
      </c>
      <c r="AS20" s="447">
        <f t="shared" si="22"/>
        <v>0</v>
      </c>
      <c r="AT20" s="24">
        <f t="shared" si="23"/>
        <v>7.85</v>
      </c>
      <c r="AU20" s="443">
        <f t="shared" si="24"/>
        <v>0</v>
      </c>
      <c r="AV20" s="444">
        <f t="shared" si="25"/>
        <v>0</v>
      </c>
      <c r="AW20" s="445">
        <f t="shared" si="26"/>
        <v>0</v>
      </c>
      <c r="AX20" s="446">
        <f t="shared" si="27"/>
        <v>0</v>
      </c>
      <c r="AY20" s="447">
        <f t="shared" si="28"/>
        <v>0</v>
      </c>
      <c r="AZ20" s="24">
        <f t="shared" si="29"/>
        <v>7.85</v>
      </c>
      <c r="BA20" s="43">
        <f>IF(BB20=0,0,
IF(D20=1,
(IF(AND(AH20&gt;'Данные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"ошибка_1"))))))),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"ошибка_2"))))))))</f>
        <v>0</v>
      </c>
      <c r="BB20" s="43">
        <f>IF(OR($AI$9=0,AND(D20&gt;1,F20&gt;10)),0,
IF(D20=1,
(IF(AND(AH20&gt;'Данные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"ошибка_1"))))))),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IF(AND(AH20&gt;'Данные ТНПА'!#REF!,AH20&lt;='Данные ТНПА'!#REF!),'Данные ТНПА'!#REF!,
"ошибка_2"))))))))</f>
        <v>0</v>
      </c>
      <c r="BC20" s="43">
        <f t="shared" si="30"/>
        <v>7.85</v>
      </c>
      <c r="BD20" s="237">
        <f t="shared" si="31"/>
        <v>0</v>
      </c>
      <c r="BE20" s="43">
        <f t="shared" si="32"/>
        <v>0</v>
      </c>
      <c r="BF20" s="201">
        <f t="shared" si="33"/>
        <v>0</v>
      </c>
      <c r="BG20" s="201">
        <f t="shared" si="34"/>
        <v>0</v>
      </c>
      <c r="BH20" s="61">
        <f t="shared" si="35"/>
        <v>7.85</v>
      </c>
      <c r="BI20" s="237">
        <f t="shared" si="36"/>
        <v>0</v>
      </c>
      <c r="BJ20" s="247">
        <f t="shared" si="37"/>
        <v>0</v>
      </c>
      <c r="BK20" s="431">
        <f t="shared" si="38"/>
        <v>0</v>
      </c>
      <c r="BL20" s="250">
        <f t="shared" si="39"/>
        <v>0</v>
      </c>
      <c r="BM20" s="237">
        <f t="shared" si="40"/>
        <v>0</v>
      </c>
      <c r="BN20" s="452">
        <f t="shared" si="41"/>
        <v>7.85</v>
      </c>
      <c r="BO20" s="237">
        <f t="shared" si="42"/>
        <v>0</v>
      </c>
      <c r="BP20" s="432">
        <f t="shared" si="43"/>
        <v>0</v>
      </c>
      <c r="BQ20" s="22" t="str">
        <f t="shared" si="44"/>
        <v/>
      </c>
      <c r="BR20" s="250">
        <f t="shared" si="45"/>
        <v>0</v>
      </c>
      <c r="BS20" s="237">
        <f t="shared" si="46"/>
        <v>0</v>
      </c>
      <c r="BT20" s="452">
        <f t="shared" si="47"/>
        <v>7.85</v>
      </c>
      <c r="BU20" s="492">
        <f t="shared" si="48"/>
        <v>1.1749999999999998</v>
      </c>
      <c r="BV20" s="493">
        <f>IF(BT20="","",
IF(AND(BT20&gt;'Данные ТНПА'!$K$8,BT20&lt;='Данные ТНПА'!$L$8),'Данные ТНПА'!$N$8,
IF(AND(BT20&gt;'Данные ТНПА'!$K$9,BT20&lt;='Данные ТНПА'!$L$9),'Данные ТНПА'!$N$9,
IF(AND(BT20&gt;'Данные ТНПА'!$K$10,BT20&lt;='Данные ТНПА'!$L$10),'Данные ТНПА'!$N$10,
IF(AND(BT20&gt;'Данные ТНПА'!$K$11,BT20&lt;='Данные ТНПА'!$L$11),'Данные ТНПА'!$N$11,
IF(AND(BT20&gt;'Данные ТНПА'!$K$12,BT20&lt;='Данные ТНПА'!$L$12),'Данные ТНПА'!$N$12,
IF(AND(BT20&gt;'Данные ТНПА'!$K$13,BT20&lt;='Данные ТНПА'!$L$13),'Данные ТНПА'!$N$13,
IF(AND(BT20&gt;'Данные ТНПА'!$K$14,BT20&lt;='Данные ТНПА'!$L$14),'Данные ТНПА'!$N$14))))))))</f>
        <v>1.5</v>
      </c>
      <c r="BW20" s="493">
        <f t="shared" si="49"/>
        <v>10.85</v>
      </c>
      <c r="BX20" s="457">
        <f t="shared" si="50"/>
        <v>0</v>
      </c>
      <c r="BY20" s="457">
        <f t="shared" si="51"/>
        <v>222.25</v>
      </c>
      <c r="BZ20" s="457">
        <f t="shared" si="52"/>
        <v>31.257276106891648</v>
      </c>
      <c r="CA20" s="457" t="e">
        <f t="shared" si="53"/>
        <v>#REF!</v>
      </c>
      <c r="CB20" s="458">
        <f t="shared" si="54"/>
        <v>0</v>
      </c>
      <c r="CC20" s="457">
        <f t="shared" si="55"/>
        <v>0</v>
      </c>
      <c r="CD20" s="457">
        <f t="shared" si="56"/>
        <v>0</v>
      </c>
      <c r="CE20" s="457">
        <f t="shared" si="57"/>
        <v>0</v>
      </c>
      <c r="CF20" s="457">
        <f t="shared" si="58"/>
        <v>0</v>
      </c>
      <c r="CG20" s="458">
        <f t="shared" si="59"/>
        <v>0</v>
      </c>
      <c r="CH20" s="457">
        <f t="shared" si="60"/>
        <v>0</v>
      </c>
      <c r="CI20" s="457">
        <f t="shared" si="61"/>
        <v>0</v>
      </c>
      <c r="CJ20" s="458">
        <f t="shared" si="62"/>
        <v>0</v>
      </c>
      <c r="CK20" s="458">
        <f t="shared" si="63"/>
        <v>64.152578623365002</v>
      </c>
      <c r="CL20" s="457">
        <f t="shared" si="64"/>
        <v>317.65985473025665</v>
      </c>
      <c r="CM20" s="504"/>
      <c r="CN20" s="504"/>
    </row>
    <row r="21" spans="1:92" s="207" customFormat="1" ht="14.25" hidden="1" customHeight="1" x14ac:dyDescent="0.25">
      <c r="A21" s="389" t="str">
        <f>IF(D21="",CONCATENATE("Кабель ",IF(C21="а","А",""),$A$9),CONCATENATE("Кабель ",IF(C21="а","А",""),$A$9," ",D21,"*",F21,IF(G21="ок"," (ож)","")," - ",B21," ",IF(G21="мс"," фас. ",""),$A$2))</f>
        <v>Кабель ВВГ 1*35 (ож) - 0,66 ГОСТ 16442-80</v>
      </c>
      <c r="B21" s="449">
        <v>0.66</v>
      </c>
      <c r="C21" s="415" t="s">
        <v>163</v>
      </c>
      <c r="D21" s="274">
        <v>1</v>
      </c>
      <c r="E21" s="34" t="s">
        <v>40</v>
      </c>
      <c r="F21" s="289">
        <v>35</v>
      </c>
      <c r="G21" s="276" t="s">
        <v>153</v>
      </c>
      <c r="H21" s="460">
        <v>6.68</v>
      </c>
      <c r="I21" s="494">
        <v>1</v>
      </c>
      <c r="J21" s="495" t="s">
        <v>40</v>
      </c>
      <c r="K21" s="496">
        <f>ROUNDUP(SQRT(F21/PI()*4),2)</f>
        <v>6.68</v>
      </c>
      <c r="L21" s="501">
        <v>8.15</v>
      </c>
      <c r="M21" s="474"/>
      <c r="N21" s="474"/>
      <c r="O21" s="474"/>
      <c r="P21" s="474"/>
      <c r="Q21" s="483">
        <f t="shared" si="0"/>
        <v>0.89000000000000012</v>
      </c>
      <c r="R21" s="484">
        <f>IF(B21=0.66,VLOOKUP(F21,'Данные ТНПА'!$B$8:$C$16,2,0),
IF(B21=1,VLOOKUP(F21,'Данные ТНПА'!$B$17:$C$37,2,0),"ошибка"))</f>
        <v>1.1000000000000001</v>
      </c>
      <c r="S21" s="485">
        <f t="shared" si="1"/>
        <v>8.4600000000000009</v>
      </c>
      <c r="T21" s="486"/>
      <c r="U21" s="487"/>
      <c r="V21" s="485">
        <f t="shared" si="2"/>
        <v>8.879999999999999</v>
      </c>
      <c r="W21" s="486"/>
      <c r="X21" s="487"/>
      <c r="Y21" s="489">
        <f t="shared" si="3"/>
        <v>0</v>
      </c>
      <c r="Z21" s="491">
        <f t="shared" si="4"/>
        <v>8.879999999999999</v>
      </c>
      <c r="AA21" s="237">
        <f t="shared" si="5"/>
        <v>0</v>
      </c>
      <c r="AB21" s="452">
        <f t="shared" si="6"/>
        <v>8.879999999999999</v>
      </c>
      <c r="AC21" s="201">
        <f t="shared" si="7"/>
        <v>0</v>
      </c>
      <c r="AD21" s="203">
        <f t="shared" si="8"/>
        <v>0</v>
      </c>
      <c r="AE21" s="37" t="str">
        <f t="shared" si="9"/>
        <v/>
      </c>
      <c r="AF21" s="202">
        <f t="shared" si="10"/>
        <v>0</v>
      </c>
      <c r="AG21" s="201">
        <f t="shared" si="11"/>
        <v>0</v>
      </c>
      <c r="AH21" s="61">
        <f t="shared" si="12"/>
        <v>8.879999999999999</v>
      </c>
      <c r="AI21" s="443">
        <f t="shared" si="65"/>
        <v>0</v>
      </c>
      <c r="AJ21" s="444">
        <f t="shared" si="13"/>
        <v>0</v>
      </c>
      <c r="AK21" s="445">
        <f t="shared" si="14"/>
        <v>0</v>
      </c>
      <c r="AL21" s="446">
        <f t="shared" si="15"/>
        <v>0</v>
      </c>
      <c r="AM21" s="447">
        <f t="shared" si="16"/>
        <v>0</v>
      </c>
      <c r="AN21" s="24">
        <f t="shared" si="17"/>
        <v>8.879999999999999</v>
      </c>
      <c r="AO21" s="443">
        <f t="shared" si="18"/>
        <v>0</v>
      </c>
      <c r="AP21" s="444">
        <f t="shared" si="19"/>
        <v>0</v>
      </c>
      <c r="AQ21" s="445">
        <f t="shared" si="20"/>
        <v>0</v>
      </c>
      <c r="AR21" s="446">
        <f t="shared" si="21"/>
        <v>0</v>
      </c>
      <c r="AS21" s="447">
        <f t="shared" si="22"/>
        <v>0</v>
      </c>
      <c r="AT21" s="24">
        <f t="shared" si="23"/>
        <v>8.879999999999999</v>
      </c>
      <c r="AU21" s="443">
        <f t="shared" si="24"/>
        <v>0</v>
      </c>
      <c r="AV21" s="444">
        <f t="shared" si="25"/>
        <v>0</v>
      </c>
      <c r="AW21" s="445">
        <f t="shared" si="26"/>
        <v>0</v>
      </c>
      <c r="AX21" s="446">
        <f t="shared" si="27"/>
        <v>0</v>
      </c>
      <c r="AY21" s="447">
        <f t="shared" si="28"/>
        <v>0</v>
      </c>
      <c r="AZ21" s="24">
        <f t="shared" si="29"/>
        <v>8.879999999999999</v>
      </c>
      <c r="BA21" s="43">
        <f>IF(BB21=0,0,
IF(D21=1,
(IF(AND(AH21&gt;'Данные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"ошибка_1"))))))),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"ошибка_2"))))))))</f>
        <v>0</v>
      </c>
      <c r="BB21" s="43">
        <f>IF(OR($AI$9=0,AND(D21&gt;1,F21&gt;10)),0,
IF(D21=1,
(IF(AND(AH21&gt;'Данные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"ошибка_1"))))))),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IF(AND(AH21&gt;'Данные ТНПА'!#REF!,AH21&lt;='Данные ТНПА'!#REF!),'Данные ТНПА'!#REF!,
"ошибка_2"))))))))</f>
        <v>0</v>
      </c>
      <c r="BC21" s="43">
        <f t="shared" si="30"/>
        <v>8.879999999999999</v>
      </c>
      <c r="BD21" s="237">
        <f t="shared" si="31"/>
        <v>0</v>
      </c>
      <c r="BE21" s="43">
        <f t="shared" si="32"/>
        <v>0</v>
      </c>
      <c r="BF21" s="201">
        <f t="shared" si="33"/>
        <v>0</v>
      </c>
      <c r="BG21" s="201">
        <f t="shared" si="34"/>
        <v>0</v>
      </c>
      <c r="BH21" s="61">
        <f t="shared" si="35"/>
        <v>8.879999999999999</v>
      </c>
      <c r="BI21" s="237">
        <f t="shared" si="36"/>
        <v>0</v>
      </c>
      <c r="BJ21" s="247">
        <f t="shared" si="37"/>
        <v>0</v>
      </c>
      <c r="BK21" s="431">
        <f t="shared" si="38"/>
        <v>0</v>
      </c>
      <c r="BL21" s="250">
        <f t="shared" si="39"/>
        <v>0</v>
      </c>
      <c r="BM21" s="237">
        <f t="shared" si="40"/>
        <v>0</v>
      </c>
      <c r="BN21" s="452">
        <f t="shared" si="41"/>
        <v>8.879999999999999</v>
      </c>
      <c r="BO21" s="237">
        <f t="shared" si="42"/>
        <v>0</v>
      </c>
      <c r="BP21" s="432">
        <f t="shared" si="43"/>
        <v>0</v>
      </c>
      <c r="BQ21" s="22" t="str">
        <f t="shared" si="44"/>
        <v/>
      </c>
      <c r="BR21" s="250">
        <f t="shared" si="45"/>
        <v>0</v>
      </c>
      <c r="BS21" s="237">
        <f t="shared" si="46"/>
        <v>0</v>
      </c>
      <c r="BT21" s="452">
        <f t="shared" si="47"/>
        <v>8.879999999999999</v>
      </c>
      <c r="BU21" s="492">
        <f t="shared" si="48"/>
        <v>1.1749999999999998</v>
      </c>
      <c r="BV21" s="493">
        <f>IF(BT21="","",
IF(AND(BT21&gt;'Данные ТНПА'!$K$8,BT21&lt;='Данные ТНПА'!$L$8),'Данные ТНПА'!$N$8,
IF(AND(BT21&gt;'Данные ТНПА'!$K$9,BT21&lt;='Данные ТНПА'!$L$9),'Данные ТНПА'!$N$9,
IF(AND(BT21&gt;'Данные ТНПА'!$K$10,BT21&lt;='Данные ТНПА'!$L$10),'Данные ТНПА'!$N$10,
IF(AND(BT21&gt;'Данные ТНПА'!$K$11,BT21&lt;='Данные ТНПА'!$L$11),'Данные ТНПА'!$N$11,
IF(AND(BT21&gt;'Данные ТНПА'!$K$12,BT21&lt;='Данные ТНПА'!$L$12),'Данные ТНПА'!$N$12,
IF(AND(BT21&gt;'Данные ТНПА'!$K$13,BT21&lt;='Данные ТНПА'!$L$13),'Данные ТНПА'!$N$13,
IF(AND(BT21&gt;'Данные ТНПА'!$K$14,BT21&lt;='Данные ТНПА'!$L$14),'Данные ТНПА'!$N$14))))))))</f>
        <v>1.5</v>
      </c>
      <c r="BW21" s="493">
        <f t="shared" si="49"/>
        <v>11.879999999999999</v>
      </c>
      <c r="BX21" s="457">
        <f t="shared" si="50"/>
        <v>0</v>
      </c>
      <c r="BY21" s="457">
        <f t="shared" si="51"/>
        <v>311.15000000000003</v>
      </c>
      <c r="BZ21" s="457">
        <f t="shared" si="52"/>
        <v>36.026904905424743</v>
      </c>
      <c r="CA21" s="457" t="e">
        <f t="shared" si="53"/>
        <v>#REF!</v>
      </c>
      <c r="CB21" s="458">
        <f t="shared" si="54"/>
        <v>0</v>
      </c>
      <c r="CC21" s="457">
        <f t="shared" si="55"/>
        <v>0</v>
      </c>
      <c r="CD21" s="457">
        <f t="shared" si="56"/>
        <v>0</v>
      </c>
      <c r="CE21" s="457">
        <f t="shared" si="57"/>
        <v>0</v>
      </c>
      <c r="CF21" s="457">
        <f t="shared" si="58"/>
        <v>0</v>
      </c>
      <c r="CG21" s="458">
        <f t="shared" si="59"/>
        <v>0</v>
      </c>
      <c r="CH21" s="457">
        <f t="shared" si="60"/>
        <v>0</v>
      </c>
      <c r="CI21" s="457">
        <f t="shared" si="61"/>
        <v>0</v>
      </c>
      <c r="CJ21" s="458">
        <f t="shared" si="62"/>
        <v>0</v>
      </c>
      <c r="CK21" s="458">
        <f t="shared" si="63"/>
        <v>71.21965412946831</v>
      </c>
      <c r="CL21" s="457">
        <f t="shared" si="64"/>
        <v>418.39655903489307</v>
      </c>
      <c r="CM21" s="504"/>
      <c r="CN21" s="504"/>
    </row>
    <row r="22" spans="1:92" s="207" customFormat="1" ht="14.25" hidden="1" customHeight="1" x14ac:dyDescent="0.25">
      <c r="A22" s="389" t="str">
        <f>IF(D22="",CONCATENATE("Кабель ",IF(C22="а","А",""),$A$9),CONCATENATE("Кабель ",IF(C22="а","А",""),$A$9," ",D22,"*",F22,IF(G22="ок"," (ож)","")," - ",B22," ",IF(G22="мс"," фас. ",""),$A$2))</f>
        <v>Кабель ВВГ 2*16 - 0,66 ГОСТ 16442-80</v>
      </c>
      <c r="B22" s="511">
        <v>0.66</v>
      </c>
      <c r="C22" s="451" t="s">
        <v>163</v>
      </c>
      <c r="D22" s="274">
        <v>2</v>
      </c>
      <c r="E22" s="34" t="s">
        <v>40</v>
      </c>
      <c r="F22" s="289">
        <v>16</v>
      </c>
      <c r="G22" s="276" t="s">
        <v>154</v>
      </c>
      <c r="H22" s="460">
        <v>1.77</v>
      </c>
      <c r="I22" s="468">
        <v>7</v>
      </c>
      <c r="J22" s="469" t="s">
        <v>40</v>
      </c>
      <c r="K22" s="470">
        <f>ROUNDUP(SQRT(F22/I22/PI()*4*1.07),2)</f>
        <v>1.77</v>
      </c>
      <c r="L22" s="501">
        <v>1.39</v>
      </c>
      <c r="M22" s="466"/>
      <c r="N22" s="466"/>
      <c r="O22" s="466"/>
      <c r="P22" s="466"/>
      <c r="Q22" s="483">
        <f t="shared" ref="Q22:Q33" si="66">0.9*R22-0.1</f>
        <v>0.71000000000000008</v>
      </c>
      <c r="R22" s="484">
        <f>IF(B22=0.66,VLOOKUP(F22,'Данные ТНПА'!$B$8:$C$16,2,0),
IF(B22=1,VLOOKUP(F22,'Данные ТНПА'!$B$17:$C$37,2,0),"ошибка"))</f>
        <v>0.9</v>
      </c>
      <c r="S22" s="485">
        <f t="shared" si="1"/>
        <v>2.81</v>
      </c>
      <c r="T22" s="486"/>
      <c r="U22" s="487"/>
      <c r="V22" s="485">
        <f t="shared" si="2"/>
        <v>3.19</v>
      </c>
      <c r="W22" s="486"/>
      <c r="X22" s="487"/>
      <c r="Y22" s="489">
        <f t="shared" si="3"/>
        <v>0</v>
      </c>
      <c r="Z22" s="491">
        <f t="shared" si="4"/>
        <v>6.38</v>
      </c>
      <c r="AA22" s="237">
        <f t="shared" si="5"/>
        <v>0</v>
      </c>
      <c r="AB22" s="452">
        <f t="shared" ref="AB22:AB33" si="67">IF(Z22="","",Z22)</f>
        <v>6.38</v>
      </c>
      <c r="AC22" s="201">
        <f t="shared" si="7"/>
        <v>0</v>
      </c>
      <c r="AD22" s="203">
        <f t="shared" ref="AD22:AD33" si="68">IF(AC22="","",IF(AC22&gt;0,IF(AND(Z22&gt;=10,Z22&lt;=20),0.035,IF(Z22&gt;20,0.05,"ошибка")),0))</f>
        <v>0</v>
      </c>
      <c r="AE22" s="37" t="str">
        <f t="shared" si="9"/>
        <v/>
      </c>
      <c r="AF22" s="202">
        <f t="shared" ref="AF22:AF33" si="69">IF(AC22="","",IF(AC22&gt;0,IF(AND(Z22&gt;=10,Z22&lt;=20),50,IF(Z22&gt;20,60,"ошибка")),0))</f>
        <v>0</v>
      </c>
      <c r="AG22" s="201">
        <f t="shared" ref="AG22:AG33" si="70">IF(AC22="","",IF(AC22&gt;0,IF(AND(Z22&gt;=10,Z22&lt;=13),40,IF(AND(Z22&gt;=13,Z22&lt;=16),30,IF(Z22&gt;16,25,"ошибка"))),0))</f>
        <v>0</v>
      </c>
      <c r="AH22" s="61">
        <f t="shared" si="12"/>
        <v>6.38</v>
      </c>
      <c r="AI22" s="443">
        <f t="shared" si="65"/>
        <v>0</v>
      </c>
      <c r="AJ22" s="444">
        <f t="shared" ref="AJ22:AJ33" si="71">IF(AI22=0,0,$AJ$9)</f>
        <v>0</v>
      </c>
      <c r="AK22" s="445">
        <f t="shared" ref="AK22:AK33" si="72">IF(AI22="","",IF(AI22=0,0,"×"))</f>
        <v>0</v>
      </c>
      <c r="AL22" s="446">
        <f t="shared" ref="AL22:AL33" si="73">IF(AI22=0,0,$AL$9)</f>
        <v>0</v>
      </c>
      <c r="AM22" s="447">
        <f t="shared" ref="AM22:AM33" si="74">IF(AI22=0,0,
IF(AND(AH22&gt;10,AH22&lt;=13),55,
IF(AND(AH22&gt;13,AH22&lt;=15),45,
IF(AND(AH22&gt;15,AH22&lt;=18),35,
IF(AND(AH22&gt;18,AH22&lt;=20),30,
IF(AH22&gt;20,15,
0))))))</f>
        <v>0</v>
      </c>
      <c r="AN22" s="24">
        <f t="shared" ref="AN22:AN33" si="75">AH22+2*AI22*AJ22*(IF(AM22&lt;25,1,IF(AM22&gt;33,2,1.5)))</f>
        <v>6.38</v>
      </c>
      <c r="AO22" s="443">
        <f t="shared" si="18"/>
        <v>0</v>
      </c>
      <c r="AP22" s="444">
        <f t="shared" ref="AP22:AP33" si="76">IF(OR(AO22=0,AN22&gt;23),0,$AP$9)</f>
        <v>0</v>
      </c>
      <c r="AQ22" s="445">
        <f t="shared" ref="AQ22:AQ33" si="77">IF(OR(AN22&gt;23,AO22=0),0,"×")</f>
        <v>0</v>
      </c>
      <c r="AR22" s="446">
        <f t="shared" ref="AR22:AR33" si="78">IF(OR(AN22&gt;23,AO22=0),0,$AR$9)</f>
        <v>0</v>
      </c>
      <c r="AS22" s="447">
        <f t="shared" ref="AS22:AS33" si="79">IF(AO22=0,0,
IF(AND(AH22&gt;10,AH22&lt;=13),55,
IF(AND(AH22&gt;13,AH22&lt;=15),45,
IF(AND(AH22&gt;15,AH22&lt;=18),35,
IF(AND(AH22&gt;18,AH22&lt;=20),30,
IF(AND(AH22&gt;20,AH22&lt;=23),15,
0))))))</f>
        <v>0</v>
      </c>
      <c r="AT22" s="24">
        <f t="shared" ref="AT22:AT33" si="80">AN22+2*AO22*AP22*(IF(AS22&lt;25,1,IF(AS22&gt;33,2,1.5)))</f>
        <v>6.38</v>
      </c>
      <c r="AU22" s="443">
        <f t="shared" si="24"/>
        <v>0</v>
      </c>
      <c r="AV22" s="444">
        <f t="shared" ref="AV22:AV33" si="81">IF(OR(AU22=0,AN22&lt;=23),0,$AV$9)</f>
        <v>0</v>
      </c>
      <c r="AW22" s="445">
        <f t="shared" ref="AW22:AW33" si="82">IF(OR(AN22&lt;=23,AU22=0),0,"×")</f>
        <v>0</v>
      </c>
      <c r="AX22" s="446">
        <f t="shared" ref="AX22:AX33" si="83">IF(OR(AN22&lt;=23,AU22=0),0,$AX$9)</f>
        <v>0</v>
      </c>
      <c r="AY22" s="447">
        <f t="shared" ref="AY22:AY33" si="84">IF(AU22=0,0,15)</f>
        <v>0</v>
      </c>
      <c r="AZ22" s="24">
        <f t="shared" ref="AZ22:AZ33" si="85">AT22+2*AU22*AV22*(IF(AY22&lt;25,1,IF(AY22&gt;33,2,1.5)))</f>
        <v>6.38</v>
      </c>
      <c r="BA22" s="43">
        <f>IF(BB22=0,0,
IF(D22=1,
(IF(AND(AH22&gt;'Данные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"ошибка_1"))))))),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"ошибка_2"))))))))</f>
        <v>0</v>
      </c>
      <c r="BB22" s="43">
        <f>IF(OR($AI$9=0,AND(D22&gt;1,F22&gt;10)),0,
IF(D22=1,
(IF(AND(AH22&gt;'Данные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"ошибка_1"))))))),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IF(AND(AH22&gt;'Данные ТНПА'!#REF!,AH22&lt;='Данные ТНПА'!#REF!),'Данные ТНПА'!#REF!,
"ошибка_2"))))))))</f>
        <v>0</v>
      </c>
      <c r="BC22" s="43">
        <f t="shared" ref="BC22:BC33" si="86">AZ22+2*BB22</f>
        <v>6.38</v>
      </c>
      <c r="BD22" s="237">
        <f t="shared" ref="BD22:BD33" si="87">IF(BC22="","",
IF(BC22=0,0,$BD$9))</f>
        <v>0</v>
      </c>
      <c r="BE22" s="43">
        <f t="shared" ref="BE22:BE33" si="88">IF(BC22="","",
IF(BC22=0,0,$BE$9))</f>
        <v>0</v>
      </c>
      <c r="BF22" s="201">
        <f t="shared" ref="BF22:BF33" si="89">IF(BC22="","",
IF($BD$9=0,0,
IF(BC22&lt;=13,20,
IF(AND(BC22&gt;13,BC22&lt;=18),30,
IF(AND(BC22&gt;18,BC22&lt;=23),40,
IF(AND(BC22&gt;23,BC22&lt;=30),50,
60))))))</f>
        <v>0</v>
      </c>
      <c r="BG22" s="201">
        <f t="shared" ref="BG22:BG33" si="90">IF(BC22="","",$BG$9)</f>
        <v>0</v>
      </c>
      <c r="BH22" s="61">
        <f t="shared" ref="BH22:BH33" si="91">IF(BC22="","",BC22+2*BD22*BE22*IF(BG22&lt;=25,1,IF(BG22&gt;33,2,1.5)))</f>
        <v>6.38</v>
      </c>
      <c r="BI22" s="237">
        <f t="shared" ref="BI22:BI33" si="92">IF(BC22="","",$BI$9)</f>
        <v>0</v>
      </c>
      <c r="BJ22" s="247">
        <f t="shared" ref="BJ22:BJ33" si="93">IF(BC22="","",$BJ$9)</f>
        <v>0</v>
      </c>
      <c r="BK22" s="431">
        <f t="shared" ref="BK22:BK33" si="94">IF(BJ22="","",IF(BJ22&lt;&gt;0,"×",0))</f>
        <v>0</v>
      </c>
      <c r="BL22" s="250">
        <f t="shared" ref="BL22:BL33" si="95">IF(BK22="","",
IF(BJ22&lt;&gt;0,
IF(AND(BC22&gt;7,BC22&lt;=10),15,
IF(AND(BC22&gt;10,BC22&lt;=13),20,
IF(AND(BC22&gt;13,BC22&lt;=21),30,
IF(AND(BC22&gt;21,BC22&lt;=31),40,
IF(AND(BC22&gt;31,BC22&lt;=70),50,
IF(AND(BC22&gt;70,BC22&lt;=80),60,
"ошибка")))))),0))</f>
        <v>0</v>
      </c>
      <c r="BM22" s="237">
        <f t="shared" ref="BM22:BM33" si="96">IF(BL22="","",$BM$9)</f>
        <v>0</v>
      </c>
      <c r="BN22" s="452">
        <f t="shared" ref="BN22:BN33" si="97">IF(BH22="","",BH22+2*BI22*BJ22)</f>
        <v>6.38</v>
      </c>
      <c r="BO22" s="237">
        <f t="shared" ref="BO22:BO33" si="98">IF(BN22="","",$BO$9)</f>
        <v>0</v>
      </c>
      <c r="BP22" s="432">
        <f t="shared" ref="BP22:BP33" si="99">IF(BO22="","",IF(BO22&gt;0,$BP$9,0))</f>
        <v>0</v>
      </c>
      <c r="BQ22" s="22" t="str">
        <f t="shared" ref="BQ22:BQ33" si="100">IF(BP22="","",IF(BP22&gt;0,"×",""))</f>
        <v/>
      </c>
      <c r="BR22" s="250">
        <f t="shared" ref="BR22:BR33" si="101">IF(BN22="","",IF(BO22=0,0,IF(BN22&lt;=19,30,IF(AND(BN22&gt;19,BN22&lt;=23),40,50))))</f>
        <v>0</v>
      </c>
      <c r="BS22" s="237">
        <f t="shared" ref="BS22:BS33" si="102">IF(BO22="","",IF(BO22=0,0,$BS$9))</f>
        <v>0</v>
      </c>
      <c r="BT22" s="452">
        <f t="shared" ref="BT22:BT33" si="103">IF(BN22="","",BN22+2*BO22*BP22*IF(BS22&lt;=25,1,IF(BS22&gt;33,2,1.5)))</f>
        <v>6.38</v>
      </c>
      <c r="BU22" s="492">
        <f t="shared" ref="BU22:BU33" si="104">0.85*BV22-0.1</f>
        <v>1.1749999999999998</v>
      </c>
      <c r="BV22" s="493">
        <f>IF(BT22="","",
IF(AND(BT22&gt;'Данные ТНПА'!$K$8,BT22&lt;='Данные ТНПА'!$L$8),'Данные ТНПА'!$N$8,
IF(AND(BT22&gt;'Данные ТНПА'!$K$9,BT22&lt;='Данные ТНПА'!$L$9),'Данные ТНПА'!$N$9,
IF(AND(BT22&gt;'Данные ТНПА'!$K$10,BT22&lt;='Данные ТНПА'!$L$10),'Данные ТНПА'!$N$10,
IF(AND(BT22&gt;'Данные ТНПА'!$K$11,BT22&lt;='Данные ТНПА'!$L$11),'Данные ТНПА'!$N$11,
IF(AND(BT22&gt;'Данные ТНПА'!$K$12,BT22&lt;='Данные ТНПА'!$L$12),'Данные ТНПА'!$N$12,
IF(AND(BT22&gt;'Данные ТНПА'!$K$13,BT22&lt;='Данные ТНПА'!$L$13),'Данные ТНПА'!$N$13,
IF(AND(BT22&gt;'Данные ТНПА'!$K$14,BT22&lt;='Данные ТНПА'!$L$14),'Данные ТНПА'!$N$14))))))))</f>
        <v>1.5</v>
      </c>
      <c r="BW22" s="493">
        <f t="shared" ref="BW22:BW33" si="105">BT22+2*BV22</f>
        <v>9.379999999999999</v>
      </c>
      <c r="BX22" s="457">
        <f t="shared" si="50"/>
        <v>0</v>
      </c>
      <c r="BY22" s="457">
        <f t="shared" si="51"/>
        <v>286.47136</v>
      </c>
      <c r="BZ22" s="457">
        <f t="shared" si="52"/>
        <v>19.221391045540095</v>
      </c>
      <c r="CA22" s="457" t="e">
        <f t="shared" ref="CA22:CA33" si="106">PI()*POWER(Y22,2)/4*$CA$9</f>
        <v>#REF!</v>
      </c>
      <c r="CB22" s="458">
        <f t="shared" ref="CB22:CB33" si="107">IF(AA22="","",
IF(AA22=2,SQRT((Z22*PI()/50)^2+1)*$CB$9*AA22,0))</f>
        <v>0</v>
      </c>
      <c r="CC22" s="457">
        <f t="shared" ref="CC22:CC33" si="108">PI()*(Z22+AC22*AD22)*AC22*AD22*$CC$9*ROUND(100/(100-AG22),2)</f>
        <v>0</v>
      </c>
      <c r="CD22" s="457">
        <f t="shared" ref="CD22:CD33" si="109">PI()*(AH22+AI22*AJ22)*AI22*AJ22*$CD$9*ROUND(100/(100-AM22),2)</f>
        <v>0</v>
      </c>
      <c r="CE22" s="457">
        <f t="shared" ref="CE22:CE33" si="110">PI()*(AN22+AO22*AP22)*AO22*AP22*$CE$9*ROUND(100/(100-AS22),2)</f>
        <v>0</v>
      </c>
      <c r="CF22" s="457">
        <f t="shared" ref="CF22:CF33" si="111">PI()*(AT22+AU22*AV22)*AU22*AV22*$CF$9*ROUND(100/(100-AY22),2)</f>
        <v>0</v>
      </c>
      <c r="CG22" s="458">
        <f t="shared" si="59"/>
        <v>0</v>
      </c>
      <c r="CH22" s="457">
        <f t="shared" ref="CH22:CH33" si="112">IF(BE22="","",
IF(BD22=0,0,
PI()*(BC22+BD22*BE22)*BD22*BE22*$CH$9*ROUND(100/(100-BG22),2)))</f>
        <v>0</v>
      </c>
      <c r="CI22" s="457">
        <f t="shared" ref="CI22:CI33" si="113">IF(BH22="","",
PI()*(BH22+BI22*BJ22)*BI22*BJ22*$CI$9*ROUND(100/(100+BM22),2))</f>
        <v>0</v>
      </c>
      <c r="CJ22" s="458">
        <f t="shared" ref="CJ22:CJ33" si="114">IF(BO22="","",PI()*(BN22+BO22*BP22)*BO22*BP22*$CJ$9*ROUND(100/(100-BS22),2))</f>
        <v>0</v>
      </c>
      <c r="CK22" s="458">
        <f t="shared" si="63"/>
        <v>54.066558240868055</v>
      </c>
      <c r="CL22" s="457">
        <f t="shared" si="64"/>
        <v>359.75930928640815</v>
      </c>
      <c r="CM22" s="504"/>
      <c r="CN22" s="504"/>
    </row>
    <row r="23" spans="1:92" s="207" customFormat="1" ht="14.25" hidden="1" customHeight="1" x14ac:dyDescent="0.25">
      <c r="A23" s="389" t="str">
        <f>IF(D23="",CONCATENATE("Кабель ",IF(C23="а","А",""),$A$9),CONCATENATE("Кабель ",IF(C23="а","А",""),$A$9," ",D23,"*",F23,IF(G23="ок"," (ож)","")," - ",B23," ",IF(G23="мс"," фас. ",""),$A$2))</f>
        <v>Кабель ВВГ 2*25 - 0,66 ГОСТ 16442-80</v>
      </c>
      <c r="B23" s="450">
        <v>0.66</v>
      </c>
      <c r="C23" s="451" t="s">
        <v>163</v>
      </c>
      <c r="D23" s="439">
        <v>2</v>
      </c>
      <c r="E23" s="34" t="s">
        <v>40</v>
      </c>
      <c r="F23" s="289">
        <v>25</v>
      </c>
      <c r="G23" s="276" t="s">
        <v>154</v>
      </c>
      <c r="H23" s="460">
        <v>2.21</v>
      </c>
      <c r="I23" s="468">
        <v>7</v>
      </c>
      <c r="J23" s="469" t="s">
        <v>40</v>
      </c>
      <c r="K23" s="470">
        <f>ROUNDUP(SQRT(F23/I23/PI()*4*1.07),2)</f>
        <v>2.21</v>
      </c>
      <c r="L23" s="501">
        <v>1.79</v>
      </c>
      <c r="M23" s="467"/>
      <c r="N23" s="467"/>
      <c r="O23" s="467"/>
      <c r="P23" s="467"/>
      <c r="Q23" s="483">
        <f t="shared" si="66"/>
        <v>0.89000000000000012</v>
      </c>
      <c r="R23" s="484">
        <f>IF(B23=0.66,VLOOKUP(F23,'Данные ТНПА'!$B$8:$C$16,2,0),
IF(B23=1,VLOOKUP(F23,'Данные ТНПА'!$B$17:$C$37,2,0),"ошибка"))</f>
        <v>1.1000000000000001</v>
      </c>
      <c r="S23" s="485">
        <f t="shared" si="1"/>
        <v>3.5700000000000003</v>
      </c>
      <c r="T23" s="486"/>
      <c r="U23" s="487"/>
      <c r="V23" s="485">
        <f t="shared" si="2"/>
        <v>3.99</v>
      </c>
      <c r="W23" s="486"/>
      <c r="X23" s="487"/>
      <c r="Y23" s="489">
        <f t="shared" si="3"/>
        <v>0</v>
      </c>
      <c r="Z23" s="491">
        <f t="shared" si="4"/>
        <v>7.98</v>
      </c>
      <c r="AA23" s="237">
        <f t="shared" si="5"/>
        <v>0</v>
      </c>
      <c r="AB23" s="452">
        <f t="shared" si="67"/>
        <v>7.98</v>
      </c>
      <c r="AC23" s="201">
        <f t="shared" si="7"/>
        <v>0</v>
      </c>
      <c r="AD23" s="203">
        <f t="shared" si="68"/>
        <v>0</v>
      </c>
      <c r="AE23" s="37" t="str">
        <f t="shared" si="9"/>
        <v/>
      </c>
      <c r="AF23" s="202">
        <f t="shared" si="69"/>
        <v>0</v>
      </c>
      <c r="AG23" s="201">
        <f t="shared" si="70"/>
        <v>0</v>
      </c>
      <c r="AH23" s="61">
        <f t="shared" si="12"/>
        <v>7.98</v>
      </c>
      <c r="AI23" s="443">
        <f>AM26</f>
        <v>0</v>
      </c>
      <c r="AJ23" s="444">
        <f t="shared" si="71"/>
        <v>0</v>
      </c>
      <c r="AK23" s="445">
        <f t="shared" si="72"/>
        <v>0</v>
      </c>
      <c r="AL23" s="446">
        <f t="shared" si="73"/>
        <v>0</v>
      </c>
      <c r="AM23" s="447">
        <f t="shared" si="74"/>
        <v>0</v>
      </c>
      <c r="AN23" s="24">
        <f t="shared" si="75"/>
        <v>7.98</v>
      </c>
      <c r="AO23" s="443">
        <f t="shared" si="18"/>
        <v>0</v>
      </c>
      <c r="AP23" s="444">
        <f t="shared" si="76"/>
        <v>0</v>
      </c>
      <c r="AQ23" s="445">
        <f t="shared" si="77"/>
        <v>0</v>
      </c>
      <c r="AR23" s="446">
        <f t="shared" si="78"/>
        <v>0</v>
      </c>
      <c r="AS23" s="447">
        <f t="shared" si="79"/>
        <v>0</v>
      </c>
      <c r="AT23" s="24">
        <f t="shared" si="80"/>
        <v>7.98</v>
      </c>
      <c r="AU23" s="443">
        <f t="shared" si="24"/>
        <v>0</v>
      </c>
      <c r="AV23" s="444">
        <f t="shared" si="81"/>
        <v>0</v>
      </c>
      <c r="AW23" s="445">
        <f t="shared" si="82"/>
        <v>0</v>
      </c>
      <c r="AX23" s="446">
        <f t="shared" si="83"/>
        <v>0</v>
      </c>
      <c r="AY23" s="447">
        <f t="shared" si="84"/>
        <v>0</v>
      </c>
      <c r="AZ23" s="24">
        <f t="shared" si="85"/>
        <v>7.98</v>
      </c>
      <c r="BA23" s="43">
        <f>IF(BB23=0,0,
IF(D23=1,
(IF(AND(AH23&gt;'Данные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"ошибка_1"))))))),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"ошибка_2"))))))))</f>
        <v>0</v>
      </c>
      <c r="BB23" s="43">
        <f>IF(OR($AI$9=0,AND(D23&gt;1,F23&gt;10)),0,
IF(D23=1,
(IF(AND(AH23&gt;'Данные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"ошибка_1"))))))),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IF(AND(AH23&gt;'Данные ТНПА'!#REF!,AH23&lt;='Данные ТНПА'!#REF!),'Данные ТНПА'!#REF!,
"ошибка_2"))))))))</f>
        <v>0</v>
      </c>
      <c r="BC23" s="43">
        <f t="shared" si="86"/>
        <v>7.98</v>
      </c>
      <c r="BD23" s="237">
        <f t="shared" si="87"/>
        <v>0</v>
      </c>
      <c r="BE23" s="43">
        <f t="shared" si="88"/>
        <v>0</v>
      </c>
      <c r="BF23" s="201">
        <f t="shared" si="89"/>
        <v>0</v>
      </c>
      <c r="BG23" s="201">
        <f t="shared" si="90"/>
        <v>0</v>
      </c>
      <c r="BH23" s="61">
        <f t="shared" si="91"/>
        <v>7.98</v>
      </c>
      <c r="BI23" s="237">
        <f t="shared" si="92"/>
        <v>0</v>
      </c>
      <c r="BJ23" s="247">
        <f t="shared" si="93"/>
        <v>0</v>
      </c>
      <c r="BK23" s="431">
        <f t="shared" si="94"/>
        <v>0</v>
      </c>
      <c r="BL23" s="250">
        <f t="shared" si="95"/>
        <v>0</v>
      </c>
      <c r="BM23" s="237">
        <f t="shared" si="96"/>
        <v>0</v>
      </c>
      <c r="BN23" s="452">
        <f t="shared" si="97"/>
        <v>7.98</v>
      </c>
      <c r="BO23" s="237">
        <f t="shared" si="98"/>
        <v>0</v>
      </c>
      <c r="BP23" s="432">
        <f t="shared" si="99"/>
        <v>0</v>
      </c>
      <c r="BQ23" s="22" t="str">
        <f t="shared" si="100"/>
        <v/>
      </c>
      <c r="BR23" s="250">
        <f t="shared" si="101"/>
        <v>0</v>
      </c>
      <c r="BS23" s="237">
        <f t="shared" si="102"/>
        <v>0</v>
      </c>
      <c r="BT23" s="452">
        <f t="shared" si="103"/>
        <v>7.98</v>
      </c>
      <c r="BU23" s="492">
        <f t="shared" si="104"/>
        <v>1.1749999999999998</v>
      </c>
      <c r="BV23" s="493">
        <f>IF(BT23="","",
IF(AND(BT23&gt;'Данные ТНПА'!$K$8,BT23&lt;='Данные ТНПА'!$L$8),'Данные ТНПА'!$N$8,
IF(AND(BT23&gt;'Данные ТНПА'!$K$9,BT23&lt;='Данные ТНПА'!$L$9),'Данные ТНПА'!$N$9,
IF(AND(BT23&gt;'Данные ТНПА'!$K$10,BT23&lt;='Данные ТНПА'!$L$10),'Данные ТНПА'!$N$10,
IF(AND(BT23&gt;'Данные ТНПА'!$K$11,BT23&lt;='Данные ТНПА'!$L$11),'Данные ТНПА'!$N$11,
IF(AND(BT23&gt;'Данные ТНПА'!$K$12,BT23&lt;='Данные ТНПА'!$L$12),'Данные ТНПА'!$N$12,
IF(AND(BT23&gt;'Данные ТНПА'!$K$13,BT23&lt;='Данные ТНПА'!$L$13),'Данные ТНПА'!$N$13,
IF(AND(BT23&gt;'Данные ТНПА'!$K$14,BT23&lt;='Данные ТНПА'!$L$14),'Данные ТНПА'!$N$14))))))))</f>
        <v>1.5</v>
      </c>
      <c r="BW23" s="493">
        <f t="shared" si="105"/>
        <v>10.98</v>
      </c>
      <c r="BX23" s="457">
        <f t="shared" si="50"/>
        <v>0</v>
      </c>
      <c r="BY23" s="457">
        <f t="shared" si="51"/>
        <v>447.61149999999998</v>
      </c>
      <c r="BZ23" s="457">
        <f t="shared" si="52"/>
        <v>29.648133010078581</v>
      </c>
      <c r="CA23" s="457" t="e">
        <f t="shared" si="106"/>
        <v>#REF!</v>
      </c>
      <c r="CB23" s="458">
        <f t="shared" si="107"/>
        <v>0</v>
      </c>
      <c r="CC23" s="457">
        <f t="shared" si="108"/>
        <v>0</v>
      </c>
      <c r="CD23" s="457">
        <f t="shared" si="109"/>
        <v>0</v>
      </c>
      <c r="CE23" s="457">
        <f t="shared" si="110"/>
        <v>0</v>
      </c>
      <c r="CF23" s="457">
        <f t="shared" si="111"/>
        <v>0</v>
      </c>
      <c r="CG23" s="458">
        <f t="shared" si="59"/>
        <v>0</v>
      </c>
      <c r="CH23" s="457">
        <f t="shared" si="112"/>
        <v>0</v>
      </c>
      <c r="CI23" s="457">
        <f t="shared" si="113"/>
        <v>0</v>
      </c>
      <c r="CJ23" s="458">
        <f t="shared" si="114"/>
        <v>0</v>
      </c>
      <c r="CK23" s="458">
        <f t="shared" si="63"/>
        <v>65.044539609572226</v>
      </c>
      <c r="CL23" s="457">
        <f t="shared" si="64"/>
        <v>542.30417261965079</v>
      </c>
      <c r="CM23" s="504"/>
      <c r="CN23" s="504"/>
    </row>
    <row r="24" spans="1:92" s="207" customFormat="1" ht="14.25" hidden="1" customHeight="1" x14ac:dyDescent="0.25">
      <c r="A24" s="389" t="str">
        <f>IF(D24="",CONCATENATE("Кабель ",IF(C24="а","А",""),$A$9),CONCATENATE("Кабель ",IF(C24="а","А",""),$A$9," ",D24,"*",F24,IF(G24="ок"," (ож)","")," - ",B24," ",IF(G24="мс"," фас. ",""),$A$2))</f>
        <v>Кабель ВВГ 2*35 - 0,66 ГОСТ 16442-80</v>
      </c>
      <c r="B24" s="450">
        <v>0.66</v>
      </c>
      <c r="C24" s="451" t="s">
        <v>163</v>
      </c>
      <c r="D24" s="439">
        <v>2</v>
      </c>
      <c r="E24" s="34" t="s">
        <v>40</v>
      </c>
      <c r="F24" s="289">
        <v>35</v>
      </c>
      <c r="G24" s="276" t="s">
        <v>154</v>
      </c>
      <c r="H24" s="460">
        <v>2.61</v>
      </c>
      <c r="I24" s="468">
        <v>7</v>
      </c>
      <c r="J24" s="469" t="s">
        <v>40</v>
      </c>
      <c r="K24" s="470">
        <f>ROUNDUP(SQRT(F24/I24/PI()*4*1.07),2)</f>
        <v>2.61</v>
      </c>
      <c r="L24" s="501">
        <v>2.2599999999999998</v>
      </c>
      <c r="M24" s="467"/>
      <c r="N24" s="467"/>
      <c r="O24" s="467"/>
      <c r="P24" s="467"/>
      <c r="Q24" s="483">
        <f t="shared" si="66"/>
        <v>0.89000000000000012</v>
      </c>
      <c r="R24" s="484">
        <f>IF(B24=0.66,VLOOKUP(F24,'Данные ТНПА'!$B$8:$C$16,2,0),
IF(B24=1,VLOOKUP(F24,'Данные ТНПА'!$B$17:$C$37,2,0),"ошибка"))</f>
        <v>1.1000000000000001</v>
      </c>
      <c r="S24" s="485">
        <f t="shared" si="1"/>
        <v>4.04</v>
      </c>
      <c r="T24" s="486"/>
      <c r="U24" s="487"/>
      <c r="V24" s="485">
        <f t="shared" si="2"/>
        <v>4.46</v>
      </c>
      <c r="W24" s="486"/>
      <c r="X24" s="487"/>
      <c r="Y24" s="489">
        <f t="shared" si="3"/>
        <v>0</v>
      </c>
      <c r="Z24" s="491">
        <f t="shared" si="4"/>
        <v>8.92</v>
      </c>
      <c r="AA24" s="237">
        <f t="shared" si="5"/>
        <v>0</v>
      </c>
      <c r="AB24" s="452">
        <f t="shared" si="67"/>
        <v>8.92</v>
      </c>
      <c r="AC24" s="201">
        <f t="shared" si="7"/>
        <v>0</v>
      </c>
      <c r="AD24" s="203">
        <f t="shared" si="68"/>
        <v>0</v>
      </c>
      <c r="AE24" s="37" t="str">
        <f t="shared" si="9"/>
        <v/>
      </c>
      <c r="AF24" s="202">
        <f t="shared" si="69"/>
        <v>0</v>
      </c>
      <c r="AG24" s="201">
        <f t="shared" si="70"/>
        <v>0</v>
      </c>
      <c r="AH24" s="61">
        <f t="shared" si="12"/>
        <v>8.92</v>
      </c>
      <c r="AI24" s="443">
        <f t="shared" ref="AI24:AI87" si="115">IF(OR($AI$9=0,AH24&lt;=10,D24=1,AND(D24&gt;1,F24&lt;=10,OR(G24="ок",G24="мк"))),0,1)</f>
        <v>0</v>
      </c>
      <c r="AJ24" s="444">
        <f t="shared" si="71"/>
        <v>0</v>
      </c>
      <c r="AK24" s="445">
        <f t="shared" si="72"/>
        <v>0</v>
      </c>
      <c r="AL24" s="446">
        <f t="shared" si="73"/>
        <v>0</v>
      </c>
      <c r="AM24" s="447">
        <f t="shared" si="74"/>
        <v>0</v>
      </c>
      <c r="AN24" s="24">
        <f t="shared" si="75"/>
        <v>8.92</v>
      </c>
      <c r="AO24" s="443">
        <f t="shared" si="18"/>
        <v>0</v>
      </c>
      <c r="AP24" s="444">
        <f t="shared" si="76"/>
        <v>0</v>
      </c>
      <c r="AQ24" s="445">
        <f t="shared" si="77"/>
        <v>0</v>
      </c>
      <c r="AR24" s="446">
        <f t="shared" si="78"/>
        <v>0</v>
      </c>
      <c r="AS24" s="447">
        <f t="shared" si="79"/>
        <v>0</v>
      </c>
      <c r="AT24" s="24">
        <f t="shared" si="80"/>
        <v>8.92</v>
      </c>
      <c r="AU24" s="443">
        <f t="shared" si="24"/>
        <v>0</v>
      </c>
      <c r="AV24" s="444">
        <f t="shared" si="81"/>
        <v>0</v>
      </c>
      <c r="AW24" s="445">
        <f t="shared" si="82"/>
        <v>0</v>
      </c>
      <c r="AX24" s="446">
        <f t="shared" si="83"/>
        <v>0</v>
      </c>
      <c r="AY24" s="447">
        <f t="shared" si="84"/>
        <v>0</v>
      </c>
      <c r="AZ24" s="24">
        <f t="shared" si="85"/>
        <v>8.92</v>
      </c>
      <c r="BA24" s="43">
        <f>IF(BB24=0,0,
IF(D24=1,
(IF(AND(AH24&gt;'Данные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"ошибка_1"))))))),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"ошибка_2"))))))))</f>
        <v>0</v>
      </c>
      <c r="BB24" s="43">
        <f>IF(OR($AI$9=0,AND(D24&gt;1,F24&gt;10)),0,
IF(D24=1,
(IF(AND(AH24&gt;'Данные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"ошибка_1"))))))),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IF(AND(AH24&gt;'Данные ТНПА'!#REF!,AH24&lt;='Данные ТНПА'!#REF!),'Данные ТНПА'!#REF!,
"ошибка_2"))))))))</f>
        <v>0</v>
      </c>
      <c r="BC24" s="43">
        <f t="shared" si="86"/>
        <v>8.92</v>
      </c>
      <c r="BD24" s="237">
        <f t="shared" si="87"/>
        <v>0</v>
      </c>
      <c r="BE24" s="43">
        <f t="shared" si="88"/>
        <v>0</v>
      </c>
      <c r="BF24" s="201">
        <f t="shared" si="89"/>
        <v>0</v>
      </c>
      <c r="BG24" s="201">
        <f t="shared" si="90"/>
        <v>0</v>
      </c>
      <c r="BH24" s="61">
        <f t="shared" si="91"/>
        <v>8.92</v>
      </c>
      <c r="BI24" s="237">
        <f t="shared" si="92"/>
        <v>0</v>
      </c>
      <c r="BJ24" s="247">
        <f t="shared" si="93"/>
        <v>0</v>
      </c>
      <c r="BK24" s="431">
        <f t="shared" si="94"/>
        <v>0</v>
      </c>
      <c r="BL24" s="250">
        <f t="shared" si="95"/>
        <v>0</v>
      </c>
      <c r="BM24" s="237">
        <f t="shared" si="96"/>
        <v>0</v>
      </c>
      <c r="BN24" s="452">
        <f t="shared" si="97"/>
        <v>8.92</v>
      </c>
      <c r="BO24" s="237">
        <f t="shared" si="98"/>
        <v>0</v>
      </c>
      <c r="BP24" s="432">
        <f t="shared" si="99"/>
        <v>0</v>
      </c>
      <c r="BQ24" s="22" t="str">
        <f t="shared" si="100"/>
        <v/>
      </c>
      <c r="BR24" s="250">
        <f t="shared" si="101"/>
        <v>0</v>
      </c>
      <c r="BS24" s="237">
        <f t="shared" si="102"/>
        <v>0</v>
      </c>
      <c r="BT24" s="452">
        <f t="shared" si="103"/>
        <v>8.92</v>
      </c>
      <c r="BU24" s="492">
        <f t="shared" si="104"/>
        <v>1.1749999999999998</v>
      </c>
      <c r="BV24" s="493">
        <f>IF(BT24="","",
IF(AND(BT24&gt;'Данные ТНПА'!$K$8,BT24&lt;='Данные ТНПА'!$L$8),'Данные ТНПА'!$N$8,
IF(AND(BT24&gt;'Данные ТНПА'!$K$9,BT24&lt;='Данные ТНПА'!$L$9),'Данные ТНПА'!$N$9,
IF(AND(BT24&gt;'Данные ТНПА'!$K$10,BT24&lt;='Данные ТНПА'!$L$10),'Данные ТНПА'!$N$10,
IF(AND(BT24&gt;'Данные ТНПА'!$K$11,BT24&lt;='Данные ТНПА'!$L$11),'Данные ТНПА'!$N$11,
IF(AND(BT24&gt;'Данные ТНПА'!$K$12,BT24&lt;='Данные ТНПА'!$L$12),'Данные ТНПА'!$N$12,
IF(AND(BT24&gt;'Данные ТНПА'!$K$13,BT24&lt;='Данные ТНПА'!$L$13),'Данные ТНПА'!$N$13,
IF(AND(BT24&gt;'Данные ТНПА'!$K$14,BT24&lt;='Данные ТНПА'!$L$14),'Данные ТНПА'!$N$14))))))))</f>
        <v>1.5</v>
      </c>
      <c r="BW24" s="493">
        <f t="shared" si="105"/>
        <v>11.92</v>
      </c>
      <c r="BX24" s="457">
        <f t="shared" si="50"/>
        <v>0</v>
      </c>
      <c r="BY24" s="457">
        <f t="shared" si="51"/>
        <v>626.65610000000004</v>
      </c>
      <c r="BZ24" s="457">
        <f t="shared" si="52"/>
        <v>34.469801700298973</v>
      </c>
      <c r="CA24" s="457" t="e">
        <f t="shared" si="106"/>
        <v>#REF!</v>
      </c>
      <c r="CB24" s="458">
        <f t="shared" si="107"/>
        <v>0</v>
      </c>
      <c r="CC24" s="457">
        <f t="shared" si="108"/>
        <v>0</v>
      </c>
      <c r="CD24" s="457">
        <f t="shared" si="109"/>
        <v>0</v>
      </c>
      <c r="CE24" s="457">
        <f t="shared" si="110"/>
        <v>0</v>
      </c>
      <c r="CF24" s="457">
        <f t="shared" si="111"/>
        <v>0</v>
      </c>
      <c r="CG24" s="458">
        <f t="shared" si="59"/>
        <v>0</v>
      </c>
      <c r="CH24" s="457">
        <f t="shared" si="112"/>
        <v>0</v>
      </c>
      <c r="CI24" s="457">
        <f t="shared" si="113"/>
        <v>0</v>
      </c>
      <c r="CJ24" s="458">
        <f t="shared" si="114"/>
        <v>0</v>
      </c>
      <c r="CK24" s="458">
        <f t="shared" si="63"/>
        <v>71.494103663685934</v>
      </c>
      <c r="CL24" s="457">
        <f t="shared" si="64"/>
        <v>732.62000536398489</v>
      </c>
      <c r="CM24" s="504"/>
      <c r="CN24" s="504"/>
    </row>
    <row r="25" spans="1:92" s="207" customFormat="1" ht="14.25" hidden="1" customHeight="1" x14ac:dyDescent="0.25">
      <c r="A25" s="389" t="str">
        <f>IF(D25="",CONCATENATE("Кабель ",IF(C25="а","А",""),$A$9),CONCATENATE("Кабель ",IF(C25="а","А",""),$A$9," ",D25,"*",F25,IF(G25="ок"," (ож)","")," - ",B25," ",IF(G25="мс"," фас. ",""),$A$2))</f>
        <v>Кабель ВВГ 2*50 - 0,66 ГОСТ 16442-80</v>
      </c>
      <c r="B25" s="450">
        <v>0.66</v>
      </c>
      <c r="C25" s="451" t="s">
        <v>163</v>
      </c>
      <c r="D25" s="439">
        <v>2</v>
      </c>
      <c r="E25" s="34" t="s">
        <v>40</v>
      </c>
      <c r="F25" s="289">
        <v>50</v>
      </c>
      <c r="G25" s="276" t="s">
        <v>154</v>
      </c>
      <c r="H25" s="460">
        <v>3.1199999999999997</v>
      </c>
      <c r="I25" s="468">
        <v>7</v>
      </c>
      <c r="J25" s="469" t="s">
        <v>40</v>
      </c>
      <c r="K25" s="470">
        <f>ROUNDUP(SQRT(F25/I25/PI()*4*1.07),2)</f>
        <v>3.1199999999999997</v>
      </c>
      <c r="L25" s="501">
        <v>2.7699999999999996</v>
      </c>
      <c r="M25" s="467"/>
      <c r="N25" s="467"/>
      <c r="O25" s="467"/>
      <c r="P25" s="467"/>
      <c r="Q25" s="483">
        <f t="shared" si="66"/>
        <v>1.07</v>
      </c>
      <c r="R25" s="484">
        <f>IF(B25=0.66,VLOOKUP(F25,'Данные ТНПА'!$B$8:$C$16,2,0),
IF(B25=1,VLOOKUP(F25,'Данные ТНПА'!$B$17:$C$37,2,0),"ошибка"))</f>
        <v>1.3</v>
      </c>
      <c r="S25" s="485">
        <f t="shared" si="1"/>
        <v>4.91</v>
      </c>
      <c r="T25" s="486"/>
      <c r="U25" s="487"/>
      <c r="V25" s="485">
        <f t="shared" si="2"/>
        <v>5.3699999999999992</v>
      </c>
      <c r="W25" s="486"/>
      <c r="X25" s="487"/>
      <c r="Y25" s="489">
        <f t="shared" si="3"/>
        <v>0</v>
      </c>
      <c r="Z25" s="491">
        <f t="shared" si="4"/>
        <v>10.739999999999998</v>
      </c>
      <c r="AA25" s="237">
        <f t="shared" si="5"/>
        <v>0</v>
      </c>
      <c r="AB25" s="452">
        <f t="shared" si="67"/>
        <v>10.739999999999998</v>
      </c>
      <c r="AC25" s="201">
        <f t="shared" si="7"/>
        <v>0</v>
      </c>
      <c r="AD25" s="203">
        <f t="shared" si="68"/>
        <v>0</v>
      </c>
      <c r="AE25" s="37" t="str">
        <f t="shared" si="9"/>
        <v/>
      </c>
      <c r="AF25" s="202">
        <f t="shared" si="69"/>
        <v>0</v>
      </c>
      <c r="AG25" s="201">
        <f t="shared" si="70"/>
        <v>0</v>
      </c>
      <c r="AH25" s="61">
        <f t="shared" si="12"/>
        <v>10.739999999999998</v>
      </c>
      <c r="AI25" s="443">
        <f t="shared" si="115"/>
        <v>0</v>
      </c>
      <c r="AJ25" s="444">
        <f t="shared" si="71"/>
        <v>0</v>
      </c>
      <c r="AK25" s="445">
        <f t="shared" si="72"/>
        <v>0</v>
      </c>
      <c r="AL25" s="446">
        <f t="shared" si="73"/>
        <v>0</v>
      </c>
      <c r="AM25" s="447">
        <f t="shared" si="74"/>
        <v>0</v>
      </c>
      <c r="AN25" s="24">
        <f t="shared" si="75"/>
        <v>10.739999999999998</v>
      </c>
      <c r="AO25" s="443">
        <f t="shared" si="18"/>
        <v>0</v>
      </c>
      <c r="AP25" s="444">
        <f t="shared" si="76"/>
        <v>0</v>
      </c>
      <c r="AQ25" s="445">
        <f t="shared" si="77"/>
        <v>0</v>
      </c>
      <c r="AR25" s="446">
        <f t="shared" si="78"/>
        <v>0</v>
      </c>
      <c r="AS25" s="447">
        <f t="shared" si="79"/>
        <v>0</v>
      </c>
      <c r="AT25" s="24">
        <f t="shared" si="80"/>
        <v>10.739999999999998</v>
      </c>
      <c r="AU25" s="443">
        <f t="shared" si="24"/>
        <v>0</v>
      </c>
      <c r="AV25" s="444">
        <f t="shared" si="81"/>
        <v>0</v>
      </c>
      <c r="AW25" s="445">
        <f t="shared" si="82"/>
        <v>0</v>
      </c>
      <c r="AX25" s="446">
        <f t="shared" si="83"/>
        <v>0</v>
      </c>
      <c r="AY25" s="447">
        <f t="shared" si="84"/>
        <v>0</v>
      </c>
      <c r="AZ25" s="24">
        <f t="shared" si="85"/>
        <v>10.739999999999998</v>
      </c>
      <c r="BA25" s="43">
        <f>IF(BB25=0,0,
IF(D25=1,
(IF(AND(AH25&gt;'Данные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"ошибка_1"))))))),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"ошибка_2"))))))))</f>
        <v>0</v>
      </c>
      <c r="BB25" s="43">
        <f>IF(OR($AI$9=0,AND(D25&gt;1,F25&gt;10)),0,
IF(D25=1,
(IF(AND(AH25&gt;'Данные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"ошибка_1"))))))),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IF(AND(AH25&gt;'Данные ТНПА'!#REF!,AH25&lt;='Данные ТНПА'!#REF!),'Данные ТНПА'!#REF!,
"ошибка_2"))))))))</f>
        <v>0</v>
      </c>
      <c r="BC25" s="43">
        <f t="shared" si="86"/>
        <v>10.739999999999998</v>
      </c>
      <c r="BD25" s="237">
        <f t="shared" si="87"/>
        <v>0</v>
      </c>
      <c r="BE25" s="43">
        <f t="shared" si="88"/>
        <v>0</v>
      </c>
      <c r="BF25" s="201">
        <f t="shared" si="89"/>
        <v>0</v>
      </c>
      <c r="BG25" s="201">
        <f t="shared" si="90"/>
        <v>0</v>
      </c>
      <c r="BH25" s="61">
        <f t="shared" si="91"/>
        <v>10.739999999999998</v>
      </c>
      <c r="BI25" s="237">
        <f t="shared" si="92"/>
        <v>0</v>
      </c>
      <c r="BJ25" s="247">
        <f t="shared" si="93"/>
        <v>0</v>
      </c>
      <c r="BK25" s="431">
        <f t="shared" si="94"/>
        <v>0</v>
      </c>
      <c r="BL25" s="250">
        <f t="shared" si="95"/>
        <v>0</v>
      </c>
      <c r="BM25" s="237">
        <f t="shared" si="96"/>
        <v>0</v>
      </c>
      <c r="BN25" s="452">
        <f t="shared" si="97"/>
        <v>10.739999999999998</v>
      </c>
      <c r="BO25" s="237">
        <f t="shared" si="98"/>
        <v>0</v>
      </c>
      <c r="BP25" s="432">
        <f t="shared" si="99"/>
        <v>0</v>
      </c>
      <c r="BQ25" s="22" t="str">
        <f t="shared" si="100"/>
        <v/>
      </c>
      <c r="BR25" s="250">
        <f t="shared" si="101"/>
        <v>0</v>
      </c>
      <c r="BS25" s="237">
        <f t="shared" si="102"/>
        <v>0</v>
      </c>
      <c r="BT25" s="452">
        <f t="shared" si="103"/>
        <v>10.739999999999998</v>
      </c>
      <c r="BU25" s="492">
        <f t="shared" si="104"/>
        <v>1.1749999999999998</v>
      </c>
      <c r="BV25" s="493">
        <f>IF(BT25="","",
IF(AND(BT25&gt;'Данные ТНПА'!$K$8,BT25&lt;='Данные ТНПА'!$L$8),'Данные ТНПА'!$N$8,
IF(AND(BT25&gt;'Данные ТНПА'!$K$9,BT25&lt;='Данные ТНПА'!$L$9),'Данные ТНПА'!$N$9,
IF(AND(BT25&gt;'Данные ТНПА'!$K$10,BT25&lt;='Данные ТНПА'!$L$10),'Данные ТНПА'!$N$10,
IF(AND(BT25&gt;'Данные ТНПА'!$K$11,BT25&lt;='Данные ТНПА'!$L$11),'Данные ТНПА'!$N$11,
IF(AND(BT25&gt;'Данные ТНПА'!$K$12,BT25&lt;='Данные ТНПА'!$L$12),'Данные ТНПА'!$N$12,
IF(AND(BT25&gt;'Данные ТНПА'!$K$13,BT25&lt;='Данные ТНПА'!$L$13),'Данные ТНПА'!$N$13,
IF(AND(BT25&gt;'Данные ТНПА'!$K$14,BT25&lt;='Данные ТНПА'!$L$14),'Данные ТНПА'!$N$14))))))))</f>
        <v>1.5</v>
      </c>
      <c r="BW25" s="493">
        <f t="shared" si="105"/>
        <v>13.739999999999998</v>
      </c>
      <c r="BX25" s="457">
        <f t="shared" si="50"/>
        <v>0</v>
      </c>
      <c r="BY25" s="457">
        <f t="shared" si="51"/>
        <v>895.22299999999996</v>
      </c>
      <c r="BZ25" s="457">
        <f t="shared" si="52"/>
        <v>49.345162553106555</v>
      </c>
      <c r="CA25" s="457" t="e">
        <f t="shared" si="106"/>
        <v>#REF!</v>
      </c>
      <c r="CB25" s="458">
        <f t="shared" si="107"/>
        <v>0</v>
      </c>
      <c r="CC25" s="457">
        <f t="shared" si="108"/>
        <v>0</v>
      </c>
      <c r="CD25" s="457">
        <f t="shared" si="109"/>
        <v>0</v>
      </c>
      <c r="CE25" s="457">
        <f t="shared" si="110"/>
        <v>0</v>
      </c>
      <c r="CF25" s="457">
        <f t="shared" si="111"/>
        <v>0</v>
      </c>
      <c r="CG25" s="458">
        <f t="shared" si="59"/>
        <v>0</v>
      </c>
      <c r="CH25" s="457">
        <f t="shared" si="112"/>
        <v>0</v>
      </c>
      <c r="CI25" s="457">
        <f t="shared" si="113"/>
        <v>0</v>
      </c>
      <c r="CJ25" s="458">
        <f t="shared" si="114"/>
        <v>0</v>
      </c>
      <c r="CK25" s="458">
        <f t="shared" si="63"/>
        <v>83.981557470586921</v>
      </c>
      <c r="CL25" s="457">
        <f t="shared" si="64"/>
        <v>1028.5497200236935</v>
      </c>
      <c r="CM25" s="504"/>
      <c r="CN25" s="504"/>
    </row>
    <row r="26" spans="1:92" s="207" customFormat="1" ht="14.25" hidden="1" customHeight="1" x14ac:dyDescent="0.25">
      <c r="A26" s="389" t="str">
        <f>IF(D26="",CONCATENATE("Кабель ",IF(C26="а","А",""),$A$9),CONCATENATE("Кабель ",IF(C26="а","А",""),$A$9," ",D26,"*",F26,IF(G26="ок"," (ож)","")," - ",B26," ",IF(G26="мс"," фас. ",""),$A$2))</f>
        <v>Кабель ВВГ 2*1,5 (ож) - 0,66 ГОСТ 16442-80</v>
      </c>
      <c r="B26" s="450">
        <v>0.66</v>
      </c>
      <c r="C26" s="451" t="s">
        <v>163</v>
      </c>
      <c r="D26" s="439">
        <v>2</v>
      </c>
      <c r="E26" s="34" t="s">
        <v>40</v>
      </c>
      <c r="F26" s="289">
        <v>1.5</v>
      </c>
      <c r="G26" s="276" t="s">
        <v>153</v>
      </c>
      <c r="H26" s="460">
        <v>1.39</v>
      </c>
      <c r="I26" s="494">
        <v>1</v>
      </c>
      <c r="J26" s="495" t="s">
        <v>40</v>
      </c>
      <c r="K26" s="496">
        <f>ROUNDUP(SQRT(F26/PI()*4),2)</f>
        <v>1.39</v>
      </c>
      <c r="L26" s="501">
        <v>3.57</v>
      </c>
      <c r="M26" s="467"/>
      <c r="N26" s="467"/>
      <c r="O26" s="467"/>
      <c r="P26" s="467"/>
      <c r="Q26" s="483">
        <f t="shared" si="66"/>
        <v>0.44000000000000006</v>
      </c>
      <c r="R26" s="484">
        <f>IF(B26=0.66,VLOOKUP(F26,'Данные ТНПА'!$B$8:$C$16,2,0),
IF(B26=1,VLOOKUP(F26,'Данные ТНПА'!$B$17:$C$37,2,0),"ошибка"))</f>
        <v>0.6</v>
      </c>
      <c r="S26" s="485">
        <f t="shared" si="1"/>
        <v>2.27</v>
      </c>
      <c r="T26" s="486"/>
      <c r="U26" s="487"/>
      <c r="V26" s="485">
        <f t="shared" si="2"/>
        <v>2.59</v>
      </c>
      <c r="W26" s="486"/>
      <c r="X26" s="487"/>
      <c r="Y26" s="489">
        <f t="shared" si="3"/>
        <v>0</v>
      </c>
      <c r="Z26" s="491">
        <f t="shared" si="4"/>
        <v>5.18</v>
      </c>
      <c r="AA26" s="237">
        <f t="shared" si="5"/>
        <v>0</v>
      </c>
      <c r="AB26" s="452">
        <f t="shared" si="67"/>
        <v>5.18</v>
      </c>
      <c r="AC26" s="201">
        <f t="shared" si="7"/>
        <v>0</v>
      </c>
      <c r="AD26" s="203">
        <f t="shared" si="68"/>
        <v>0</v>
      </c>
      <c r="AE26" s="37" t="str">
        <f t="shared" si="9"/>
        <v/>
      </c>
      <c r="AF26" s="202">
        <f t="shared" si="69"/>
        <v>0</v>
      </c>
      <c r="AG26" s="201">
        <f t="shared" si="70"/>
        <v>0</v>
      </c>
      <c r="AH26" s="61">
        <f t="shared" si="12"/>
        <v>5.18</v>
      </c>
      <c r="AI26" s="443">
        <f t="shared" si="115"/>
        <v>0</v>
      </c>
      <c r="AJ26" s="444">
        <f t="shared" si="71"/>
        <v>0</v>
      </c>
      <c r="AK26" s="445">
        <f t="shared" si="72"/>
        <v>0</v>
      </c>
      <c r="AL26" s="446">
        <f t="shared" si="73"/>
        <v>0</v>
      </c>
      <c r="AM26" s="447">
        <f t="shared" si="74"/>
        <v>0</v>
      </c>
      <c r="AN26" s="24">
        <f t="shared" si="75"/>
        <v>5.18</v>
      </c>
      <c r="AO26" s="443">
        <f t="shared" si="18"/>
        <v>0</v>
      </c>
      <c r="AP26" s="444">
        <f t="shared" si="76"/>
        <v>0</v>
      </c>
      <c r="AQ26" s="445">
        <f t="shared" si="77"/>
        <v>0</v>
      </c>
      <c r="AR26" s="446">
        <f t="shared" si="78"/>
        <v>0</v>
      </c>
      <c r="AS26" s="447">
        <f t="shared" si="79"/>
        <v>0</v>
      </c>
      <c r="AT26" s="24">
        <f t="shared" si="80"/>
        <v>5.18</v>
      </c>
      <c r="AU26" s="443">
        <f t="shared" si="24"/>
        <v>0</v>
      </c>
      <c r="AV26" s="444">
        <f t="shared" si="81"/>
        <v>0</v>
      </c>
      <c r="AW26" s="445">
        <f t="shared" si="82"/>
        <v>0</v>
      </c>
      <c r="AX26" s="446">
        <f t="shared" si="83"/>
        <v>0</v>
      </c>
      <c r="AY26" s="447">
        <f t="shared" si="84"/>
        <v>0</v>
      </c>
      <c r="AZ26" s="24">
        <f t="shared" si="85"/>
        <v>5.18</v>
      </c>
      <c r="BA26" s="43">
        <f>IF(BB26=0,0,
IF(D26=1,
(IF(AND(AH26&gt;'Данные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"ошибка_1"))))))),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"ошибка_2"))))))))</f>
        <v>0</v>
      </c>
      <c r="BB26" s="43">
        <f>IF(OR($AI$9=0,AND(D26&gt;1,F26&gt;10)),0,
IF(D26=1,
(IF(AND(AH26&gt;'Данные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"ошибка_1"))))))),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IF(AND(AH26&gt;'Данные ТНПА'!#REF!,AH26&lt;='Данные ТНПА'!#REF!),'Данные ТНПА'!#REF!,
"ошибка_2"))))))))</f>
        <v>0</v>
      </c>
      <c r="BC26" s="43">
        <f t="shared" si="86"/>
        <v>5.18</v>
      </c>
      <c r="BD26" s="237">
        <f t="shared" si="87"/>
        <v>0</v>
      </c>
      <c r="BE26" s="43">
        <f t="shared" si="88"/>
        <v>0</v>
      </c>
      <c r="BF26" s="201">
        <f t="shared" si="89"/>
        <v>0</v>
      </c>
      <c r="BG26" s="201">
        <f t="shared" si="90"/>
        <v>0</v>
      </c>
      <c r="BH26" s="61">
        <f t="shared" si="91"/>
        <v>5.18</v>
      </c>
      <c r="BI26" s="237">
        <f t="shared" si="92"/>
        <v>0</v>
      </c>
      <c r="BJ26" s="247">
        <f t="shared" si="93"/>
        <v>0</v>
      </c>
      <c r="BK26" s="431">
        <f t="shared" si="94"/>
        <v>0</v>
      </c>
      <c r="BL26" s="250">
        <f t="shared" si="95"/>
        <v>0</v>
      </c>
      <c r="BM26" s="237">
        <f t="shared" si="96"/>
        <v>0</v>
      </c>
      <c r="BN26" s="452">
        <f t="shared" si="97"/>
        <v>5.18</v>
      </c>
      <c r="BO26" s="237">
        <f t="shared" si="98"/>
        <v>0</v>
      </c>
      <c r="BP26" s="432">
        <f t="shared" si="99"/>
        <v>0</v>
      </c>
      <c r="BQ26" s="22" t="str">
        <f t="shared" si="100"/>
        <v/>
      </c>
      <c r="BR26" s="250">
        <f t="shared" si="101"/>
        <v>0</v>
      </c>
      <c r="BS26" s="237">
        <f t="shared" si="102"/>
        <v>0</v>
      </c>
      <c r="BT26" s="452">
        <f t="shared" si="103"/>
        <v>5.18</v>
      </c>
      <c r="BU26" s="492">
        <f t="shared" si="104"/>
        <v>0.92</v>
      </c>
      <c r="BV26" s="493">
        <f>IF(BT26="","",
IF(AND(BT26&gt;'Данные ТНПА'!$K$8,BT26&lt;='Данные ТНПА'!$L$8),'Данные ТНПА'!$N$8,
IF(AND(BT26&gt;'Данные ТНПА'!$K$9,BT26&lt;='Данные ТНПА'!$L$9),'Данные ТНПА'!$N$9,
IF(AND(BT26&gt;'Данные ТНПА'!$K$10,BT26&lt;='Данные ТНПА'!$L$10),'Данные ТНПА'!$N$10,
IF(AND(BT26&gt;'Данные ТНПА'!$K$11,BT26&lt;='Данные ТНПА'!$L$11),'Данные ТНПА'!$N$11,
IF(AND(BT26&gt;'Данные ТНПА'!$K$12,BT26&lt;='Данные ТНПА'!$L$12),'Данные ТНПА'!$N$12,
IF(AND(BT26&gt;'Данные ТНПА'!$K$13,BT26&lt;='Данные ТНПА'!$L$13),'Данные ТНПА'!$N$13,
IF(AND(BT26&gt;'Данные ТНПА'!$K$14,BT26&lt;='Данные ТНПА'!$L$14),'Данные ТНПА'!$N$14))))))))</f>
        <v>1.2</v>
      </c>
      <c r="BW26" s="493">
        <f t="shared" si="105"/>
        <v>7.58</v>
      </c>
      <c r="BX26" s="457">
        <f t="shared" si="50"/>
        <v>0</v>
      </c>
      <c r="BY26" s="457">
        <f t="shared" si="51"/>
        <v>26.85669</v>
      </c>
      <c r="BZ26" s="457">
        <f t="shared" si="52"/>
        <v>10.123215080223574</v>
      </c>
      <c r="CA26" s="457" t="e">
        <f t="shared" si="106"/>
        <v>#REF!</v>
      </c>
      <c r="CB26" s="458">
        <f t="shared" si="107"/>
        <v>0</v>
      </c>
      <c r="CC26" s="457">
        <f t="shared" si="108"/>
        <v>0</v>
      </c>
      <c r="CD26" s="457">
        <f t="shared" si="109"/>
        <v>0</v>
      </c>
      <c r="CE26" s="457">
        <f t="shared" si="110"/>
        <v>0</v>
      </c>
      <c r="CF26" s="457">
        <f t="shared" si="111"/>
        <v>0</v>
      </c>
      <c r="CG26" s="458">
        <f t="shared" si="59"/>
        <v>0</v>
      </c>
      <c r="CH26" s="457">
        <f t="shared" si="112"/>
        <v>0</v>
      </c>
      <c r="CI26" s="457">
        <f t="shared" si="113"/>
        <v>0</v>
      </c>
      <c r="CJ26" s="458">
        <f t="shared" si="114"/>
        <v>0</v>
      </c>
      <c r="CK26" s="458">
        <f t="shared" si="63"/>
        <v>35.019760566166312</v>
      </c>
      <c r="CL26" s="457">
        <f t="shared" si="64"/>
        <v>71.999665646389886</v>
      </c>
      <c r="CM26" s="504"/>
      <c r="CN26" s="504"/>
    </row>
    <row r="27" spans="1:92" s="207" customFormat="1" ht="14.25" hidden="1" customHeight="1" x14ac:dyDescent="0.25">
      <c r="A27" s="389" t="str">
        <f>IF(D27="",CONCATENATE("Кабель ",IF(C27="а","А",""),$A$9),CONCATENATE("Кабель ",IF(C27="а","А",""),$A$9," ",D27,"*",F27,IF(G27="ок"," (ож)","")," - ",B27," ",IF(G27="мс"," фас. ",""),$A$2))</f>
        <v>Кабель ВВГ 2*2,5 (ож) - 0,66 ГОСТ 16442-80</v>
      </c>
      <c r="B27" s="450">
        <v>0.66</v>
      </c>
      <c r="C27" s="451" t="s">
        <v>163</v>
      </c>
      <c r="D27" s="439">
        <v>2</v>
      </c>
      <c r="E27" s="34" t="s">
        <v>40</v>
      </c>
      <c r="F27" s="289">
        <v>2.5</v>
      </c>
      <c r="G27" s="276" t="s">
        <v>153</v>
      </c>
      <c r="H27" s="460">
        <v>1.79</v>
      </c>
      <c r="I27" s="494">
        <v>1</v>
      </c>
      <c r="J27" s="495" t="s">
        <v>40</v>
      </c>
      <c r="K27" s="496">
        <f>ROUNDUP(SQRT(F27/PI()*4),2)</f>
        <v>1.79</v>
      </c>
      <c r="L27" s="501">
        <v>4.5199999999999996</v>
      </c>
      <c r="M27" s="467"/>
      <c r="N27" s="467"/>
      <c r="O27" s="467"/>
      <c r="P27" s="467"/>
      <c r="Q27" s="483">
        <f t="shared" si="66"/>
        <v>0.44000000000000006</v>
      </c>
      <c r="R27" s="484">
        <f>IF(B27=0.66,VLOOKUP(F27,'Данные ТНПА'!$B$8:$C$16,2,0),
IF(B27=1,VLOOKUP(F27,'Данные ТНПА'!$B$17:$C$37,2,0),"ошибка"))</f>
        <v>0.6</v>
      </c>
      <c r="S27" s="485">
        <f t="shared" si="1"/>
        <v>2.67</v>
      </c>
      <c r="T27" s="486"/>
      <c r="U27" s="487"/>
      <c r="V27" s="485">
        <f t="shared" si="2"/>
        <v>2.99</v>
      </c>
      <c r="W27" s="486"/>
      <c r="X27" s="487"/>
      <c r="Y27" s="489">
        <f t="shared" si="3"/>
        <v>0</v>
      </c>
      <c r="Z27" s="491">
        <f t="shared" si="4"/>
        <v>5.98</v>
      </c>
      <c r="AA27" s="237">
        <f t="shared" si="5"/>
        <v>0</v>
      </c>
      <c r="AB27" s="452">
        <f t="shared" si="67"/>
        <v>5.98</v>
      </c>
      <c r="AC27" s="201">
        <f t="shared" si="7"/>
        <v>0</v>
      </c>
      <c r="AD27" s="203">
        <f t="shared" si="68"/>
        <v>0</v>
      </c>
      <c r="AE27" s="37" t="str">
        <f t="shared" si="9"/>
        <v/>
      </c>
      <c r="AF27" s="202">
        <f t="shared" si="69"/>
        <v>0</v>
      </c>
      <c r="AG27" s="201">
        <f t="shared" si="70"/>
        <v>0</v>
      </c>
      <c r="AH27" s="61">
        <f t="shared" si="12"/>
        <v>5.98</v>
      </c>
      <c r="AI27" s="443">
        <f t="shared" si="115"/>
        <v>0</v>
      </c>
      <c r="AJ27" s="444">
        <f t="shared" si="71"/>
        <v>0</v>
      </c>
      <c r="AK27" s="445">
        <f t="shared" si="72"/>
        <v>0</v>
      </c>
      <c r="AL27" s="446">
        <f t="shared" si="73"/>
        <v>0</v>
      </c>
      <c r="AM27" s="447">
        <f t="shared" si="74"/>
        <v>0</v>
      </c>
      <c r="AN27" s="24">
        <f t="shared" si="75"/>
        <v>5.98</v>
      </c>
      <c r="AO27" s="443">
        <f t="shared" si="18"/>
        <v>0</v>
      </c>
      <c r="AP27" s="444">
        <f t="shared" si="76"/>
        <v>0</v>
      </c>
      <c r="AQ27" s="445">
        <f t="shared" si="77"/>
        <v>0</v>
      </c>
      <c r="AR27" s="446">
        <f t="shared" si="78"/>
        <v>0</v>
      </c>
      <c r="AS27" s="447">
        <f t="shared" si="79"/>
        <v>0</v>
      </c>
      <c r="AT27" s="24">
        <f t="shared" si="80"/>
        <v>5.98</v>
      </c>
      <c r="AU27" s="443">
        <f t="shared" si="24"/>
        <v>0</v>
      </c>
      <c r="AV27" s="444">
        <f t="shared" si="81"/>
        <v>0</v>
      </c>
      <c r="AW27" s="445">
        <f t="shared" si="82"/>
        <v>0</v>
      </c>
      <c r="AX27" s="446">
        <f t="shared" si="83"/>
        <v>0</v>
      </c>
      <c r="AY27" s="447">
        <f t="shared" si="84"/>
        <v>0</v>
      </c>
      <c r="AZ27" s="24">
        <f t="shared" si="85"/>
        <v>5.98</v>
      </c>
      <c r="BA27" s="43">
        <f>IF(BB27=0,0,
IF(D27=1,
(IF(AND(AH27&gt;'Данные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"ошибка_1"))))))),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"ошибка_2"))))))))</f>
        <v>0</v>
      </c>
      <c r="BB27" s="43">
        <f>IF(OR($AI$9=0,AND(D27&gt;1,F27&gt;10)),0,
IF(D27=1,
(IF(AND(AH27&gt;'Данные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"ошибка_1"))))))),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IF(AND(AH27&gt;'Данные ТНПА'!#REF!,AH27&lt;='Данные ТНПА'!#REF!),'Данные ТНПА'!#REF!,
"ошибка_2"))))))))</f>
        <v>0</v>
      </c>
      <c r="BC27" s="43">
        <f t="shared" si="86"/>
        <v>5.98</v>
      </c>
      <c r="BD27" s="237">
        <f t="shared" si="87"/>
        <v>0</v>
      </c>
      <c r="BE27" s="43">
        <f t="shared" si="88"/>
        <v>0</v>
      </c>
      <c r="BF27" s="201">
        <f t="shared" si="89"/>
        <v>0</v>
      </c>
      <c r="BG27" s="201">
        <f t="shared" si="90"/>
        <v>0</v>
      </c>
      <c r="BH27" s="61">
        <f t="shared" si="91"/>
        <v>5.98</v>
      </c>
      <c r="BI27" s="237">
        <f t="shared" si="92"/>
        <v>0</v>
      </c>
      <c r="BJ27" s="247">
        <f t="shared" si="93"/>
        <v>0</v>
      </c>
      <c r="BK27" s="431">
        <f t="shared" si="94"/>
        <v>0</v>
      </c>
      <c r="BL27" s="250">
        <f t="shared" si="95"/>
        <v>0</v>
      </c>
      <c r="BM27" s="237">
        <f t="shared" si="96"/>
        <v>0</v>
      </c>
      <c r="BN27" s="452">
        <f t="shared" si="97"/>
        <v>5.98</v>
      </c>
      <c r="BO27" s="237">
        <f t="shared" si="98"/>
        <v>0</v>
      </c>
      <c r="BP27" s="432">
        <f t="shared" si="99"/>
        <v>0</v>
      </c>
      <c r="BQ27" s="22" t="str">
        <f t="shared" si="100"/>
        <v/>
      </c>
      <c r="BR27" s="250">
        <f t="shared" si="101"/>
        <v>0</v>
      </c>
      <c r="BS27" s="237">
        <f t="shared" si="102"/>
        <v>0</v>
      </c>
      <c r="BT27" s="452">
        <f t="shared" si="103"/>
        <v>5.98</v>
      </c>
      <c r="BU27" s="492">
        <f t="shared" si="104"/>
        <v>0.92</v>
      </c>
      <c r="BV27" s="493">
        <f>IF(BT27="","",
IF(AND(BT27&gt;'Данные ТНПА'!$K$8,BT27&lt;='Данные ТНПА'!$L$8),'Данные ТНПА'!$N$8,
IF(AND(BT27&gt;'Данные ТНПА'!$K$9,BT27&lt;='Данные ТНПА'!$L$9),'Данные ТНПА'!$N$9,
IF(AND(BT27&gt;'Данные ТНПА'!$K$10,BT27&lt;='Данные ТНПА'!$L$10),'Данные ТНПА'!$N$10,
IF(AND(BT27&gt;'Данные ТНПА'!$K$11,BT27&lt;='Данные ТНПА'!$L$11),'Данные ТНПА'!$N$11,
IF(AND(BT27&gt;'Данные ТНПА'!$K$12,BT27&lt;='Данные ТНПА'!$L$12),'Данные ТНПА'!$N$12,
IF(AND(BT27&gt;'Данные ТНПА'!$K$13,BT27&lt;='Данные ТНПА'!$L$13),'Данные ТНПА'!$N$13,
IF(AND(BT27&gt;'Данные ТНПА'!$K$14,BT27&lt;='Данные ТНПА'!$L$14),'Данные ТНПА'!$N$14))))))))</f>
        <v>1.2</v>
      </c>
      <c r="BW27" s="493">
        <f t="shared" si="105"/>
        <v>8.3800000000000008</v>
      </c>
      <c r="BX27" s="457">
        <f t="shared" si="50"/>
        <v>0</v>
      </c>
      <c r="BY27" s="457">
        <f t="shared" si="51"/>
        <v>44.761150000000001</v>
      </c>
      <c r="BZ27" s="457">
        <f t="shared" si="52"/>
        <v>12.158032181776051</v>
      </c>
      <c r="CA27" s="457" t="e">
        <f t="shared" si="106"/>
        <v>#REF!</v>
      </c>
      <c r="CB27" s="458">
        <f t="shared" si="107"/>
        <v>0</v>
      </c>
      <c r="CC27" s="457">
        <f t="shared" si="108"/>
        <v>0</v>
      </c>
      <c r="CD27" s="457">
        <f t="shared" si="109"/>
        <v>0</v>
      </c>
      <c r="CE27" s="457">
        <f t="shared" si="110"/>
        <v>0</v>
      </c>
      <c r="CF27" s="457">
        <f t="shared" si="111"/>
        <v>0</v>
      </c>
      <c r="CG27" s="458">
        <f t="shared" si="59"/>
        <v>0</v>
      </c>
      <c r="CH27" s="457">
        <f t="shared" si="112"/>
        <v>0</v>
      </c>
      <c r="CI27" s="457">
        <f t="shared" si="113"/>
        <v>0</v>
      </c>
      <c r="CJ27" s="458">
        <f t="shared" si="114"/>
        <v>0</v>
      </c>
      <c r="CK27" s="458">
        <f t="shared" si="63"/>
        <v>39.410953113647977</v>
      </c>
      <c r="CL27" s="457">
        <f t="shared" si="64"/>
        <v>96.330135295424029</v>
      </c>
      <c r="CM27" s="504"/>
      <c r="CN27" s="504"/>
    </row>
    <row r="28" spans="1:92" s="207" customFormat="1" ht="14.25" hidden="1" customHeight="1" x14ac:dyDescent="0.25">
      <c r="A28" s="389" t="str">
        <f>IF(D28="",CONCATENATE("Кабель ",IF(C28="а","А",""),$A$9),CONCATENATE("Кабель ",IF(C28="а","А",""),$A$9," ",D28,"*",F28,IF(G28="ок"," (ож)","")," - ",B28," ",IF(G28="мс"," фас. ",""),$A$2))</f>
        <v>Кабель ВВГ 2*4 (ож) - 0,66 ГОСТ 16442-80</v>
      </c>
      <c r="B28" s="450">
        <v>0.66</v>
      </c>
      <c r="C28" s="451" t="s">
        <v>163</v>
      </c>
      <c r="D28" s="439">
        <v>2</v>
      </c>
      <c r="E28" s="34" t="s">
        <v>40</v>
      </c>
      <c r="F28" s="289">
        <v>4</v>
      </c>
      <c r="G28" s="276" t="s">
        <v>153</v>
      </c>
      <c r="H28" s="460">
        <v>2.2599999999999998</v>
      </c>
      <c r="I28" s="494">
        <v>1</v>
      </c>
      <c r="J28" s="495" t="s">
        <v>40</v>
      </c>
      <c r="K28" s="496">
        <f>ROUNDUP(SQRT(F28/PI()*4),2)</f>
        <v>2.2599999999999998</v>
      </c>
      <c r="L28" s="501">
        <v>4.79</v>
      </c>
      <c r="M28" s="471"/>
      <c r="N28" s="471"/>
      <c r="O28" s="471"/>
      <c r="P28" s="471"/>
      <c r="Q28" s="483">
        <f t="shared" si="66"/>
        <v>0.53</v>
      </c>
      <c r="R28" s="484">
        <f>IF(B28=0.66,VLOOKUP(F28,'Данные ТНПА'!$B$8:$C$16,2,0),
IF(B28=1,VLOOKUP(F28,'Данные ТНПА'!$B$17:$C$37,2,0),"ошибка"))</f>
        <v>0.7</v>
      </c>
      <c r="S28" s="485">
        <f t="shared" si="1"/>
        <v>3.32</v>
      </c>
      <c r="T28" s="486"/>
      <c r="U28" s="487"/>
      <c r="V28" s="485">
        <f t="shared" si="2"/>
        <v>3.6599999999999997</v>
      </c>
      <c r="W28" s="486"/>
      <c r="X28" s="487"/>
      <c r="Y28" s="489">
        <f t="shared" si="3"/>
        <v>0</v>
      </c>
      <c r="Z28" s="491">
        <f t="shared" si="4"/>
        <v>7.3199999999999994</v>
      </c>
      <c r="AA28" s="237">
        <f t="shared" si="5"/>
        <v>0</v>
      </c>
      <c r="AB28" s="452">
        <f t="shared" si="67"/>
        <v>7.3199999999999994</v>
      </c>
      <c r="AC28" s="201">
        <f t="shared" si="7"/>
        <v>0</v>
      </c>
      <c r="AD28" s="203">
        <f t="shared" si="68"/>
        <v>0</v>
      </c>
      <c r="AE28" s="37" t="str">
        <f t="shared" si="9"/>
        <v/>
      </c>
      <c r="AF28" s="202">
        <f t="shared" si="69"/>
        <v>0</v>
      </c>
      <c r="AG28" s="201">
        <f t="shared" si="70"/>
        <v>0</v>
      </c>
      <c r="AH28" s="61">
        <f t="shared" si="12"/>
        <v>7.3199999999999994</v>
      </c>
      <c r="AI28" s="443">
        <f t="shared" si="115"/>
        <v>0</v>
      </c>
      <c r="AJ28" s="444">
        <f t="shared" si="71"/>
        <v>0</v>
      </c>
      <c r="AK28" s="445">
        <f t="shared" si="72"/>
        <v>0</v>
      </c>
      <c r="AL28" s="446">
        <f t="shared" si="73"/>
        <v>0</v>
      </c>
      <c r="AM28" s="447">
        <f t="shared" si="74"/>
        <v>0</v>
      </c>
      <c r="AN28" s="24">
        <f t="shared" si="75"/>
        <v>7.3199999999999994</v>
      </c>
      <c r="AO28" s="443">
        <f t="shared" si="18"/>
        <v>0</v>
      </c>
      <c r="AP28" s="444">
        <f t="shared" si="76"/>
        <v>0</v>
      </c>
      <c r="AQ28" s="445">
        <f t="shared" si="77"/>
        <v>0</v>
      </c>
      <c r="AR28" s="446">
        <f t="shared" si="78"/>
        <v>0</v>
      </c>
      <c r="AS28" s="447">
        <f t="shared" si="79"/>
        <v>0</v>
      </c>
      <c r="AT28" s="24">
        <f t="shared" si="80"/>
        <v>7.3199999999999994</v>
      </c>
      <c r="AU28" s="443">
        <f t="shared" si="24"/>
        <v>0</v>
      </c>
      <c r="AV28" s="444">
        <f t="shared" si="81"/>
        <v>0</v>
      </c>
      <c r="AW28" s="445">
        <f t="shared" si="82"/>
        <v>0</v>
      </c>
      <c r="AX28" s="446">
        <f t="shared" si="83"/>
        <v>0</v>
      </c>
      <c r="AY28" s="447">
        <f t="shared" si="84"/>
        <v>0</v>
      </c>
      <c r="AZ28" s="24">
        <f t="shared" si="85"/>
        <v>7.3199999999999994</v>
      </c>
      <c r="BA28" s="43">
        <f>IF(BB28=0,0,
IF(D28=1,
(IF(AND(AH28&gt;'Данные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"ошибка_1"))))))),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"ошибка_2"))))))))</f>
        <v>0</v>
      </c>
      <c r="BB28" s="43">
        <f>IF(OR($AI$9=0,AND(D28&gt;1,F28&gt;10)),0,
IF(D28=1,
(IF(AND(AH28&gt;'Данные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"ошибка_1"))))))),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IF(AND(AH28&gt;'Данные ТНПА'!#REF!,AH28&lt;='Данные ТНПА'!#REF!),'Данные ТНПА'!#REF!,
"ошибка_2"))))))))</f>
        <v>0</v>
      </c>
      <c r="BC28" s="43">
        <f t="shared" si="86"/>
        <v>7.3199999999999994</v>
      </c>
      <c r="BD28" s="237">
        <f t="shared" si="87"/>
        <v>0</v>
      </c>
      <c r="BE28" s="43">
        <f t="shared" si="88"/>
        <v>0</v>
      </c>
      <c r="BF28" s="201">
        <f t="shared" si="89"/>
        <v>0</v>
      </c>
      <c r="BG28" s="201">
        <f t="shared" si="90"/>
        <v>0</v>
      </c>
      <c r="BH28" s="61">
        <f t="shared" si="91"/>
        <v>7.3199999999999994</v>
      </c>
      <c r="BI28" s="237">
        <f t="shared" si="92"/>
        <v>0</v>
      </c>
      <c r="BJ28" s="247">
        <f t="shared" si="93"/>
        <v>0</v>
      </c>
      <c r="BK28" s="431">
        <f t="shared" si="94"/>
        <v>0</v>
      </c>
      <c r="BL28" s="250">
        <f t="shared" si="95"/>
        <v>0</v>
      </c>
      <c r="BM28" s="237">
        <f t="shared" si="96"/>
        <v>0</v>
      </c>
      <c r="BN28" s="452">
        <f t="shared" si="97"/>
        <v>7.3199999999999994</v>
      </c>
      <c r="BO28" s="237">
        <f t="shared" si="98"/>
        <v>0</v>
      </c>
      <c r="BP28" s="432">
        <f t="shared" si="99"/>
        <v>0</v>
      </c>
      <c r="BQ28" s="22" t="str">
        <f t="shared" si="100"/>
        <v/>
      </c>
      <c r="BR28" s="250">
        <f t="shared" si="101"/>
        <v>0</v>
      </c>
      <c r="BS28" s="237">
        <f t="shared" si="102"/>
        <v>0</v>
      </c>
      <c r="BT28" s="452">
        <f t="shared" si="103"/>
        <v>7.3199999999999994</v>
      </c>
      <c r="BU28" s="492">
        <f t="shared" si="104"/>
        <v>1.1749999999999998</v>
      </c>
      <c r="BV28" s="493">
        <f>IF(BT28="","",
IF(AND(BT28&gt;'Данные ТНПА'!$K$8,BT28&lt;='Данные ТНПА'!$L$8),'Данные ТНПА'!$N$8,
IF(AND(BT28&gt;'Данные ТНПА'!$K$9,BT28&lt;='Данные ТНПА'!$L$9),'Данные ТНПА'!$N$9,
IF(AND(BT28&gt;'Данные ТНПА'!$K$10,BT28&lt;='Данные ТНПА'!$L$10),'Данные ТНПА'!$N$10,
IF(AND(BT28&gt;'Данные ТНПА'!$K$11,BT28&lt;='Данные ТНПА'!$L$11),'Данные ТНПА'!$N$11,
IF(AND(BT28&gt;'Данные ТНПА'!$K$12,BT28&lt;='Данные ТНПА'!$L$12),'Данные ТНПА'!$N$12,
IF(AND(BT28&gt;'Данные ТНПА'!$K$13,BT28&lt;='Данные ТНПА'!$L$13),'Данные ТНПА'!$N$13,
IF(AND(BT28&gt;'Данные ТНПА'!$K$14,BT28&lt;='Данные ТНПА'!$L$14),'Данные ТНПА'!$N$14))))))))</f>
        <v>1.5</v>
      </c>
      <c r="BW28" s="493">
        <f t="shared" si="105"/>
        <v>10.32</v>
      </c>
      <c r="BX28" s="457">
        <f t="shared" si="50"/>
        <v>0</v>
      </c>
      <c r="BY28" s="457">
        <f t="shared" si="51"/>
        <v>71.617840000000001</v>
      </c>
      <c r="BZ28" s="457">
        <f t="shared" si="52"/>
        <v>17.567254310069721</v>
      </c>
      <c r="CA28" s="457" t="e">
        <f t="shared" si="106"/>
        <v>#REF!</v>
      </c>
      <c r="CB28" s="458">
        <f t="shared" si="107"/>
        <v>0</v>
      </c>
      <c r="CC28" s="457">
        <f t="shared" si="108"/>
        <v>0</v>
      </c>
      <c r="CD28" s="457">
        <f t="shared" si="109"/>
        <v>0</v>
      </c>
      <c r="CE28" s="457">
        <f t="shared" si="110"/>
        <v>0</v>
      </c>
      <c r="CF28" s="457">
        <f t="shared" si="111"/>
        <v>0</v>
      </c>
      <c r="CG28" s="458">
        <f t="shared" si="59"/>
        <v>0</v>
      </c>
      <c r="CH28" s="457">
        <f t="shared" si="112"/>
        <v>0</v>
      </c>
      <c r="CI28" s="457">
        <f t="shared" si="113"/>
        <v>0</v>
      </c>
      <c r="CJ28" s="458">
        <f t="shared" si="114"/>
        <v>0</v>
      </c>
      <c r="CK28" s="458">
        <f t="shared" si="63"/>
        <v>60.516122294981749</v>
      </c>
      <c r="CL28" s="457">
        <f t="shared" si="64"/>
        <v>149.70121660505148</v>
      </c>
      <c r="CM28" s="504"/>
      <c r="CN28" s="504"/>
    </row>
    <row r="29" spans="1:92" s="207" customFormat="1" ht="14.25" hidden="1" customHeight="1" x14ac:dyDescent="0.25">
      <c r="A29" s="389" t="str">
        <f>IF(D29="",CONCATENATE("Кабель ",IF(C29="а","А",""),$A$9),CONCATENATE("Кабель ",IF(C29="а","А",""),$A$9," ",D29,"*",F29,IF(G29="ок"," (ож)","")," - ",B29," ",IF(G29="мс"," фас. ",""),$A$2))</f>
        <v>Кабель ВВГ 2*6 (ож) - 0,66 ГОСТ 16442-80</v>
      </c>
      <c r="B29" s="450">
        <v>0.66</v>
      </c>
      <c r="C29" s="451" t="s">
        <v>163</v>
      </c>
      <c r="D29" s="439">
        <v>2</v>
      </c>
      <c r="E29" s="34" t="s">
        <v>40</v>
      </c>
      <c r="F29" s="289">
        <v>6</v>
      </c>
      <c r="G29" s="276" t="s">
        <v>153</v>
      </c>
      <c r="H29" s="460">
        <v>2.7699999999999996</v>
      </c>
      <c r="I29" s="494">
        <v>1</v>
      </c>
      <c r="J29" s="495" t="s">
        <v>40</v>
      </c>
      <c r="K29" s="496">
        <f>ROUNDUP(SQRT(F29/PI()*4),2)</f>
        <v>2.7699999999999996</v>
      </c>
      <c r="L29" s="501">
        <v>5.6499999999999995</v>
      </c>
      <c r="M29" s="467"/>
      <c r="N29" s="467"/>
      <c r="O29" s="467"/>
      <c r="P29" s="467"/>
      <c r="Q29" s="483">
        <f t="shared" si="66"/>
        <v>0.53</v>
      </c>
      <c r="R29" s="484">
        <f>IF(B29=0.66,VLOOKUP(F29,'Данные ТНПА'!$B$8:$C$16,2,0),
IF(B29=1,VLOOKUP(F29,'Данные ТНПА'!$B$17:$C$37,2,0),"ошибка"))</f>
        <v>0.7</v>
      </c>
      <c r="S29" s="485">
        <f t="shared" si="1"/>
        <v>3.8299999999999996</v>
      </c>
      <c r="T29" s="486"/>
      <c r="U29" s="487"/>
      <c r="V29" s="485">
        <f t="shared" si="2"/>
        <v>4.17</v>
      </c>
      <c r="W29" s="486"/>
      <c r="X29" s="487"/>
      <c r="Y29" s="489">
        <f t="shared" si="3"/>
        <v>0</v>
      </c>
      <c r="Z29" s="491">
        <f t="shared" si="4"/>
        <v>8.34</v>
      </c>
      <c r="AA29" s="237">
        <f t="shared" si="5"/>
        <v>0</v>
      </c>
      <c r="AB29" s="452">
        <f t="shared" si="67"/>
        <v>8.34</v>
      </c>
      <c r="AC29" s="201">
        <f t="shared" si="7"/>
        <v>0</v>
      </c>
      <c r="AD29" s="203">
        <f t="shared" si="68"/>
        <v>0</v>
      </c>
      <c r="AE29" s="37" t="str">
        <f t="shared" si="9"/>
        <v/>
      </c>
      <c r="AF29" s="202">
        <f t="shared" si="69"/>
        <v>0</v>
      </c>
      <c r="AG29" s="201">
        <f t="shared" si="70"/>
        <v>0</v>
      </c>
      <c r="AH29" s="61">
        <f t="shared" si="12"/>
        <v>8.34</v>
      </c>
      <c r="AI29" s="443">
        <f t="shared" si="115"/>
        <v>0</v>
      </c>
      <c r="AJ29" s="444">
        <f t="shared" si="71"/>
        <v>0</v>
      </c>
      <c r="AK29" s="445">
        <f t="shared" si="72"/>
        <v>0</v>
      </c>
      <c r="AL29" s="446">
        <f t="shared" si="73"/>
        <v>0</v>
      </c>
      <c r="AM29" s="447">
        <f t="shared" si="74"/>
        <v>0</v>
      </c>
      <c r="AN29" s="24">
        <f t="shared" si="75"/>
        <v>8.34</v>
      </c>
      <c r="AO29" s="443">
        <f t="shared" si="18"/>
        <v>0</v>
      </c>
      <c r="AP29" s="444">
        <f t="shared" si="76"/>
        <v>0</v>
      </c>
      <c r="AQ29" s="445">
        <f t="shared" si="77"/>
        <v>0</v>
      </c>
      <c r="AR29" s="446">
        <f t="shared" si="78"/>
        <v>0</v>
      </c>
      <c r="AS29" s="447">
        <f t="shared" si="79"/>
        <v>0</v>
      </c>
      <c r="AT29" s="24">
        <f t="shared" si="80"/>
        <v>8.34</v>
      </c>
      <c r="AU29" s="443">
        <f t="shared" si="24"/>
        <v>0</v>
      </c>
      <c r="AV29" s="444">
        <f t="shared" si="81"/>
        <v>0</v>
      </c>
      <c r="AW29" s="445">
        <f t="shared" si="82"/>
        <v>0</v>
      </c>
      <c r="AX29" s="446">
        <f t="shared" si="83"/>
        <v>0</v>
      </c>
      <c r="AY29" s="447">
        <f t="shared" si="84"/>
        <v>0</v>
      </c>
      <c r="AZ29" s="24">
        <f t="shared" si="85"/>
        <v>8.34</v>
      </c>
      <c r="BA29" s="43">
        <f>IF(BB29=0,0,
IF(D29=1,
(IF(AND(AH29&gt;'Данные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"ошибка_1"))))))),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"ошибка_2"))))))))</f>
        <v>0</v>
      </c>
      <c r="BB29" s="43">
        <f>IF(OR($AI$9=0,AND(D29&gt;1,F29&gt;10)),0,
IF(D29=1,
(IF(AND(AH29&gt;'Данные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"ошибка_1"))))))),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IF(AND(AH29&gt;'Данные ТНПА'!#REF!,AH29&lt;='Данные ТНПА'!#REF!),'Данные ТНПА'!#REF!,
"ошибка_2"))))))))</f>
        <v>0</v>
      </c>
      <c r="BC29" s="43">
        <f t="shared" si="86"/>
        <v>8.34</v>
      </c>
      <c r="BD29" s="237">
        <f t="shared" si="87"/>
        <v>0</v>
      </c>
      <c r="BE29" s="43">
        <f t="shared" si="88"/>
        <v>0</v>
      </c>
      <c r="BF29" s="201">
        <f t="shared" si="89"/>
        <v>0</v>
      </c>
      <c r="BG29" s="201">
        <f t="shared" si="90"/>
        <v>0</v>
      </c>
      <c r="BH29" s="61">
        <f t="shared" si="91"/>
        <v>8.34</v>
      </c>
      <c r="BI29" s="237">
        <f t="shared" si="92"/>
        <v>0</v>
      </c>
      <c r="BJ29" s="247">
        <f t="shared" si="93"/>
        <v>0</v>
      </c>
      <c r="BK29" s="431">
        <f t="shared" si="94"/>
        <v>0</v>
      </c>
      <c r="BL29" s="250">
        <f t="shared" si="95"/>
        <v>0</v>
      </c>
      <c r="BM29" s="237">
        <f t="shared" si="96"/>
        <v>0</v>
      </c>
      <c r="BN29" s="452">
        <f t="shared" si="97"/>
        <v>8.34</v>
      </c>
      <c r="BO29" s="237">
        <f t="shared" si="98"/>
        <v>0</v>
      </c>
      <c r="BP29" s="432">
        <f t="shared" si="99"/>
        <v>0</v>
      </c>
      <c r="BQ29" s="22" t="str">
        <f t="shared" si="100"/>
        <v/>
      </c>
      <c r="BR29" s="250">
        <f t="shared" si="101"/>
        <v>0</v>
      </c>
      <c r="BS29" s="237">
        <f t="shared" si="102"/>
        <v>0</v>
      </c>
      <c r="BT29" s="452">
        <f t="shared" si="103"/>
        <v>8.34</v>
      </c>
      <c r="BU29" s="492">
        <f t="shared" si="104"/>
        <v>1.1749999999999998</v>
      </c>
      <c r="BV29" s="493">
        <f>IF(BT29="","",
IF(AND(BT29&gt;'Данные ТНПА'!$K$8,BT29&lt;='Данные ТНПА'!$L$8),'Данные ТНПА'!$N$8,
IF(AND(BT29&gt;'Данные ТНПА'!$K$9,BT29&lt;='Данные ТНПА'!$L$9),'Данные ТНПА'!$N$9,
IF(AND(BT29&gt;'Данные ТНПА'!$K$10,BT29&lt;='Данные ТНПА'!$L$10),'Данные ТНПА'!$N$10,
IF(AND(BT29&gt;'Данные ТНПА'!$K$11,BT29&lt;='Данные ТНПА'!$L$11),'Данные ТНПА'!$N$11,
IF(AND(BT29&gt;'Данные ТНПА'!$K$12,BT29&lt;='Данные ТНПА'!$L$12),'Данные ТНПА'!$N$12,
IF(AND(BT29&gt;'Данные ТНПА'!$K$13,BT29&lt;='Данные ТНПА'!$L$13),'Данные ТНПА'!$N$13,
IF(AND(BT29&gt;'Данные ТНПА'!$K$14,BT29&lt;='Данные ТНПА'!$L$14),'Данные ТНПА'!$N$14))))))))</f>
        <v>1.5</v>
      </c>
      <c r="BW29" s="493">
        <f t="shared" si="105"/>
        <v>11.34</v>
      </c>
      <c r="BX29" s="457">
        <f t="shared" si="50"/>
        <v>0</v>
      </c>
      <c r="BY29" s="457">
        <f t="shared" si="51"/>
        <v>107.42676</v>
      </c>
      <c r="BZ29" s="457">
        <f t="shared" si="52"/>
        <v>20.594044748629027</v>
      </c>
      <c r="CA29" s="457" t="e">
        <f t="shared" si="106"/>
        <v>#REF!</v>
      </c>
      <c r="CB29" s="458">
        <f t="shared" si="107"/>
        <v>0</v>
      </c>
      <c r="CC29" s="457">
        <f t="shared" si="108"/>
        <v>0</v>
      </c>
      <c r="CD29" s="457">
        <f t="shared" si="109"/>
        <v>0</v>
      </c>
      <c r="CE29" s="457">
        <f t="shared" si="110"/>
        <v>0</v>
      </c>
      <c r="CF29" s="457">
        <f t="shared" si="111"/>
        <v>0</v>
      </c>
      <c r="CG29" s="458">
        <f t="shared" si="59"/>
        <v>0</v>
      </c>
      <c r="CH29" s="457">
        <f t="shared" si="112"/>
        <v>0</v>
      </c>
      <c r="CI29" s="457">
        <f t="shared" si="113"/>
        <v>0</v>
      </c>
      <c r="CJ29" s="458">
        <f t="shared" si="114"/>
        <v>0</v>
      </c>
      <c r="CK29" s="458">
        <f t="shared" si="63"/>
        <v>67.514585417530668</v>
      </c>
      <c r="CL29" s="457">
        <f t="shared" si="64"/>
        <v>195.53539016615969</v>
      </c>
      <c r="CM29" s="504"/>
      <c r="CN29" s="504"/>
    </row>
    <row r="30" spans="1:92" s="207" customFormat="1" ht="14.25" hidden="1" customHeight="1" x14ac:dyDescent="0.25">
      <c r="A30" s="389" t="str">
        <f>IF(D30="",CONCATENATE("Кабель ",IF(C30="а","А",""),$A$9),CONCATENATE("Кабель ",IF(C30="а","А",""),$A$9," ",D30,"*",F30,IF(G30="ок"," (ож)","")," - ",B30," ",IF(G30="мс"," фас. ",""),$A$2))</f>
        <v>Кабель ВВГ 2*10 (ож) - 0,66 ГОСТ 16442-80</v>
      </c>
      <c r="B30" s="450">
        <v>0.66</v>
      </c>
      <c r="C30" s="451" t="s">
        <v>163</v>
      </c>
      <c r="D30" s="439">
        <v>2</v>
      </c>
      <c r="E30" s="34" t="s">
        <v>40</v>
      </c>
      <c r="F30" s="289">
        <v>10</v>
      </c>
      <c r="G30" s="276" t="s">
        <v>153</v>
      </c>
      <c r="H30" s="460">
        <v>3.57</v>
      </c>
      <c r="I30" s="494">
        <v>1</v>
      </c>
      <c r="J30" s="495" t="s">
        <v>40</v>
      </c>
      <c r="K30" s="496">
        <f>ROUNDUP(SQRT(F30/PI()*4),2)</f>
        <v>3.57</v>
      </c>
      <c r="L30" s="501">
        <v>5.99</v>
      </c>
      <c r="M30" s="472"/>
      <c r="N30" s="472"/>
      <c r="O30" s="472"/>
      <c r="P30" s="472"/>
      <c r="Q30" s="483">
        <f t="shared" si="66"/>
        <v>0.71000000000000008</v>
      </c>
      <c r="R30" s="484">
        <f>IF(B30=0.66,VLOOKUP(F30,'Данные ТНПА'!$B$8:$C$16,2,0),
IF(B30=1,VLOOKUP(F30,'Данные ТНПА'!$B$17:$C$37,2,0),"ошибка"))</f>
        <v>0.9</v>
      </c>
      <c r="S30" s="485">
        <f t="shared" si="1"/>
        <v>4.99</v>
      </c>
      <c r="T30" s="486"/>
      <c r="U30" s="487"/>
      <c r="V30" s="485">
        <f t="shared" si="2"/>
        <v>5.37</v>
      </c>
      <c r="W30" s="486"/>
      <c r="X30" s="487"/>
      <c r="Y30" s="489">
        <f t="shared" si="3"/>
        <v>0</v>
      </c>
      <c r="Z30" s="491">
        <f t="shared" si="4"/>
        <v>10.74</v>
      </c>
      <c r="AA30" s="237">
        <f t="shared" si="5"/>
        <v>0</v>
      </c>
      <c r="AB30" s="452">
        <f t="shared" si="67"/>
        <v>10.74</v>
      </c>
      <c r="AC30" s="201">
        <f t="shared" si="7"/>
        <v>0</v>
      </c>
      <c r="AD30" s="203">
        <f t="shared" si="68"/>
        <v>0</v>
      </c>
      <c r="AE30" s="37" t="str">
        <f t="shared" si="9"/>
        <v/>
      </c>
      <c r="AF30" s="202">
        <f t="shared" si="69"/>
        <v>0</v>
      </c>
      <c r="AG30" s="201">
        <f t="shared" si="70"/>
        <v>0</v>
      </c>
      <c r="AH30" s="61">
        <f t="shared" si="12"/>
        <v>10.74</v>
      </c>
      <c r="AI30" s="443">
        <f t="shared" si="115"/>
        <v>0</v>
      </c>
      <c r="AJ30" s="444">
        <f t="shared" si="71"/>
        <v>0</v>
      </c>
      <c r="AK30" s="445">
        <f t="shared" si="72"/>
        <v>0</v>
      </c>
      <c r="AL30" s="446">
        <f t="shared" si="73"/>
        <v>0</v>
      </c>
      <c r="AM30" s="447">
        <f t="shared" si="74"/>
        <v>0</v>
      </c>
      <c r="AN30" s="24">
        <f t="shared" si="75"/>
        <v>10.74</v>
      </c>
      <c r="AO30" s="443">
        <f t="shared" si="18"/>
        <v>0</v>
      </c>
      <c r="AP30" s="444">
        <f t="shared" si="76"/>
        <v>0</v>
      </c>
      <c r="AQ30" s="445">
        <f t="shared" si="77"/>
        <v>0</v>
      </c>
      <c r="AR30" s="446">
        <f t="shared" si="78"/>
        <v>0</v>
      </c>
      <c r="AS30" s="447">
        <f t="shared" si="79"/>
        <v>0</v>
      </c>
      <c r="AT30" s="24">
        <f t="shared" si="80"/>
        <v>10.74</v>
      </c>
      <c r="AU30" s="443">
        <f t="shared" si="24"/>
        <v>0</v>
      </c>
      <c r="AV30" s="444">
        <f t="shared" si="81"/>
        <v>0</v>
      </c>
      <c r="AW30" s="445">
        <f t="shared" si="82"/>
        <v>0</v>
      </c>
      <c r="AX30" s="446">
        <f t="shared" si="83"/>
        <v>0</v>
      </c>
      <c r="AY30" s="447">
        <f t="shared" si="84"/>
        <v>0</v>
      </c>
      <c r="AZ30" s="24">
        <f t="shared" si="85"/>
        <v>10.74</v>
      </c>
      <c r="BA30" s="43">
        <f>IF(BB30=0,0,
IF(D30=1,
(IF(AND(AH30&gt;'Данные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"ошибка_1"))))))),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"ошибка_2"))))))))</f>
        <v>0</v>
      </c>
      <c r="BB30" s="43">
        <f>IF(OR($AI$9=0,AND(D30&gt;1,F30&gt;10)),0,
IF(D30=1,
(IF(AND(AH30&gt;'Данные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"ошибка_1"))))))),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IF(AND(AH30&gt;'Данные ТНПА'!#REF!,AH30&lt;='Данные ТНПА'!#REF!),'Данные ТНПА'!#REF!,
"ошибка_2"))))))))</f>
        <v>0</v>
      </c>
      <c r="BC30" s="43">
        <f t="shared" si="86"/>
        <v>10.74</v>
      </c>
      <c r="BD30" s="237">
        <f t="shared" si="87"/>
        <v>0</v>
      </c>
      <c r="BE30" s="43">
        <f t="shared" si="88"/>
        <v>0</v>
      </c>
      <c r="BF30" s="201">
        <f t="shared" si="89"/>
        <v>0</v>
      </c>
      <c r="BG30" s="201">
        <f t="shared" si="90"/>
        <v>0</v>
      </c>
      <c r="BH30" s="61">
        <f t="shared" si="91"/>
        <v>10.74</v>
      </c>
      <c r="BI30" s="237">
        <f t="shared" si="92"/>
        <v>0</v>
      </c>
      <c r="BJ30" s="247">
        <f t="shared" si="93"/>
        <v>0</v>
      </c>
      <c r="BK30" s="431">
        <f t="shared" si="94"/>
        <v>0</v>
      </c>
      <c r="BL30" s="250">
        <f t="shared" si="95"/>
        <v>0</v>
      </c>
      <c r="BM30" s="237">
        <f t="shared" si="96"/>
        <v>0</v>
      </c>
      <c r="BN30" s="452">
        <f t="shared" si="97"/>
        <v>10.74</v>
      </c>
      <c r="BO30" s="237">
        <f t="shared" si="98"/>
        <v>0</v>
      </c>
      <c r="BP30" s="432">
        <f t="shared" si="99"/>
        <v>0</v>
      </c>
      <c r="BQ30" s="22" t="str">
        <f t="shared" si="100"/>
        <v/>
      </c>
      <c r="BR30" s="250">
        <f t="shared" si="101"/>
        <v>0</v>
      </c>
      <c r="BS30" s="237">
        <f t="shared" si="102"/>
        <v>0</v>
      </c>
      <c r="BT30" s="452">
        <f t="shared" si="103"/>
        <v>10.74</v>
      </c>
      <c r="BU30" s="492">
        <f t="shared" si="104"/>
        <v>1.1749999999999998</v>
      </c>
      <c r="BV30" s="493">
        <f>IF(BT30="","",
IF(AND(BT30&gt;'Данные ТНПА'!$K$8,BT30&lt;='Данные ТНПА'!$L$8),'Данные ТНПА'!$N$8,
IF(AND(BT30&gt;'Данные ТНПА'!$K$9,BT30&lt;='Данные ТНПА'!$L$9),'Данные ТНПА'!$N$9,
IF(AND(BT30&gt;'Данные ТНПА'!$K$10,BT30&lt;='Данные ТНПА'!$L$10),'Данные ТНПА'!$N$10,
IF(AND(BT30&gt;'Данные ТНПА'!$K$11,BT30&lt;='Данные ТНПА'!$L$11),'Данные ТНПА'!$N$11,
IF(AND(BT30&gt;'Данные ТНПА'!$K$12,BT30&lt;='Данные ТНПА'!$L$12),'Данные ТНПА'!$N$12,
IF(AND(BT30&gt;'Данные ТНПА'!$K$13,BT30&lt;='Данные ТНПА'!$L$13),'Данные ТНПА'!$N$13,
IF(AND(BT30&gt;'Данные ТНПА'!$K$14,BT30&lt;='Данные ТНПА'!$L$14),'Данные ТНПА'!$N$14))))))))</f>
        <v>1.5</v>
      </c>
      <c r="BW30" s="493">
        <f t="shared" si="105"/>
        <v>13.74</v>
      </c>
      <c r="BX30" s="457">
        <f t="shared" si="50"/>
        <v>0</v>
      </c>
      <c r="BY30" s="457">
        <f t="shared" si="51"/>
        <v>179.0446</v>
      </c>
      <c r="BZ30" s="457">
        <f t="shared" si="52"/>
        <v>34.108621664773402</v>
      </c>
      <c r="CA30" s="457" t="e">
        <f t="shared" si="106"/>
        <v>#REF!</v>
      </c>
      <c r="CB30" s="458">
        <f t="shared" si="107"/>
        <v>0</v>
      </c>
      <c r="CC30" s="457">
        <f t="shared" si="108"/>
        <v>0</v>
      </c>
      <c r="CD30" s="457">
        <f t="shared" si="109"/>
        <v>0</v>
      </c>
      <c r="CE30" s="457">
        <f t="shared" si="110"/>
        <v>0</v>
      </c>
      <c r="CF30" s="457">
        <f t="shared" si="111"/>
        <v>0</v>
      </c>
      <c r="CG30" s="458">
        <f t="shared" si="59"/>
        <v>0</v>
      </c>
      <c r="CH30" s="457">
        <f t="shared" si="112"/>
        <v>0</v>
      </c>
      <c r="CI30" s="457">
        <f t="shared" si="113"/>
        <v>0</v>
      </c>
      <c r="CJ30" s="458">
        <f t="shared" si="114"/>
        <v>0</v>
      </c>
      <c r="CK30" s="458">
        <f t="shared" si="63"/>
        <v>83.981557470586935</v>
      </c>
      <c r="CL30" s="457">
        <f t="shared" si="64"/>
        <v>297.13477913536036</v>
      </c>
      <c r="CM30" s="504"/>
      <c r="CN30" s="504"/>
    </row>
    <row r="31" spans="1:92" s="207" customFormat="1" ht="14.25" hidden="1" customHeight="1" x14ac:dyDescent="0.25">
      <c r="A31" s="389" t="str">
        <f>IF(D31="",CONCATENATE("Кабель ",IF(C31="а","А",""),$A$9),CONCATENATE("Кабель ",IF(C31="а","А",""),$A$9," ",D31,"*",F31,IF(G31="ок"," (ож)","")," - ",B31," ",IF(G31="мс"," фас. ",""),$A$2))</f>
        <v>Кабель ВВГ 2*16 (ож) - 0,66 ГОСТ 16442-80</v>
      </c>
      <c r="B31" s="450">
        <v>0.66</v>
      </c>
      <c r="C31" s="451" t="s">
        <v>163</v>
      </c>
      <c r="D31" s="439">
        <v>2</v>
      </c>
      <c r="E31" s="34" t="s">
        <v>40</v>
      </c>
      <c r="F31" s="289">
        <v>16</v>
      </c>
      <c r="G31" s="276" t="s">
        <v>153</v>
      </c>
      <c r="H31" s="460">
        <v>4.5199999999999996</v>
      </c>
      <c r="I31" s="494">
        <v>1</v>
      </c>
      <c r="J31" s="495" t="s">
        <v>40</v>
      </c>
      <c r="K31" s="496">
        <f>ROUNDUP(SQRT(F31/PI()*4),2)</f>
        <v>4.5199999999999996</v>
      </c>
      <c r="L31" s="501">
        <v>6.68</v>
      </c>
      <c r="M31" s="473"/>
      <c r="N31" s="473"/>
      <c r="O31" s="473"/>
      <c r="P31" s="473"/>
      <c r="Q31" s="483">
        <f t="shared" si="66"/>
        <v>0.71000000000000008</v>
      </c>
      <c r="R31" s="484">
        <f>IF(B31=0.66,VLOOKUP(F31,'Данные ТНПА'!$B$8:$C$16,2,0),
IF(B31=1,VLOOKUP(F31,'Данные ТНПА'!$B$17:$C$37,2,0),"ошибка"))</f>
        <v>0.9</v>
      </c>
      <c r="S31" s="485">
        <f t="shared" si="1"/>
        <v>5.9399999999999995</v>
      </c>
      <c r="T31" s="486"/>
      <c r="U31" s="487"/>
      <c r="V31" s="485">
        <f t="shared" si="2"/>
        <v>6.3199999999999994</v>
      </c>
      <c r="W31" s="486"/>
      <c r="X31" s="487"/>
      <c r="Y31" s="489">
        <f t="shared" si="3"/>
        <v>0</v>
      </c>
      <c r="Z31" s="491">
        <f t="shared" si="4"/>
        <v>12.639999999999999</v>
      </c>
      <c r="AA31" s="237">
        <f t="shared" si="5"/>
        <v>0</v>
      </c>
      <c r="AB31" s="452">
        <f t="shared" si="67"/>
        <v>12.639999999999999</v>
      </c>
      <c r="AC31" s="201">
        <f t="shared" si="7"/>
        <v>0</v>
      </c>
      <c r="AD31" s="203">
        <f t="shared" si="68"/>
        <v>0</v>
      </c>
      <c r="AE31" s="37" t="str">
        <f t="shared" si="9"/>
        <v/>
      </c>
      <c r="AF31" s="202">
        <f t="shared" si="69"/>
        <v>0</v>
      </c>
      <c r="AG31" s="201">
        <f t="shared" si="70"/>
        <v>0</v>
      </c>
      <c r="AH31" s="61">
        <f t="shared" si="12"/>
        <v>12.639999999999999</v>
      </c>
      <c r="AI31" s="443">
        <f t="shared" si="115"/>
        <v>0</v>
      </c>
      <c r="AJ31" s="444">
        <f t="shared" si="71"/>
        <v>0</v>
      </c>
      <c r="AK31" s="445">
        <f t="shared" si="72"/>
        <v>0</v>
      </c>
      <c r="AL31" s="446">
        <f t="shared" si="73"/>
        <v>0</v>
      </c>
      <c r="AM31" s="447">
        <f t="shared" si="74"/>
        <v>0</v>
      </c>
      <c r="AN31" s="24">
        <f t="shared" si="75"/>
        <v>12.639999999999999</v>
      </c>
      <c r="AO31" s="443">
        <f t="shared" si="18"/>
        <v>0</v>
      </c>
      <c r="AP31" s="444">
        <f t="shared" si="76"/>
        <v>0</v>
      </c>
      <c r="AQ31" s="445">
        <f t="shared" si="77"/>
        <v>0</v>
      </c>
      <c r="AR31" s="446">
        <f t="shared" si="78"/>
        <v>0</v>
      </c>
      <c r="AS31" s="447">
        <f t="shared" si="79"/>
        <v>0</v>
      </c>
      <c r="AT31" s="24">
        <f t="shared" si="80"/>
        <v>12.639999999999999</v>
      </c>
      <c r="AU31" s="443">
        <f t="shared" si="24"/>
        <v>0</v>
      </c>
      <c r="AV31" s="444">
        <f t="shared" si="81"/>
        <v>0</v>
      </c>
      <c r="AW31" s="445">
        <f t="shared" si="82"/>
        <v>0</v>
      </c>
      <c r="AX31" s="446">
        <f t="shared" si="83"/>
        <v>0</v>
      </c>
      <c r="AY31" s="447">
        <f t="shared" si="84"/>
        <v>0</v>
      </c>
      <c r="AZ31" s="24">
        <f t="shared" si="85"/>
        <v>12.639999999999999</v>
      </c>
      <c r="BA31" s="43">
        <f>IF(BB31=0,0,
IF(D31=1,
(IF(AND(AH31&gt;'Данные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"ошибка_1"))))))),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"ошибка_2"))))))))</f>
        <v>0</v>
      </c>
      <c r="BB31" s="43">
        <f>IF(OR($AI$9=0,AND(D31&gt;1,F31&gt;10)),0,
IF(D31=1,
(IF(AND(AH31&gt;'Данные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"ошибка_1"))))))),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IF(AND(AH31&gt;'Данные ТНПА'!#REF!,AH31&lt;='Данные ТНПА'!#REF!),'Данные ТНПА'!#REF!,
"ошибка_2"))))))))</f>
        <v>0</v>
      </c>
      <c r="BC31" s="43">
        <f t="shared" si="86"/>
        <v>12.639999999999999</v>
      </c>
      <c r="BD31" s="237">
        <f t="shared" si="87"/>
        <v>0</v>
      </c>
      <c r="BE31" s="43">
        <f t="shared" si="88"/>
        <v>0</v>
      </c>
      <c r="BF31" s="201">
        <f t="shared" si="89"/>
        <v>0</v>
      </c>
      <c r="BG31" s="201">
        <f t="shared" si="90"/>
        <v>0</v>
      </c>
      <c r="BH31" s="61">
        <f t="shared" si="91"/>
        <v>12.639999999999999</v>
      </c>
      <c r="BI31" s="237">
        <f t="shared" si="92"/>
        <v>0</v>
      </c>
      <c r="BJ31" s="247">
        <f t="shared" si="93"/>
        <v>0</v>
      </c>
      <c r="BK31" s="431">
        <f t="shared" si="94"/>
        <v>0</v>
      </c>
      <c r="BL31" s="250">
        <f t="shared" si="95"/>
        <v>0</v>
      </c>
      <c r="BM31" s="237">
        <f t="shared" si="96"/>
        <v>0</v>
      </c>
      <c r="BN31" s="452">
        <f t="shared" si="97"/>
        <v>12.639999999999999</v>
      </c>
      <c r="BO31" s="237">
        <f t="shared" si="98"/>
        <v>0</v>
      </c>
      <c r="BP31" s="432">
        <f t="shared" si="99"/>
        <v>0</v>
      </c>
      <c r="BQ31" s="22" t="str">
        <f t="shared" si="100"/>
        <v/>
      </c>
      <c r="BR31" s="250">
        <f t="shared" si="101"/>
        <v>0</v>
      </c>
      <c r="BS31" s="237">
        <f t="shared" si="102"/>
        <v>0</v>
      </c>
      <c r="BT31" s="452">
        <f t="shared" si="103"/>
        <v>12.639999999999999</v>
      </c>
      <c r="BU31" s="492">
        <f t="shared" si="104"/>
        <v>1.1749999999999998</v>
      </c>
      <c r="BV31" s="493">
        <f>IF(BT31="","",
IF(AND(BT31&gt;'Данные ТНПА'!$K$8,BT31&lt;='Данные ТНПА'!$L$8),'Данные ТНПА'!$N$8,
IF(AND(BT31&gt;'Данные ТНПА'!$K$9,BT31&lt;='Данные ТНПА'!$L$9),'Данные ТНПА'!$N$9,
IF(AND(BT31&gt;'Данные ТНПА'!$K$10,BT31&lt;='Данные ТНПА'!$L$10),'Данные ТНПА'!$N$10,
IF(AND(BT31&gt;'Данные ТНПА'!$K$11,BT31&lt;='Данные ТНПА'!$L$11),'Данные ТНПА'!$N$11,
IF(AND(BT31&gt;'Данные ТНПА'!$K$12,BT31&lt;='Данные ТНПА'!$L$12),'Данные ТНПА'!$N$12,
IF(AND(BT31&gt;'Данные ТНПА'!$K$13,BT31&lt;='Данные ТНПА'!$L$13),'Данные ТНПА'!$N$13,
IF(AND(BT31&gt;'Данные ТНПА'!$K$14,BT31&lt;='Данные ТНПА'!$L$14),'Данные ТНПА'!$N$14))))))))</f>
        <v>1.5</v>
      </c>
      <c r="BW31" s="493">
        <f t="shared" si="105"/>
        <v>15.639999999999999</v>
      </c>
      <c r="BX31" s="457">
        <f t="shared" si="50"/>
        <v>0</v>
      </c>
      <c r="BY31" s="457">
        <f t="shared" si="51"/>
        <v>286.47136</v>
      </c>
      <c r="BZ31" s="457">
        <f t="shared" si="52"/>
        <v>41.357657589054106</v>
      </c>
      <c r="CA31" s="457" t="e">
        <f t="shared" si="106"/>
        <v>#REF!</v>
      </c>
      <c r="CB31" s="458">
        <f t="shared" si="107"/>
        <v>0</v>
      </c>
      <c r="CC31" s="457">
        <f t="shared" si="108"/>
        <v>0</v>
      </c>
      <c r="CD31" s="457">
        <f t="shared" si="109"/>
        <v>0</v>
      </c>
      <c r="CE31" s="457">
        <f t="shared" si="110"/>
        <v>0</v>
      </c>
      <c r="CF31" s="457">
        <f t="shared" si="111"/>
        <v>0</v>
      </c>
      <c r="CG31" s="458">
        <f t="shared" si="59"/>
        <v>0</v>
      </c>
      <c r="CH31" s="457">
        <f t="shared" si="112"/>
        <v>0</v>
      </c>
      <c r="CI31" s="457">
        <f t="shared" si="113"/>
        <v>0</v>
      </c>
      <c r="CJ31" s="458">
        <f t="shared" si="114"/>
        <v>0</v>
      </c>
      <c r="CK31" s="458">
        <f t="shared" si="63"/>
        <v>97.017910345923113</v>
      </c>
      <c r="CL31" s="457">
        <f t="shared" si="64"/>
        <v>424.8469279349772</v>
      </c>
      <c r="CM31" s="504"/>
      <c r="CN31" s="504"/>
    </row>
    <row r="32" spans="1:92" s="207" customFormat="1" ht="14.25" hidden="1" customHeight="1" x14ac:dyDescent="0.25">
      <c r="A32" s="389" t="str">
        <f>IF(D32="",CONCATENATE("Кабель ",IF(C32="а","А",""),$A$9),CONCATENATE("Кабель ",IF(C32="а","А",""),$A$9," ",D32,"*",F32,IF(G32="ок"," (ож)","")," - ",B32," ",IF(G32="мс"," фас. ",""),$A$2))</f>
        <v>Кабель ВВГ 2*25 (ож) - 0,66 ГОСТ 16442-80</v>
      </c>
      <c r="B32" s="510">
        <v>0.66</v>
      </c>
      <c r="C32" s="415" t="s">
        <v>163</v>
      </c>
      <c r="D32" s="274">
        <v>2</v>
      </c>
      <c r="E32" s="34" t="s">
        <v>40</v>
      </c>
      <c r="F32" s="289">
        <v>25</v>
      </c>
      <c r="G32" s="276" t="s">
        <v>153</v>
      </c>
      <c r="H32" s="460">
        <v>5.6499999999999995</v>
      </c>
      <c r="I32" s="494">
        <v>1</v>
      </c>
      <c r="J32" s="495" t="s">
        <v>40</v>
      </c>
      <c r="K32" s="496">
        <f>ROUNDUP(SQRT(F32/PI()*4),2)</f>
        <v>5.6499999999999995</v>
      </c>
      <c r="L32" s="501">
        <v>7.1000000000000005</v>
      </c>
      <c r="M32" s="474"/>
      <c r="N32" s="474"/>
      <c r="O32" s="474"/>
      <c r="P32" s="474"/>
      <c r="Q32" s="483">
        <f t="shared" si="66"/>
        <v>0.89000000000000012</v>
      </c>
      <c r="R32" s="484">
        <f>IF(B32=0.66,VLOOKUP(F32,'Данные ТНПА'!$B$8:$C$16,2,0),
IF(B32=1,VLOOKUP(F32,'Данные ТНПА'!$B$17:$C$37,2,0),"ошибка"))</f>
        <v>1.1000000000000001</v>
      </c>
      <c r="S32" s="485">
        <f t="shared" si="1"/>
        <v>7.43</v>
      </c>
      <c r="T32" s="486"/>
      <c r="U32" s="487"/>
      <c r="V32" s="485">
        <f t="shared" si="2"/>
        <v>7.85</v>
      </c>
      <c r="W32" s="486"/>
      <c r="X32" s="487"/>
      <c r="Y32" s="489">
        <f t="shared" si="3"/>
        <v>0</v>
      </c>
      <c r="Z32" s="491">
        <f t="shared" si="4"/>
        <v>15.7</v>
      </c>
      <c r="AA32" s="237">
        <f t="shared" si="5"/>
        <v>0</v>
      </c>
      <c r="AB32" s="452">
        <f t="shared" si="67"/>
        <v>15.7</v>
      </c>
      <c r="AC32" s="201">
        <f t="shared" si="7"/>
        <v>0</v>
      </c>
      <c r="AD32" s="203">
        <f t="shared" si="68"/>
        <v>0</v>
      </c>
      <c r="AE32" s="37" t="str">
        <f t="shared" si="9"/>
        <v/>
      </c>
      <c r="AF32" s="202">
        <f t="shared" si="69"/>
        <v>0</v>
      </c>
      <c r="AG32" s="201">
        <f t="shared" si="70"/>
        <v>0</v>
      </c>
      <c r="AH32" s="61">
        <f t="shared" si="12"/>
        <v>15.7</v>
      </c>
      <c r="AI32" s="443">
        <f t="shared" si="115"/>
        <v>0</v>
      </c>
      <c r="AJ32" s="444">
        <f t="shared" si="71"/>
        <v>0</v>
      </c>
      <c r="AK32" s="445">
        <f t="shared" si="72"/>
        <v>0</v>
      </c>
      <c r="AL32" s="446">
        <f t="shared" si="73"/>
        <v>0</v>
      </c>
      <c r="AM32" s="447">
        <f t="shared" si="74"/>
        <v>0</v>
      </c>
      <c r="AN32" s="24">
        <f t="shared" si="75"/>
        <v>15.7</v>
      </c>
      <c r="AO32" s="443">
        <f t="shared" si="18"/>
        <v>0</v>
      </c>
      <c r="AP32" s="444">
        <f t="shared" si="76"/>
        <v>0</v>
      </c>
      <c r="AQ32" s="445">
        <f t="shared" si="77"/>
        <v>0</v>
      </c>
      <c r="AR32" s="446">
        <f t="shared" si="78"/>
        <v>0</v>
      </c>
      <c r="AS32" s="447">
        <f t="shared" si="79"/>
        <v>0</v>
      </c>
      <c r="AT32" s="24">
        <f t="shared" si="80"/>
        <v>15.7</v>
      </c>
      <c r="AU32" s="443">
        <f t="shared" si="24"/>
        <v>0</v>
      </c>
      <c r="AV32" s="444">
        <f t="shared" si="81"/>
        <v>0</v>
      </c>
      <c r="AW32" s="445">
        <f t="shared" si="82"/>
        <v>0</v>
      </c>
      <c r="AX32" s="446">
        <f t="shared" si="83"/>
        <v>0</v>
      </c>
      <c r="AY32" s="447">
        <f t="shared" si="84"/>
        <v>0</v>
      </c>
      <c r="AZ32" s="24">
        <f t="shared" si="85"/>
        <v>15.7</v>
      </c>
      <c r="BA32" s="43">
        <f>IF(BB32=0,0,
IF(D32=1,
(IF(AND(AH32&gt;'Данные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"ошибка_1"))))))),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"ошибка_2"))))))))</f>
        <v>0</v>
      </c>
      <c r="BB32" s="43">
        <f>IF(OR($AI$9=0,AND(D32&gt;1,F32&gt;10)),0,
IF(D32=1,
(IF(AND(AH32&gt;'Данные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"ошибка_1"))))))),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IF(AND(AH32&gt;'Данные ТНПА'!#REF!,AH32&lt;='Данные ТНПА'!#REF!),'Данные ТНПА'!#REF!,
"ошибка_2"))))))))</f>
        <v>0</v>
      </c>
      <c r="BC32" s="43">
        <f t="shared" si="86"/>
        <v>15.7</v>
      </c>
      <c r="BD32" s="237">
        <f t="shared" si="87"/>
        <v>0</v>
      </c>
      <c r="BE32" s="43">
        <f t="shared" si="88"/>
        <v>0</v>
      </c>
      <c r="BF32" s="201">
        <f t="shared" si="89"/>
        <v>0</v>
      </c>
      <c r="BG32" s="201">
        <f t="shared" si="90"/>
        <v>0</v>
      </c>
      <c r="BH32" s="61">
        <f t="shared" si="91"/>
        <v>15.7</v>
      </c>
      <c r="BI32" s="237">
        <f t="shared" si="92"/>
        <v>0</v>
      </c>
      <c r="BJ32" s="247">
        <f t="shared" si="93"/>
        <v>0</v>
      </c>
      <c r="BK32" s="431">
        <f t="shared" si="94"/>
        <v>0</v>
      </c>
      <c r="BL32" s="250">
        <f t="shared" si="95"/>
        <v>0</v>
      </c>
      <c r="BM32" s="237">
        <f t="shared" si="96"/>
        <v>0</v>
      </c>
      <c r="BN32" s="452">
        <f t="shared" si="97"/>
        <v>15.7</v>
      </c>
      <c r="BO32" s="237">
        <f t="shared" si="98"/>
        <v>0</v>
      </c>
      <c r="BP32" s="432">
        <f t="shared" si="99"/>
        <v>0</v>
      </c>
      <c r="BQ32" s="22" t="str">
        <f t="shared" si="100"/>
        <v/>
      </c>
      <c r="BR32" s="250">
        <f t="shared" si="101"/>
        <v>0</v>
      </c>
      <c r="BS32" s="237">
        <f t="shared" si="102"/>
        <v>0</v>
      </c>
      <c r="BT32" s="452">
        <f t="shared" si="103"/>
        <v>15.7</v>
      </c>
      <c r="BU32" s="492">
        <f t="shared" si="104"/>
        <v>1.3449999999999998</v>
      </c>
      <c r="BV32" s="493">
        <f>IF(BT32="","",
IF(AND(BT32&gt;'Данные ТНПА'!$K$8,BT32&lt;='Данные ТНПА'!$L$8),'Данные ТНПА'!$N$8,
IF(AND(BT32&gt;'Данные ТНПА'!$K$9,BT32&lt;='Данные ТНПА'!$L$9),'Данные ТНПА'!$N$9,
IF(AND(BT32&gt;'Данные ТНПА'!$K$10,BT32&lt;='Данные ТНПА'!$L$10),'Данные ТНПА'!$N$10,
IF(AND(BT32&gt;'Данные ТНПА'!$K$11,BT32&lt;='Данные ТНПА'!$L$11),'Данные ТНПА'!$N$11,
IF(AND(BT32&gt;'Данные ТНПА'!$K$12,BT32&lt;='Данные ТНПА'!$L$12),'Данные ТНПА'!$N$12,
IF(AND(BT32&gt;'Данные ТНПА'!$K$13,BT32&lt;='Данные ТНПА'!$L$13),'Данные ТНПА'!$N$13,
IF(AND(BT32&gt;'Данные ТНПА'!$K$14,BT32&lt;='Данные ТНПА'!$L$14),'Данные ТНПА'!$N$14))))))))</f>
        <v>1.7</v>
      </c>
      <c r="BW32" s="493">
        <f t="shared" si="105"/>
        <v>19.099999999999998</v>
      </c>
      <c r="BX32" s="457">
        <f t="shared" si="50"/>
        <v>0</v>
      </c>
      <c r="BY32" s="457">
        <f t="shared" si="51"/>
        <v>447.61149999999998</v>
      </c>
      <c r="BZ32" s="457">
        <f t="shared" si="52"/>
        <v>62.952154079279772</v>
      </c>
      <c r="CA32" s="457" t="e">
        <f t="shared" si="106"/>
        <v>#REF!</v>
      </c>
      <c r="CB32" s="458">
        <f t="shared" si="107"/>
        <v>0</v>
      </c>
      <c r="CC32" s="457">
        <f t="shared" si="108"/>
        <v>0</v>
      </c>
      <c r="CD32" s="457">
        <f t="shared" si="109"/>
        <v>0</v>
      </c>
      <c r="CE32" s="457">
        <f t="shared" si="110"/>
        <v>0</v>
      </c>
      <c r="CF32" s="457">
        <f t="shared" si="111"/>
        <v>0</v>
      </c>
      <c r="CG32" s="458">
        <f t="shared" si="59"/>
        <v>0</v>
      </c>
      <c r="CH32" s="457">
        <f t="shared" si="112"/>
        <v>0</v>
      </c>
      <c r="CI32" s="457">
        <f t="shared" si="113"/>
        <v>0</v>
      </c>
      <c r="CJ32" s="458">
        <f t="shared" si="114"/>
        <v>0</v>
      </c>
      <c r="CK32" s="458">
        <f t="shared" si="63"/>
        <v>135.30362036927892</v>
      </c>
      <c r="CL32" s="457">
        <f t="shared" si="64"/>
        <v>645.86727444855865</v>
      </c>
      <c r="CM32" s="504"/>
      <c r="CN32" s="504"/>
    </row>
    <row r="33" spans="1:92" s="207" customFormat="1" ht="14.25" hidden="1" customHeight="1" x14ac:dyDescent="0.25">
      <c r="A33" s="389" t="str">
        <f>IF(D33="",CONCATENATE("Кабель ",IF(C33="а","А",""),$A$9),CONCATENATE("Кабель ",IF(C33="а","А",""),$A$9," ",D33,"*",F33,IF(G33="ок"," (ож)","")," - ",B33," ",IF(G33="мс"," фас. ",""),$A$2))</f>
        <v>Кабель ВВГ 2*35 (ож) - 0,66 ГОСТ 16442-80</v>
      </c>
      <c r="B33" s="449">
        <v>0.66</v>
      </c>
      <c r="C33" s="415" t="s">
        <v>163</v>
      </c>
      <c r="D33" s="274">
        <v>2</v>
      </c>
      <c r="E33" s="34" t="s">
        <v>40</v>
      </c>
      <c r="F33" s="289">
        <v>35</v>
      </c>
      <c r="G33" s="276" t="s">
        <v>153</v>
      </c>
      <c r="H33" s="460">
        <v>6.68</v>
      </c>
      <c r="I33" s="494">
        <v>1</v>
      </c>
      <c r="J33" s="495" t="s">
        <v>40</v>
      </c>
      <c r="K33" s="496">
        <f>ROUNDUP(SQRT(F33/PI()*4),2)</f>
        <v>6.68</v>
      </c>
      <c r="L33" s="501">
        <v>8.15</v>
      </c>
      <c r="M33" s="474"/>
      <c r="N33" s="474"/>
      <c r="O33" s="474"/>
      <c r="P33" s="474"/>
      <c r="Q33" s="483">
        <f t="shared" si="66"/>
        <v>0.89000000000000012</v>
      </c>
      <c r="R33" s="484">
        <f>IF(B33=0.66,VLOOKUP(F33,'Данные ТНПА'!$B$8:$C$16,2,0),
IF(B33=1,VLOOKUP(F33,'Данные ТНПА'!$B$17:$C$37,2,0),"ошибка"))</f>
        <v>1.1000000000000001</v>
      </c>
      <c r="S33" s="485">
        <f t="shared" si="1"/>
        <v>8.4600000000000009</v>
      </c>
      <c r="T33" s="486"/>
      <c r="U33" s="487"/>
      <c r="V33" s="485">
        <f t="shared" si="2"/>
        <v>8.879999999999999</v>
      </c>
      <c r="W33" s="486"/>
      <c r="X33" s="487"/>
      <c r="Y33" s="489">
        <f t="shared" si="3"/>
        <v>0</v>
      </c>
      <c r="Z33" s="491">
        <f t="shared" si="4"/>
        <v>17.759999999999998</v>
      </c>
      <c r="AA33" s="237">
        <f t="shared" si="5"/>
        <v>0</v>
      </c>
      <c r="AB33" s="452">
        <f t="shared" si="67"/>
        <v>17.759999999999998</v>
      </c>
      <c r="AC33" s="201">
        <f t="shared" si="7"/>
        <v>0</v>
      </c>
      <c r="AD33" s="203">
        <f t="shared" si="68"/>
        <v>0</v>
      </c>
      <c r="AE33" s="37" t="str">
        <f t="shared" si="9"/>
        <v/>
      </c>
      <c r="AF33" s="202">
        <f t="shared" si="69"/>
        <v>0</v>
      </c>
      <c r="AG33" s="201">
        <f t="shared" si="70"/>
        <v>0</v>
      </c>
      <c r="AH33" s="61">
        <f t="shared" si="12"/>
        <v>17.759999999999998</v>
      </c>
      <c r="AI33" s="443">
        <f t="shared" si="115"/>
        <v>0</v>
      </c>
      <c r="AJ33" s="444">
        <f t="shared" si="71"/>
        <v>0</v>
      </c>
      <c r="AK33" s="445">
        <f t="shared" si="72"/>
        <v>0</v>
      </c>
      <c r="AL33" s="446">
        <f t="shared" si="73"/>
        <v>0</v>
      </c>
      <c r="AM33" s="447">
        <f t="shared" si="74"/>
        <v>0</v>
      </c>
      <c r="AN33" s="24">
        <f t="shared" si="75"/>
        <v>17.759999999999998</v>
      </c>
      <c r="AO33" s="443">
        <f t="shared" si="18"/>
        <v>0</v>
      </c>
      <c r="AP33" s="444">
        <f t="shared" si="76"/>
        <v>0</v>
      </c>
      <c r="AQ33" s="445">
        <f t="shared" si="77"/>
        <v>0</v>
      </c>
      <c r="AR33" s="446">
        <f t="shared" si="78"/>
        <v>0</v>
      </c>
      <c r="AS33" s="447">
        <f t="shared" si="79"/>
        <v>0</v>
      </c>
      <c r="AT33" s="24">
        <f t="shared" si="80"/>
        <v>17.759999999999998</v>
      </c>
      <c r="AU33" s="443">
        <f t="shared" si="24"/>
        <v>0</v>
      </c>
      <c r="AV33" s="444">
        <f t="shared" si="81"/>
        <v>0</v>
      </c>
      <c r="AW33" s="445">
        <f t="shared" si="82"/>
        <v>0</v>
      </c>
      <c r="AX33" s="446">
        <f t="shared" si="83"/>
        <v>0</v>
      </c>
      <c r="AY33" s="447">
        <f t="shared" si="84"/>
        <v>0</v>
      </c>
      <c r="AZ33" s="24">
        <f t="shared" si="85"/>
        <v>17.759999999999998</v>
      </c>
      <c r="BA33" s="43">
        <f>IF(BB33=0,0,
IF(D33=1,
(IF(AND(AH33&gt;'Данные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"ошибка_1"))))))),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"ошибка_2"))))))))</f>
        <v>0</v>
      </c>
      <c r="BB33" s="43">
        <f>IF(OR($AI$9=0,AND(D33&gt;1,F33&gt;10)),0,
IF(D33=1,
(IF(AND(AH33&gt;'Данные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"ошибка_1"))))))),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IF(AND(AH33&gt;'Данные ТНПА'!#REF!,AH33&lt;='Данные ТНПА'!#REF!),'Данные ТНПА'!#REF!,
"ошибка_2"))))))))</f>
        <v>0</v>
      </c>
      <c r="BC33" s="43">
        <f t="shared" si="86"/>
        <v>17.759999999999998</v>
      </c>
      <c r="BD33" s="237">
        <f t="shared" si="87"/>
        <v>0</v>
      </c>
      <c r="BE33" s="43">
        <f t="shared" si="88"/>
        <v>0</v>
      </c>
      <c r="BF33" s="201">
        <f t="shared" si="89"/>
        <v>0</v>
      </c>
      <c r="BG33" s="201">
        <f t="shared" si="90"/>
        <v>0</v>
      </c>
      <c r="BH33" s="61">
        <f t="shared" si="91"/>
        <v>17.759999999999998</v>
      </c>
      <c r="BI33" s="237">
        <f t="shared" si="92"/>
        <v>0</v>
      </c>
      <c r="BJ33" s="247">
        <f t="shared" si="93"/>
        <v>0</v>
      </c>
      <c r="BK33" s="431">
        <f t="shared" si="94"/>
        <v>0</v>
      </c>
      <c r="BL33" s="250">
        <f t="shared" si="95"/>
        <v>0</v>
      </c>
      <c r="BM33" s="237">
        <f t="shared" si="96"/>
        <v>0</v>
      </c>
      <c r="BN33" s="452">
        <f t="shared" si="97"/>
        <v>17.759999999999998</v>
      </c>
      <c r="BO33" s="237">
        <f t="shared" si="98"/>
        <v>0</v>
      </c>
      <c r="BP33" s="432">
        <f t="shared" si="99"/>
        <v>0</v>
      </c>
      <c r="BQ33" s="22" t="str">
        <f t="shared" si="100"/>
        <v/>
      </c>
      <c r="BR33" s="250">
        <f t="shared" si="101"/>
        <v>0</v>
      </c>
      <c r="BS33" s="237">
        <f t="shared" si="102"/>
        <v>0</v>
      </c>
      <c r="BT33" s="452">
        <f t="shared" si="103"/>
        <v>17.759999999999998</v>
      </c>
      <c r="BU33" s="492">
        <f t="shared" si="104"/>
        <v>1.3449999999999998</v>
      </c>
      <c r="BV33" s="493">
        <f>IF(BT33="","",
IF(AND(BT33&gt;'Данные ТНПА'!$K$8,BT33&lt;='Данные ТНПА'!$L$8),'Данные ТНПА'!$N$8,
IF(AND(BT33&gt;'Данные ТНПА'!$K$9,BT33&lt;='Данные ТНПА'!$L$9),'Данные ТНПА'!$N$9,
IF(AND(BT33&gt;'Данные ТНПА'!$K$10,BT33&lt;='Данные ТНПА'!$L$10),'Данные ТНПА'!$N$10,
IF(AND(BT33&gt;'Данные ТНПА'!$K$11,BT33&lt;='Данные ТНПА'!$L$11),'Данные ТНПА'!$N$11,
IF(AND(BT33&gt;'Данные ТНПА'!$K$12,BT33&lt;='Данные ТНПА'!$L$12),'Данные ТНПА'!$N$12,
IF(AND(BT33&gt;'Данные ТНПА'!$K$13,BT33&lt;='Данные ТНПА'!$L$13),'Данные ТНПА'!$N$13,
IF(AND(BT33&gt;'Данные ТНПА'!$K$14,BT33&lt;='Данные ТНПА'!$L$14),'Данные ТНПА'!$N$14))))))))</f>
        <v>1.7</v>
      </c>
      <c r="BW33" s="493">
        <f t="shared" si="105"/>
        <v>21.159999999999997</v>
      </c>
      <c r="BX33" s="457">
        <f t="shared" si="50"/>
        <v>0</v>
      </c>
      <c r="BY33" s="457">
        <f t="shared" si="51"/>
        <v>626.65610000000004</v>
      </c>
      <c r="BZ33" s="457">
        <f t="shared" si="52"/>
        <v>72.558186479525432</v>
      </c>
      <c r="CA33" s="457" t="e">
        <f t="shared" si="106"/>
        <v>#REF!</v>
      </c>
      <c r="CB33" s="458">
        <f t="shared" si="107"/>
        <v>0</v>
      </c>
      <c r="CC33" s="457">
        <f t="shared" si="108"/>
        <v>0</v>
      </c>
      <c r="CD33" s="457">
        <f t="shared" si="109"/>
        <v>0</v>
      </c>
      <c r="CE33" s="457">
        <f t="shared" si="110"/>
        <v>0</v>
      </c>
      <c r="CF33" s="457">
        <f t="shared" si="111"/>
        <v>0</v>
      </c>
      <c r="CG33" s="458">
        <f t="shared" si="59"/>
        <v>0</v>
      </c>
      <c r="CH33" s="457">
        <f t="shared" si="112"/>
        <v>0</v>
      </c>
      <c r="CI33" s="457">
        <f t="shared" si="113"/>
        <v>0</v>
      </c>
      <c r="CJ33" s="458">
        <f t="shared" si="114"/>
        <v>0</v>
      </c>
      <c r="CK33" s="458">
        <f t="shared" si="63"/>
        <v>151.32232484977973</v>
      </c>
      <c r="CL33" s="457">
        <f t="shared" si="64"/>
        <v>850.53661132930529</v>
      </c>
      <c r="CM33" s="504"/>
      <c r="CN33" s="504"/>
    </row>
    <row r="34" spans="1:92" s="207" customFormat="1" ht="14.25" hidden="1" customHeight="1" x14ac:dyDescent="0.25">
      <c r="A34" s="389" t="str">
        <f>IF(D34="",CONCATENATE("Кабель ",IF(C34="а","А",""),$A$9),CONCATENATE("Кабель ",IF(C34="а","А",""),$A$9," ",D34,"*",F34,IF(G34="ок"," (ож)","")," - ",B34," ",IF(G34="мс"," фас. ",""),$A$2))</f>
        <v>Кабель ВВГ 3*16 - 0,66 ГОСТ 16442-80</v>
      </c>
      <c r="B34" s="511">
        <v>0.66</v>
      </c>
      <c r="C34" s="451" t="s">
        <v>163</v>
      </c>
      <c r="D34" s="274">
        <v>3</v>
      </c>
      <c r="E34" s="34" t="s">
        <v>40</v>
      </c>
      <c r="F34" s="289">
        <v>16</v>
      </c>
      <c r="G34" s="276" t="s">
        <v>154</v>
      </c>
      <c r="H34" s="460">
        <v>1.77</v>
      </c>
      <c r="I34" s="468">
        <v>7</v>
      </c>
      <c r="J34" s="469" t="s">
        <v>40</v>
      </c>
      <c r="K34" s="470">
        <f>ROUNDUP(SQRT(F34/I34/PI()*4*1.07),2)</f>
        <v>1.77</v>
      </c>
      <c r="L34" s="501">
        <v>1.39</v>
      </c>
      <c r="M34" s="466"/>
      <c r="N34" s="466"/>
      <c r="O34" s="466"/>
      <c r="P34" s="466"/>
      <c r="Q34" s="483">
        <f t="shared" si="0"/>
        <v>0.71000000000000008</v>
      </c>
      <c r="R34" s="484">
        <f>IF(B34=0.66,VLOOKUP(F34,'Данные ТНПА'!$B$8:$C$16,2,0),
IF(B34=1,VLOOKUP(F34,'Данные ТНПА'!$B$17:$C$37,2,0),"ошибка"))</f>
        <v>0.9</v>
      </c>
      <c r="S34" s="485">
        <f t="shared" si="1"/>
        <v>2.81</v>
      </c>
      <c r="T34" s="486"/>
      <c r="U34" s="487"/>
      <c r="V34" s="485">
        <f t="shared" si="2"/>
        <v>3.19</v>
      </c>
      <c r="W34" s="486"/>
      <c r="X34" s="487"/>
      <c r="Y34" s="489">
        <f t="shared" si="3"/>
        <v>0</v>
      </c>
      <c r="Z34" s="491">
        <f t="shared" si="4"/>
        <v>6.8584999999999994</v>
      </c>
      <c r="AA34" s="237">
        <f t="shared" si="5"/>
        <v>0</v>
      </c>
      <c r="AB34" s="452">
        <f t="shared" si="6"/>
        <v>6.8584999999999994</v>
      </c>
      <c r="AC34" s="201">
        <f t="shared" si="7"/>
        <v>0</v>
      </c>
      <c r="AD34" s="203">
        <f t="shared" si="8"/>
        <v>0</v>
      </c>
      <c r="AE34" s="37" t="str">
        <f t="shared" si="9"/>
        <v/>
      </c>
      <c r="AF34" s="202">
        <f t="shared" si="10"/>
        <v>0</v>
      </c>
      <c r="AG34" s="201">
        <f t="shared" si="11"/>
        <v>0</v>
      </c>
      <c r="AH34" s="61">
        <f t="shared" si="12"/>
        <v>6.8584999999999994</v>
      </c>
      <c r="AI34" s="443">
        <f t="shared" si="115"/>
        <v>0</v>
      </c>
      <c r="AJ34" s="444">
        <f t="shared" si="13"/>
        <v>0</v>
      </c>
      <c r="AK34" s="445">
        <f t="shared" si="14"/>
        <v>0</v>
      </c>
      <c r="AL34" s="446">
        <f t="shared" si="15"/>
        <v>0</v>
      </c>
      <c r="AM34" s="447">
        <f t="shared" si="16"/>
        <v>0</v>
      </c>
      <c r="AN34" s="24">
        <f t="shared" si="17"/>
        <v>6.8584999999999994</v>
      </c>
      <c r="AO34" s="443">
        <f t="shared" si="18"/>
        <v>0</v>
      </c>
      <c r="AP34" s="444">
        <f t="shared" si="19"/>
        <v>0</v>
      </c>
      <c r="AQ34" s="445">
        <f t="shared" si="20"/>
        <v>0</v>
      </c>
      <c r="AR34" s="446">
        <f t="shared" si="21"/>
        <v>0</v>
      </c>
      <c r="AS34" s="447">
        <f t="shared" si="22"/>
        <v>0</v>
      </c>
      <c r="AT34" s="24">
        <f t="shared" si="23"/>
        <v>6.8584999999999994</v>
      </c>
      <c r="AU34" s="443">
        <f t="shared" si="24"/>
        <v>0</v>
      </c>
      <c r="AV34" s="444">
        <f t="shared" si="25"/>
        <v>0</v>
      </c>
      <c r="AW34" s="445">
        <f t="shared" si="26"/>
        <v>0</v>
      </c>
      <c r="AX34" s="446">
        <f t="shared" si="27"/>
        <v>0</v>
      </c>
      <c r="AY34" s="447">
        <f t="shared" si="28"/>
        <v>0</v>
      </c>
      <c r="AZ34" s="24">
        <f t="shared" si="29"/>
        <v>6.8584999999999994</v>
      </c>
      <c r="BA34" s="43">
        <f>IF(BB34=0,0,
IF(D34=1,
(IF(AND(AH34&gt;'Данные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"ошибка_1"))))))),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"ошибка_2"))))))))</f>
        <v>0</v>
      </c>
      <c r="BB34" s="43">
        <f>IF(OR($AI$9=0,AND(D34&gt;1,F34&gt;10)),0,
IF(D34=1,
(IF(AND(AH34&gt;'Данные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"ошибка_1"))))))),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IF(AND(AH34&gt;'Данные ТНПА'!#REF!,AH34&lt;='Данные ТНПА'!#REF!),'Данные ТНПА'!#REF!,
"ошибка_2"))))))))</f>
        <v>0</v>
      </c>
      <c r="BC34" s="43">
        <f t="shared" si="30"/>
        <v>6.8584999999999994</v>
      </c>
      <c r="BD34" s="237">
        <f t="shared" si="31"/>
        <v>0</v>
      </c>
      <c r="BE34" s="43">
        <f t="shared" si="32"/>
        <v>0</v>
      </c>
      <c r="BF34" s="201">
        <f t="shared" si="33"/>
        <v>0</v>
      </c>
      <c r="BG34" s="201">
        <f t="shared" si="34"/>
        <v>0</v>
      </c>
      <c r="BH34" s="61">
        <f t="shared" si="35"/>
        <v>6.8584999999999994</v>
      </c>
      <c r="BI34" s="237">
        <f t="shared" si="36"/>
        <v>0</v>
      </c>
      <c r="BJ34" s="247">
        <f t="shared" si="37"/>
        <v>0</v>
      </c>
      <c r="BK34" s="431">
        <f t="shared" si="38"/>
        <v>0</v>
      </c>
      <c r="BL34" s="250">
        <f t="shared" si="39"/>
        <v>0</v>
      </c>
      <c r="BM34" s="237">
        <f t="shared" si="40"/>
        <v>0</v>
      </c>
      <c r="BN34" s="452">
        <f t="shared" si="41"/>
        <v>6.8584999999999994</v>
      </c>
      <c r="BO34" s="237">
        <f t="shared" si="42"/>
        <v>0</v>
      </c>
      <c r="BP34" s="432">
        <f t="shared" si="43"/>
        <v>0</v>
      </c>
      <c r="BQ34" s="22" t="str">
        <f t="shared" si="44"/>
        <v/>
      </c>
      <c r="BR34" s="250">
        <f t="shared" si="45"/>
        <v>0</v>
      </c>
      <c r="BS34" s="237">
        <f t="shared" si="46"/>
        <v>0</v>
      </c>
      <c r="BT34" s="452">
        <f t="shared" si="47"/>
        <v>6.8584999999999994</v>
      </c>
      <c r="BU34" s="492">
        <f t="shared" si="48"/>
        <v>1.1749999999999998</v>
      </c>
      <c r="BV34" s="493">
        <f>IF(BT34="","",
IF(AND(BT34&gt;'Данные ТНПА'!$K$8,BT34&lt;='Данные ТНПА'!$L$8),'Данные ТНПА'!$N$8,
IF(AND(BT34&gt;'Данные ТНПА'!$K$9,BT34&lt;='Данные ТНПА'!$L$9),'Данные ТНПА'!$N$9,
IF(AND(BT34&gt;'Данные ТНПА'!$K$10,BT34&lt;='Данные ТНПА'!$L$10),'Данные ТНПА'!$N$10,
IF(AND(BT34&gt;'Данные ТНПА'!$K$11,BT34&lt;='Данные ТНПА'!$L$11),'Данные ТНПА'!$N$11,
IF(AND(BT34&gt;'Данные ТНПА'!$K$12,BT34&lt;='Данные ТНПА'!$L$12),'Данные ТНПА'!$N$12,
IF(AND(BT34&gt;'Данные ТНПА'!$K$13,BT34&lt;='Данные ТНПА'!$L$13),'Данные ТНПА'!$N$13,
IF(AND(BT34&gt;'Данные ТНПА'!$K$14,BT34&lt;='Данные ТНПА'!$L$14),'Данные ТНПА'!$N$14))))))))</f>
        <v>1.5</v>
      </c>
      <c r="BW34" s="493">
        <f t="shared" si="49"/>
        <v>9.8584999999999994</v>
      </c>
      <c r="BX34" s="457">
        <f t="shared" si="50"/>
        <v>0</v>
      </c>
      <c r="BY34" s="457">
        <f t="shared" si="51"/>
        <v>429.70704000000001</v>
      </c>
      <c r="BZ34" s="457">
        <f t="shared" si="52"/>
        <v>28.832086568310146</v>
      </c>
      <c r="CA34" s="457" t="e">
        <f t="shared" si="53"/>
        <v>#REF!</v>
      </c>
      <c r="CB34" s="458">
        <f t="shared" si="54"/>
        <v>0</v>
      </c>
      <c r="CC34" s="457">
        <f t="shared" si="55"/>
        <v>0</v>
      </c>
      <c r="CD34" s="457">
        <f t="shared" si="56"/>
        <v>0</v>
      </c>
      <c r="CE34" s="457">
        <f t="shared" si="57"/>
        <v>0</v>
      </c>
      <c r="CF34" s="457">
        <f t="shared" si="58"/>
        <v>0</v>
      </c>
      <c r="CG34" s="458">
        <f t="shared" si="59"/>
        <v>0</v>
      </c>
      <c r="CH34" s="457">
        <f t="shared" si="60"/>
        <v>0</v>
      </c>
      <c r="CI34" s="457">
        <f t="shared" si="61"/>
        <v>0</v>
      </c>
      <c r="CJ34" s="458">
        <f t="shared" si="62"/>
        <v>0</v>
      </c>
      <c r="CK34" s="458">
        <f t="shared" si="63"/>
        <v>57.349660793946136</v>
      </c>
      <c r="CL34" s="457">
        <f t="shared" si="64"/>
        <v>515.88878736225627</v>
      </c>
      <c r="CM34" s="504"/>
      <c r="CN34" s="504"/>
    </row>
    <row r="35" spans="1:92" s="207" customFormat="1" ht="14.25" hidden="1" customHeight="1" x14ac:dyDescent="0.25">
      <c r="A35" s="389" t="str">
        <f>IF(D35="",CONCATENATE("Кабель ",IF(C35="а","А",""),$A$9),CONCATENATE("Кабель ",IF(C35="а","А",""),$A$9," ",D35,"*",F35,IF(G35="ок"," (ож)","")," - ",B35," ",IF(G35="мс"," фас. ",""),$A$2))</f>
        <v>Кабель ВВГ 3*25 - 0,66 ГОСТ 16442-80</v>
      </c>
      <c r="B35" s="450">
        <v>0.66</v>
      </c>
      <c r="C35" s="451" t="s">
        <v>163</v>
      </c>
      <c r="D35" s="439">
        <v>3</v>
      </c>
      <c r="E35" s="34" t="s">
        <v>40</v>
      </c>
      <c r="F35" s="289">
        <v>25</v>
      </c>
      <c r="G35" s="276" t="s">
        <v>154</v>
      </c>
      <c r="H35" s="460">
        <v>2.21</v>
      </c>
      <c r="I35" s="468">
        <v>7</v>
      </c>
      <c r="J35" s="469" t="s">
        <v>40</v>
      </c>
      <c r="K35" s="470">
        <f>ROUNDUP(SQRT(F35/I35/PI()*4*1.07),2)</f>
        <v>2.21</v>
      </c>
      <c r="L35" s="501">
        <v>1.79</v>
      </c>
      <c r="M35" s="467"/>
      <c r="N35" s="467"/>
      <c r="O35" s="467"/>
      <c r="P35" s="467"/>
      <c r="Q35" s="483">
        <f t="shared" si="0"/>
        <v>0.89000000000000012</v>
      </c>
      <c r="R35" s="484">
        <f>IF(B35=0.66,VLOOKUP(F35,'Данные ТНПА'!$B$8:$C$16,2,0),
IF(B35=1,VLOOKUP(F35,'Данные ТНПА'!$B$17:$C$37,2,0),"ошибка"))</f>
        <v>1.1000000000000001</v>
      </c>
      <c r="S35" s="485">
        <f t="shared" si="1"/>
        <v>3.5700000000000003</v>
      </c>
      <c r="T35" s="486"/>
      <c r="U35" s="487"/>
      <c r="V35" s="485">
        <f t="shared" si="2"/>
        <v>3.99</v>
      </c>
      <c r="W35" s="486"/>
      <c r="X35" s="487"/>
      <c r="Y35" s="489">
        <f t="shared" si="3"/>
        <v>0</v>
      </c>
      <c r="Z35" s="491">
        <f t="shared" si="4"/>
        <v>8.5785</v>
      </c>
      <c r="AA35" s="237">
        <f t="shared" si="5"/>
        <v>0</v>
      </c>
      <c r="AB35" s="452">
        <f t="shared" si="6"/>
        <v>8.5785</v>
      </c>
      <c r="AC35" s="201">
        <f t="shared" si="7"/>
        <v>0</v>
      </c>
      <c r="AD35" s="203">
        <f t="shared" si="8"/>
        <v>0</v>
      </c>
      <c r="AE35" s="37" t="str">
        <f t="shared" si="9"/>
        <v/>
      </c>
      <c r="AF35" s="202">
        <f t="shared" si="10"/>
        <v>0</v>
      </c>
      <c r="AG35" s="201">
        <f t="shared" si="11"/>
        <v>0</v>
      </c>
      <c r="AH35" s="61">
        <f t="shared" si="12"/>
        <v>8.5785</v>
      </c>
      <c r="AI35" s="443">
        <f t="shared" si="115"/>
        <v>0</v>
      </c>
      <c r="AJ35" s="444">
        <f t="shared" si="13"/>
        <v>0</v>
      </c>
      <c r="AK35" s="445">
        <f t="shared" si="14"/>
        <v>0</v>
      </c>
      <c r="AL35" s="446">
        <f t="shared" si="15"/>
        <v>0</v>
      </c>
      <c r="AM35" s="447">
        <f t="shared" si="16"/>
        <v>0</v>
      </c>
      <c r="AN35" s="24">
        <f t="shared" si="17"/>
        <v>8.5785</v>
      </c>
      <c r="AO35" s="443">
        <f t="shared" si="18"/>
        <v>0</v>
      </c>
      <c r="AP35" s="444">
        <f t="shared" si="19"/>
        <v>0</v>
      </c>
      <c r="AQ35" s="445">
        <f t="shared" si="20"/>
        <v>0</v>
      </c>
      <c r="AR35" s="446">
        <f t="shared" si="21"/>
        <v>0</v>
      </c>
      <c r="AS35" s="447">
        <f t="shared" si="22"/>
        <v>0</v>
      </c>
      <c r="AT35" s="24">
        <f t="shared" si="23"/>
        <v>8.5785</v>
      </c>
      <c r="AU35" s="443">
        <f t="shared" si="24"/>
        <v>0</v>
      </c>
      <c r="AV35" s="444">
        <f t="shared" si="25"/>
        <v>0</v>
      </c>
      <c r="AW35" s="445">
        <f t="shared" si="26"/>
        <v>0</v>
      </c>
      <c r="AX35" s="446">
        <f t="shared" si="27"/>
        <v>0</v>
      </c>
      <c r="AY35" s="447">
        <f t="shared" si="28"/>
        <v>0</v>
      </c>
      <c r="AZ35" s="24">
        <f t="shared" si="29"/>
        <v>8.5785</v>
      </c>
      <c r="BA35" s="43">
        <f>IF(BB35=0,0,
IF(D35=1,
(IF(AND(AH35&gt;'Данные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"ошибка_1"))))))),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"ошибка_2"))))))))</f>
        <v>0</v>
      </c>
      <c r="BB35" s="43">
        <f>IF(OR($AI$9=0,AND(D35&gt;1,F35&gt;10)),0,
IF(D35=1,
(IF(AND(AH35&gt;'Данные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"ошибка_1"))))))),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IF(AND(AH35&gt;'Данные ТНПА'!#REF!,AH35&lt;='Данные ТНПА'!#REF!),'Данные ТНПА'!#REF!,
"ошибка_2"))))))))</f>
        <v>0</v>
      </c>
      <c r="BC35" s="43">
        <f t="shared" si="30"/>
        <v>8.5785</v>
      </c>
      <c r="BD35" s="237">
        <f t="shared" si="31"/>
        <v>0</v>
      </c>
      <c r="BE35" s="43">
        <f t="shared" si="32"/>
        <v>0</v>
      </c>
      <c r="BF35" s="201">
        <f t="shared" si="33"/>
        <v>0</v>
      </c>
      <c r="BG35" s="201">
        <f t="shared" si="34"/>
        <v>0</v>
      </c>
      <c r="BH35" s="61">
        <f t="shared" si="35"/>
        <v>8.5785</v>
      </c>
      <c r="BI35" s="237">
        <f t="shared" si="36"/>
        <v>0</v>
      </c>
      <c r="BJ35" s="247">
        <f t="shared" si="37"/>
        <v>0</v>
      </c>
      <c r="BK35" s="431">
        <f t="shared" si="38"/>
        <v>0</v>
      </c>
      <c r="BL35" s="250">
        <f t="shared" si="39"/>
        <v>0</v>
      </c>
      <c r="BM35" s="237">
        <f t="shared" si="40"/>
        <v>0</v>
      </c>
      <c r="BN35" s="452">
        <f t="shared" si="41"/>
        <v>8.5785</v>
      </c>
      <c r="BO35" s="237">
        <f t="shared" si="42"/>
        <v>0</v>
      </c>
      <c r="BP35" s="432">
        <f t="shared" si="43"/>
        <v>0</v>
      </c>
      <c r="BQ35" s="22" t="str">
        <f t="shared" si="44"/>
        <v/>
      </c>
      <c r="BR35" s="250">
        <f t="shared" si="45"/>
        <v>0</v>
      </c>
      <c r="BS35" s="237">
        <f t="shared" si="46"/>
        <v>0</v>
      </c>
      <c r="BT35" s="452">
        <f t="shared" si="47"/>
        <v>8.5785</v>
      </c>
      <c r="BU35" s="492">
        <f t="shared" si="48"/>
        <v>1.1749999999999998</v>
      </c>
      <c r="BV35" s="493">
        <f>IF(BT35="","",
IF(AND(BT35&gt;'Данные ТНПА'!$K$8,BT35&lt;='Данные ТНПА'!$L$8),'Данные ТНПА'!$N$8,
IF(AND(BT35&gt;'Данные ТНПА'!$K$9,BT35&lt;='Данные ТНПА'!$L$9),'Данные ТНПА'!$N$9,
IF(AND(BT35&gt;'Данные ТНПА'!$K$10,BT35&lt;='Данные ТНПА'!$L$10),'Данные ТНПА'!$N$10,
IF(AND(BT35&gt;'Данные ТНПА'!$K$11,BT35&lt;='Данные ТНПА'!$L$11),'Данные ТНПА'!$N$11,
IF(AND(BT35&gt;'Данные ТНПА'!$K$12,BT35&lt;='Данные ТНПА'!$L$12),'Данные ТНПА'!$N$12,
IF(AND(BT35&gt;'Данные ТНПА'!$K$13,BT35&lt;='Данные ТНПА'!$L$13),'Данные ТНПА'!$N$13,
IF(AND(BT35&gt;'Данные ТНПА'!$K$14,BT35&lt;='Данные ТНПА'!$L$14),'Данные ТНПА'!$N$14))))))))</f>
        <v>1.5</v>
      </c>
      <c r="BW35" s="493">
        <f t="shared" si="49"/>
        <v>11.5785</v>
      </c>
      <c r="BX35" s="457">
        <f t="shared" si="50"/>
        <v>0</v>
      </c>
      <c r="BY35" s="457">
        <f t="shared" si="51"/>
        <v>671.41724999999997</v>
      </c>
      <c r="BZ35" s="457">
        <f t="shared" si="52"/>
        <v>44.472199515117865</v>
      </c>
      <c r="CA35" s="457" t="e">
        <f t="shared" si="53"/>
        <v>#REF!</v>
      </c>
      <c r="CB35" s="458">
        <f t="shared" si="54"/>
        <v>0</v>
      </c>
      <c r="CC35" s="457">
        <f t="shared" si="55"/>
        <v>0</v>
      </c>
      <c r="CD35" s="457">
        <f t="shared" si="56"/>
        <v>0</v>
      </c>
      <c r="CE35" s="457">
        <f t="shared" si="57"/>
        <v>0</v>
      </c>
      <c r="CF35" s="457">
        <f t="shared" si="58"/>
        <v>0</v>
      </c>
      <c r="CG35" s="458">
        <f t="shared" si="59"/>
        <v>0</v>
      </c>
      <c r="CH35" s="457">
        <f t="shared" si="60"/>
        <v>0</v>
      </c>
      <c r="CI35" s="457">
        <f t="shared" si="61"/>
        <v>0</v>
      </c>
      <c r="CJ35" s="458">
        <f t="shared" si="62"/>
        <v>0</v>
      </c>
      <c r="CK35" s="458">
        <f t="shared" si="63"/>
        <v>69.150990765303135</v>
      </c>
      <c r="CL35" s="457">
        <f t="shared" si="64"/>
        <v>785.04044028042097</v>
      </c>
      <c r="CM35" s="504"/>
      <c r="CN35" s="504"/>
    </row>
    <row r="36" spans="1:92" s="207" customFormat="1" ht="14.25" hidden="1" customHeight="1" x14ac:dyDescent="0.25">
      <c r="A36" s="389" t="str">
        <f>IF(D36="",CONCATENATE("Кабель ",IF(C36="а","А",""),$A$9),CONCATENATE("Кабель ",IF(C36="а","А",""),$A$9," ",D36,"*",F36,IF(G36="ок"," (ож)","")," - ",B36," ",IF(G36="мс"," фас. ",""),$A$2))</f>
        <v>Кабель ВВГ 3*35 - 0,66 ГОСТ 16442-80</v>
      </c>
      <c r="B36" s="450">
        <v>0.66</v>
      </c>
      <c r="C36" s="451" t="s">
        <v>163</v>
      </c>
      <c r="D36" s="439">
        <v>3</v>
      </c>
      <c r="E36" s="34" t="s">
        <v>40</v>
      </c>
      <c r="F36" s="289">
        <v>35</v>
      </c>
      <c r="G36" s="276" t="s">
        <v>154</v>
      </c>
      <c r="H36" s="460">
        <v>2.61</v>
      </c>
      <c r="I36" s="468">
        <v>7</v>
      </c>
      <c r="J36" s="469" t="s">
        <v>40</v>
      </c>
      <c r="K36" s="470">
        <f>ROUNDUP(SQRT(F36/I36/PI()*4*1.07),2)</f>
        <v>2.61</v>
      </c>
      <c r="L36" s="501">
        <v>2.2599999999999998</v>
      </c>
      <c r="M36" s="467"/>
      <c r="N36" s="467"/>
      <c r="O36" s="467"/>
      <c r="P36" s="467"/>
      <c r="Q36" s="483">
        <f t="shared" si="0"/>
        <v>0.89000000000000012</v>
      </c>
      <c r="R36" s="484">
        <f>IF(B36=0.66,VLOOKUP(F36,'Данные ТНПА'!$B$8:$C$16,2,0),
IF(B36=1,VLOOKUP(F36,'Данные ТНПА'!$B$17:$C$37,2,0),"ошибка"))</f>
        <v>1.1000000000000001</v>
      </c>
      <c r="S36" s="485">
        <f t="shared" si="1"/>
        <v>4.04</v>
      </c>
      <c r="T36" s="486"/>
      <c r="U36" s="487"/>
      <c r="V36" s="485">
        <f t="shared" si="2"/>
        <v>4.46</v>
      </c>
      <c r="W36" s="486"/>
      <c r="X36" s="487"/>
      <c r="Y36" s="489">
        <f t="shared" si="3"/>
        <v>0</v>
      </c>
      <c r="Z36" s="491">
        <f t="shared" si="4"/>
        <v>9.5890000000000004</v>
      </c>
      <c r="AA36" s="237">
        <f t="shared" si="5"/>
        <v>0</v>
      </c>
      <c r="AB36" s="452">
        <f t="shared" si="6"/>
        <v>9.5890000000000004</v>
      </c>
      <c r="AC36" s="201">
        <f t="shared" si="7"/>
        <v>0</v>
      </c>
      <c r="AD36" s="203">
        <f t="shared" si="8"/>
        <v>0</v>
      </c>
      <c r="AE36" s="37" t="str">
        <f t="shared" si="9"/>
        <v/>
      </c>
      <c r="AF36" s="202">
        <f t="shared" si="10"/>
        <v>0</v>
      </c>
      <c r="AG36" s="201">
        <f t="shared" si="11"/>
        <v>0</v>
      </c>
      <c r="AH36" s="61">
        <f t="shared" si="12"/>
        <v>9.5890000000000004</v>
      </c>
      <c r="AI36" s="443">
        <f t="shared" si="115"/>
        <v>0</v>
      </c>
      <c r="AJ36" s="444">
        <f t="shared" si="13"/>
        <v>0</v>
      </c>
      <c r="AK36" s="445">
        <f t="shared" si="14"/>
        <v>0</v>
      </c>
      <c r="AL36" s="446">
        <f t="shared" si="15"/>
        <v>0</v>
      </c>
      <c r="AM36" s="447">
        <f t="shared" si="16"/>
        <v>0</v>
      </c>
      <c r="AN36" s="24">
        <f t="shared" si="17"/>
        <v>9.5890000000000004</v>
      </c>
      <c r="AO36" s="443">
        <f t="shared" si="18"/>
        <v>0</v>
      </c>
      <c r="AP36" s="444">
        <f t="shared" si="19"/>
        <v>0</v>
      </c>
      <c r="AQ36" s="445">
        <f t="shared" si="20"/>
        <v>0</v>
      </c>
      <c r="AR36" s="446">
        <f t="shared" si="21"/>
        <v>0</v>
      </c>
      <c r="AS36" s="447">
        <f t="shared" si="22"/>
        <v>0</v>
      </c>
      <c r="AT36" s="24">
        <f t="shared" si="23"/>
        <v>9.5890000000000004</v>
      </c>
      <c r="AU36" s="443">
        <f t="shared" si="24"/>
        <v>0</v>
      </c>
      <c r="AV36" s="444">
        <f t="shared" si="25"/>
        <v>0</v>
      </c>
      <c r="AW36" s="445">
        <f t="shared" si="26"/>
        <v>0</v>
      </c>
      <c r="AX36" s="446">
        <f t="shared" si="27"/>
        <v>0</v>
      </c>
      <c r="AY36" s="447">
        <f t="shared" si="28"/>
        <v>0</v>
      </c>
      <c r="AZ36" s="24">
        <f t="shared" si="29"/>
        <v>9.5890000000000004</v>
      </c>
      <c r="BA36" s="43">
        <f>IF(BB36=0,0,
IF(D36=1,
(IF(AND(AH36&gt;'Данные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"ошибка_1"))))))),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"ошибка_2"))))))))</f>
        <v>0</v>
      </c>
      <c r="BB36" s="43">
        <f>IF(OR($AI$9=0,AND(D36&gt;1,F36&gt;10)),0,
IF(D36=1,
(IF(AND(AH36&gt;'Данные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"ошибка_1"))))))),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IF(AND(AH36&gt;'Данные ТНПА'!#REF!,AH36&lt;='Данные ТНПА'!#REF!),'Данные ТНПА'!#REF!,
"ошибка_2"))))))))</f>
        <v>0</v>
      </c>
      <c r="BC36" s="43">
        <f t="shared" si="30"/>
        <v>9.5890000000000004</v>
      </c>
      <c r="BD36" s="237">
        <f t="shared" si="31"/>
        <v>0</v>
      </c>
      <c r="BE36" s="43">
        <f t="shared" si="32"/>
        <v>0</v>
      </c>
      <c r="BF36" s="201">
        <f t="shared" si="33"/>
        <v>0</v>
      </c>
      <c r="BG36" s="201">
        <f t="shared" si="34"/>
        <v>0</v>
      </c>
      <c r="BH36" s="61">
        <f t="shared" si="35"/>
        <v>9.5890000000000004</v>
      </c>
      <c r="BI36" s="237">
        <f t="shared" si="36"/>
        <v>0</v>
      </c>
      <c r="BJ36" s="247">
        <f t="shared" si="37"/>
        <v>0</v>
      </c>
      <c r="BK36" s="431">
        <f t="shared" si="38"/>
        <v>0</v>
      </c>
      <c r="BL36" s="250">
        <f t="shared" si="39"/>
        <v>0</v>
      </c>
      <c r="BM36" s="237">
        <f t="shared" si="40"/>
        <v>0</v>
      </c>
      <c r="BN36" s="452">
        <f t="shared" si="41"/>
        <v>9.5890000000000004</v>
      </c>
      <c r="BO36" s="237">
        <f t="shared" si="42"/>
        <v>0</v>
      </c>
      <c r="BP36" s="432">
        <f t="shared" si="43"/>
        <v>0</v>
      </c>
      <c r="BQ36" s="22" t="str">
        <f t="shared" si="44"/>
        <v/>
      </c>
      <c r="BR36" s="250">
        <f t="shared" si="45"/>
        <v>0</v>
      </c>
      <c r="BS36" s="237">
        <f t="shared" si="46"/>
        <v>0</v>
      </c>
      <c r="BT36" s="452">
        <f t="shared" si="47"/>
        <v>9.5890000000000004</v>
      </c>
      <c r="BU36" s="492">
        <f t="shared" si="48"/>
        <v>1.1749999999999998</v>
      </c>
      <c r="BV36" s="493">
        <f>IF(BT36="","",
IF(AND(BT36&gt;'Данные ТНПА'!$K$8,BT36&lt;='Данные ТНПА'!$L$8),'Данные ТНПА'!$N$8,
IF(AND(BT36&gt;'Данные ТНПА'!$K$9,BT36&lt;='Данные ТНПА'!$L$9),'Данные ТНПА'!$N$9,
IF(AND(BT36&gt;'Данные ТНПА'!$K$10,BT36&lt;='Данные ТНПА'!$L$10),'Данные ТНПА'!$N$10,
IF(AND(BT36&gt;'Данные ТНПА'!$K$11,BT36&lt;='Данные ТНПА'!$L$11),'Данные ТНПА'!$N$11,
IF(AND(BT36&gt;'Данные ТНПА'!$K$12,BT36&lt;='Данные ТНПА'!$L$12),'Данные ТНПА'!$N$12,
IF(AND(BT36&gt;'Данные ТНПА'!$K$13,BT36&lt;='Данные ТНПА'!$L$13),'Данные ТНПА'!$N$13,
IF(AND(BT36&gt;'Данные ТНПА'!$K$14,BT36&lt;='Данные ТНПА'!$L$14),'Данные ТНПА'!$N$14))))))))</f>
        <v>1.5</v>
      </c>
      <c r="BW36" s="493">
        <f t="shared" si="49"/>
        <v>12.589</v>
      </c>
      <c r="BX36" s="457">
        <f t="shared" si="50"/>
        <v>0</v>
      </c>
      <c r="BY36" s="457">
        <f t="shared" si="51"/>
        <v>939.98415</v>
      </c>
      <c r="BZ36" s="457">
        <f t="shared" si="52"/>
        <v>51.704702550448459</v>
      </c>
      <c r="CA36" s="457" t="e">
        <f t="shared" si="53"/>
        <v>#REF!</v>
      </c>
      <c r="CB36" s="458">
        <f t="shared" si="54"/>
        <v>0</v>
      </c>
      <c r="CC36" s="457">
        <f t="shared" si="55"/>
        <v>0</v>
      </c>
      <c r="CD36" s="457">
        <f t="shared" si="56"/>
        <v>0</v>
      </c>
      <c r="CE36" s="457">
        <f t="shared" si="57"/>
        <v>0</v>
      </c>
      <c r="CF36" s="457">
        <f t="shared" si="58"/>
        <v>0</v>
      </c>
      <c r="CG36" s="458">
        <f t="shared" si="59"/>
        <v>0</v>
      </c>
      <c r="CH36" s="457">
        <f t="shared" si="60"/>
        <v>0</v>
      </c>
      <c r="CI36" s="457">
        <f t="shared" si="61"/>
        <v>0</v>
      </c>
      <c r="CJ36" s="458">
        <f t="shared" si="62"/>
        <v>0</v>
      </c>
      <c r="CK36" s="458">
        <f t="shared" si="63"/>
        <v>76.084272123475358</v>
      </c>
      <c r="CL36" s="457">
        <f t="shared" si="64"/>
        <v>1067.7731246739238</v>
      </c>
      <c r="CM36" s="504"/>
      <c r="CN36" s="504"/>
    </row>
    <row r="37" spans="1:92" s="207" customFormat="1" ht="14.25" hidden="1" customHeight="1" x14ac:dyDescent="0.25">
      <c r="A37" s="389" t="str">
        <f>IF(D37="",CONCATENATE("Кабель ",IF(C37="а","А",""),$A$9),CONCATENATE("Кабель ",IF(C37="а","А",""),$A$9," ",D37,"*",F37,IF(G37="ок"," (ож)","")," - ",B37," ",IF(G37="мс"," фас. ",""),$A$2))</f>
        <v>Кабель ВВГ 3*50 - 0,66 ГОСТ 16442-80</v>
      </c>
      <c r="B37" s="450">
        <v>0.66</v>
      </c>
      <c r="C37" s="451" t="s">
        <v>163</v>
      </c>
      <c r="D37" s="439">
        <v>3</v>
      </c>
      <c r="E37" s="34" t="s">
        <v>40</v>
      </c>
      <c r="F37" s="289">
        <v>50</v>
      </c>
      <c r="G37" s="276" t="s">
        <v>154</v>
      </c>
      <c r="H37" s="460">
        <v>3.1199999999999997</v>
      </c>
      <c r="I37" s="468">
        <v>7</v>
      </c>
      <c r="J37" s="469" t="s">
        <v>40</v>
      </c>
      <c r="K37" s="470">
        <f>ROUNDUP(SQRT(F37/I37/PI()*4*1.07),2)</f>
        <v>3.1199999999999997</v>
      </c>
      <c r="L37" s="501">
        <v>2.7699999999999996</v>
      </c>
      <c r="M37" s="467"/>
      <c r="N37" s="467"/>
      <c r="O37" s="467"/>
      <c r="P37" s="467"/>
      <c r="Q37" s="483">
        <f t="shared" si="0"/>
        <v>1.07</v>
      </c>
      <c r="R37" s="484">
        <f>IF(B37=0.66,VLOOKUP(F37,'Данные ТНПА'!$B$8:$C$16,2,0),
IF(B37=1,VLOOKUP(F37,'Данные ТНПА'!$B$17:$C$37,2,0),"ошибка"))</f>
        <v>1.3</v>
      </c>
      <c r="S37" s="485">
        <f t="shared" si="1"/>
        <v>4.91</v>
      </c>
      <c r="T37" s="486"/>
      <c r="U37" s="487"/>
      <c r="V37" s="485">
        <f t="shared" si="2"/>
        <v>5.3699999999999992</v>
      </c>
      <c r="W37" s="486"/>
      <c r="X37" s="487"/>
      <c r="Y37" s="489">
        <f t="shared" si="3"/>
        <v>0</v>
      </c>
      <c r="Z37" s="491">
        <f t="shared" si="4"/>
        <v>11.545499999999997</v>
      </c>
      <c r="AA37" s="237">
        <f t="shared" si="5"/>
        <v>0</v>
      </c>
      <c r="AB37" s="452">
        <f t="shared" si="6"/>
        <v>11.545499999999997</v>
      </c>
      <c r="AC37" s="201">
        <f t="shared" si="7"/>
        <v>0</v>
      </c>
      <c r="AD37" s="203">
        <f t="shared" si="8"/>
        <v>0</v>
      </c>
      <c r="AE37" s="37" t="str">
        <f t="shared" si="9"/>
        <v/>
      </c>
      <c r="AF37" s="202">
        <f t="shared" si="10"/>
        <v>0</v>
      </c>
      <c r="AG37" s="201">
        <f t="shared" si="11"/>
        <v>0</v>
      </c>
      <c r="AH37" s="61">
        <f t="shared" si="12"/>
        <v>11.545499999999997</v>
      </c>
      <c r="AI37" s="443">
        <f t="shared" si="115"/>
        <v>0</v>
      </c>
      <c r="AJ37" s="444">
        <f t="shared" si="13"/>
        <v>0</v>
      </c>
      <c r="AK37" s="445">
        <f t="shared" si="14"/>
        <v>0</v>
      </c>
      <c r="AL37" s="446">
        <f t="shared" si="15"/>
        <v>0</v>
      </c>
      <c r="AM37" s="447">
        <f t="shared" si="16"/>
        <v>0</v>
      </c>
      <c r="AN37" s="24">
        <f t="shared" si="17"/>
        <v>11.545499999999997</v>
      </c>
      <c r="AO37" s="443">
        <f t="shared" si="18"/>
        <v>0</v>
      </c>
      <c r="AP37" s="444">
        <f t="shared" si="19"/>
        <v>0</v>
      </c>
      <c r="AQ37" s="445">
        <f t="shared" si="20"/>
        <v>0</v>
      </c>
      <c r="AR37" s="446">
        <f t="shared" si="21"/>
        <v>0</v>
      </c>
      <c r="AS37" s="447">
        <f t="shared" si="22"/>
        <v>0</v>
      </c>
      <c r="AT37" s="24">
        <f t="shared" si="23"/>
        <v>11.545499999999997</v>
      </c>
      <c r="AU37" s="443">
        <f t="shared" si="24"/>
        <v>0</v>
      </c>
      <c r="AV37" s="444">
        <f t="shared" si="25"/>
        <v>0</v>
      </c>
      <c r="AW37" s="445">
        <f t="shared" si="26"/>
        <v>0</v>
      </c>
      <c r="AX37" s="446">
        <f t="shared" si="27"/>
        <v>0</v>
      </c>
      <c r="AY37" s="447">
        <f t="shared" si="28"/>
        <v>0</v>
      </c>
      <c r="AZ37" s="24">
        <f t="shared" si="29"/>
        <v>11.545499999999997</v>
      </c>
      <c r="BA37" s="43">
        <f>IF(BB37=0,0,
IF(D37=1,
(IF(AND(AH37&gt;'Данные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"ошибка_1"))))))),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"ошибка_2"))))))))</f>
        <v>0</v>
      </c>
      <c r="BB37" s="43">
        <f>IF(OR($AI$9=0,AND(D37&gt;1,F37&gt;10)),0,
IF(D37=1,
(IF(AND(AH37&gt;'Данные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"ошибка_1"))))))),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IF(AND(AH37&gt;'Данные ТНПА'!#REF!,AH37&lt;='Данные ТНПА'!#REF!),'Данные ТНПА'!#REF!,
"ошибка_2"))))))))</f>
        <v>0</v>
      </c>
      <c r="BC37" s="43">
        <f t="shared" si="30"/>
        <v>11.545499999999997</v>
      </c>
      <c r="BD37" s="237">
        <f t="shared" si="31"/>
        <v>0</v>
      </c>
      <c r="BE37" s="43">
        <f t="shared" si="32"/>
        <v>0</v>
      </c>
      <c r="BF37" s="201">
        <f t="shared" si="33"/>
        <v>0</v>
      </c>
      <c r="BG37" s="201">
        <f t="shared" si="34"/>
        <v>0</v>
      </c>
      <c r="BH37" s="61">
        <f t="shared" si="35"/>
        <v>11.545499999999997</v>
      </c>
      <c r="BI37" s="237">
        <f t="shared" si="36"/>
        <v>0</v>
      </c>
      <c r="BJ37" s="247">
        <f t="shared" si="37"/>
        <v>0</v>
      </c>
      <c r="BK37" s="431">
        <f t="shared" si="38"/>
        <v>0</v>
      </c>
      <c r="BL37" s="250">
        <f t="shared" si="39"/>
        <v>0</v>
      </c>
      <c r="BM37" s="237">
        <f t="shared" si="40"/>
        <v>0</v>
      </c>
      <c r="BN37" s="452">
        <f t="shared" si="41"/>
        <v>11.545499999999997</v>
      </c>
      <c r="BO37" s="237">
        <f t="shared" si="42"/>
        <v>0</v>
      </c>
      <c r="BP37" s="432">
        <f t="shared" si="43"/>
        <v>0</v>
      </c>
      <c r="BQ37" s="22" t="str">
        <f t="shared" si="44"/>
        <v/>
      </c>
      <c r="BR37" s="250">
        <f t="shared" si="45"/>
        <v>0</v>
      </c>
      <c r="BS37" s="237">
        <f t="shared" si="46"/>
        <v>0</v>
      </c>
      <c r="BT37" s="452">
        <f t="shared" si="47"/>
        <v>11.545499999999997</v>
      </c>
      <c r="BU37" s="492">
        <f t="shared" si="48"/>
        <v>1.1749999999999998</v>
      </c>
      <c r="BV37" s="493">
        <f>IF(BT37="","",
IF(AND(BT37&gt;'Данные ТНПА'!$K$8,BT37&lt;='Данные ТНПА'!$L$8),'Данные ТНПА'!$N$8,
IF(AND(BT37&gt;'Данные ТНПА'!$K$9,BT37&lt;='Данные ТНПА'!$L$9),'Данные ТНПА'!$N$9,
IF(AND(BT37&gt;'Данные ТНПА'!$K$10,BT37&lt;='Данные ТНПА'!$L$10),'Данные ТНПА'!$N$10,
IF(AND(BT37&gt;'Данные ТНПА'!$K$11,BT37&lt;='Данные ТНПА'!$L$11),'Данные ТНПА'!$N$11,
IF(AND(BT37&gt;'Данные ТНПА'!$K$12,BT37&lt;='Данные ТНПА'!$L$12),'Данные ТНПА'!$N$12,
IF(AND(BT37&gt;'Данные ТНПА'!$K$13,BT37&lt;='Данные ТНПА'!$L$13),'Данные ТНПА'!$N$13,
IF(AND(BT37&gt;'Данные ТНПА'!$K$14,BT37&lt;='Данные ТНПА'!$L$14),'Данные ТНПА'!$N$14))))))))</f>
        <v>1.5</v>
      </c>
      <c r="BW37" s="493">
        <f t="shared" si="49"/>
        <v>14.545499999999997</v>
      </c>
      <c r="BX37" s="457">
        <f t="shared" si="50"/>
        <v>0</v>
      </c>
      <c r="BY37" s="457">
        <f t="shared" si="51"/>
        <v>1342.8344999999999</v>
      </c>
      <c r="BZ37" s="457">
        <f t="shared" si="52"/>
        <v>74.017743829659835</v>
      </c>
      <c r="CA37" s="457" t="e">
        <f t="shared" si="53"/>
        <v>#REF!</v>
      </c>
      <c r="CB37" s="458">
        <f t="shared" si="54"/>
        <v>0</v>
      </c>
      <c r="CC37" s="457">
        <f t="shared" si="55"/>
        <v>0</v>
      </c>
      <c r="CD37" s="457">
        <f t="shared" si="56"/>
        <v>0</v>
      </c>
      <c r="CE37" s="457">
        <f t="shared" si="57"/>
        <v>0</v>
      </c>
      <c r="CF37" s="457">
        <f t="shared" si="58"/>
        <v>0</v>
      </c>
      <c r="CG37" s="458">
        <f t="shared" si="59"/>
        <v>0</v>
      </c>
      <c r="CH37" s="457">
        <f t="shared" si="60"/>
        <v>0</v>
      </c>
      <c r="CI37" s="457">
        <f t="shared" si="61"/>
        <v>0</v>
      </c>
      <c r="CJ37" s="458">
        <f t="shared" si="62"/>
        <v>0</v>
      </c>
      <c r="CK37" s="458">
        <f t="shared" si="63"/>
        <v>89.508284965893921</v>
      </c>
      <c r="CL37" s="457">
        <f t="shared" si="64"/>
        <v>1506.3605287955536</v>
      </c>
      <c r="CM37" s="504"/>
      <c r="CN37" s="504"/>
    </row>
    <row r="38" spans="1:92" s="207" customFormat="1" ht="14.25" hidden="1" customHeight="1" x14ac:dyDescent="0.25">
      <c r="A38" s="389" t="str">
        <f>IF(D38="",CONCATENATE("Кабель ",IF(C38="а","А",""),$A$9),CONCATENATE("Кабель ",IF(C38="а","А",""),$A$9," ",D38,"*",F38,IF(G38="ок"," (ож)","")," - ",B38," ",IF(G38="мс"," фас. ",""),$A$2))</f>
        <v>Кабель ВВГ 3*1,5 (ож) - 0,66 ГОСТ 16442-80</v>
      </c>
      <c r="B38" s="450">
        <v>0.66</v>
      </c>
      <c r="C38" s="451" t="s">
        <v>163</v>
      </c>
      <c r="D38" s="439">
        <v>3</v>
      </c>
      <c r="E38" s="34" t="s">
        <v>40</v>
      </c>
      <c r="F38" s="289">
        <v>1.5</v>
      </c>
      <c r="G38" s="276" t="s">
        <v>153</v>
      </c>
      <c r="H38" s="460">
        <v>1.39</v>
      </c>
      <c r="I38" s="494">
        <v>1</v>
      </c>
      <c r="J38" s="495" t="s">
        <v>40</v>
      </c>
      <c r="K38" s="496">
        <f>ROUNDUP(SQRT(F38/PI()*4),2)</f>
        <v>1.39</v>
      </c>
      <c r="L38" s="501">
        <v>3.57</v>
      </c>
      <c r="M38" s="467"/>
      <c r="N38" s="467"/>
      <c r="O38" s="467"/>
      <c r="P38" s="467"/>
      <c r="Q38" s="483">
        <f t="shared" si="0"/>
        <v>0.44000000000000006</v>
      </c>
      <c r="R38" s="484">
        <f>IF(B38=0.66,VLOOKUP(F38,'Данные ТНПА'!$B$8:$C$16,2,0),
IF(B38=1,VLOOKUP(F38,'Данные ТНПА'!$B$17:$C$37,2,0),"ошибка"))</f>
        <v>0.6</v>
      </c>
      <c r="S38" s="485">
        <f t="shared" si="1"/>
        <v>2.27</v>
      </c>
      <c r="T38" s="486"/>
      <c r="U38" s="487"/>
      <c r="V38" s="485">
        <f t="shared" si="2"/>
        <v>2.59</v>
      </c>
      <c r="W38" s="486"/>
      <c r="X38" s="487"/>
      <c r="Y38" s="489">
        <f t="shared" si="3"/>
        <v>0</v>
      </c>
      <c r="Z38" s="491">
        <f t="shared" si="4"/>
        <v>5.5684999999999993</v>
      </c>
      <c r="AA38" s="237">
        <f t="shared" si="5"/>
        <v>0</v>
      </c>
      <c r="AB38" s="452">
        <f t="shared" si="6"/>
        <v>5.5684999999999993</v>
      </c>
      <c r="AC38" s="201">
        <f t="shared" si="7"/>
        <v>0</v>
      </c>
      <c r="AD38" s="203">
        <f t="shared" si="8"/>
        <v>0</v>
      </c>
      <c r="AE38" s="37" t="str">
        <f t="shared" si="9"/>
        <v/>
      </c>
      <c r="AF38" s="202">
        <f t="shared" si="10"/>
        <v>0</v>
      </c>
      <c r="AG38" s="201">
        <f t="shared" si="11"/>
        <v>0</v>
      </c>
      <c r="AH38" s="61">
        <f t="shared" si="12"/>
        <v>5.5684999999999993</v>
      </c>
      <c r="AI38" s="443">
        <f t="shared" si="115"/>
        <v>0</v>
      </c>
      <c r="AJ38" s="444">
        <f t="shared" si="13"/>
        <v>0</v>
      </c>
      <c r="AK38" s="445">
        <f t="shared" si="14"/>
        <v>0</v>
      </c>
      <c r="AL38" s="446">
        <f t="shared" si="15"/>
        <v>0</v>
      </c>
      <c r="AM38" s="447">
        <f t="shared" si="16"/>
        <v>0</v>
      </c>
      <c r="AN38" s="24">
        <f t="shared" si="17"/>
        <v>5.5684999999999993</v>
      </c>
      <c r="AO38" s="443">
        <f t="shared" si="18"/>
        <v>0</v>
      </c>
      <c r="AP38" s="444">
        <f t="shared" si="19"/>
        <v>0</v>
      </c>
      <c r="AQ38" s="445">
        <f t="shared" si="20"/>
        <v>0</v>
      </c>
      <c r="AR38" s="446">
        <f t="shared" si="21"/>
        <v>0</v>
      </c>
      <c r="AS38" s="447">
        <f t="shared" si="22"/>
        <v>0</v>
      </c>
      <c r="AT38" s="24">
        <f t="shared" si="23"/>
        <v>5.5684999999999993</v>
      </c>
      <c r="AU38" s="443">
        <f t="shared" si="24"/>
        <v>0</v>
      </c>
      <c r="AV38" s="444">
        <f t="shared" si="25"/>
        <v>0</v>
      </c>
      <c r="AW38" s="445">
        <f t="shared" si="26"/>
        <v>0</v>
      </c>
      <c r="AX38" s="446">
        <f t="shared" si="27"/>
        <v>0</v>
      </c>
      <c r="AY38" s="447">
        <f t="shared" si="28"/>
        <v>0</v>
      </c>
      <c r="AZ38" s="24">
        <f t="shared" si="29"/>
        <v>5.5684999999999993</v>
      </c>
      <c r="BA38" s="43">
        <f>IF(BB38=0,0,
IF(D38=1,
(IF(AND(AH38&gt;'Данные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"ошибка_1"))))))),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"ошибка_2"))))))))</f>
        <v>0</v>
      </c>
      <c r="BB38" s="43">
        <f>IF(OR($AI$9=0,AND(D38&gt;1,F38&gt;10)),0,
IF(D38=1,
(IF(AND(AH38&gt;'Данные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"ошибка_1"))))))),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IF(AND(AH38&gt;'Данные ТНПА'!#REF!,AH38&lt;='Данные ТНПА'!#REF!),'Данные ТНПА'!#REF!,
"ошибка_2"))))))))</f>
        <v>0</v>
      </c>
      <c r="BC38" s="43">
        <f t="shared" si="30"/>
        <v>5.5684999999999993</v>
      </c>
      <c r="BD38" s="237">
        <f t="shared" si="31"/>
        <v>0</v>
      </c>
      <c r="BE38" s="43">
        <f t="shared" si="32"/>
        <v>0</v>
      </c>
      <c r="BF38" s="201">
        <f t="shared" si="33"/>
        <v>0</v>
      </c>
      <c r="BG38" s="201">
        <f t="shared" si="34"/>
        <v>0</v>
      </c>
      <c r="BH38" s="61">
        <f t="shared" si="35"/>
        <v>5.5684999999999993</v>
      </c>
      <c r="BI38" s="237">
        <f t="shared" si="36"/>
        <v>0</v>
      </c>
      <c r="BJ38" s="247">
        <f t="shared" si="37"/>
        <v>0</v>
      </c>
      <c r="BK38" s="431">
        <f t="shared" si="38"/>
        <v>0</v>
      </c>
      <c r="BL38" s="250">
        <f t="shared" si="39"/>
        <v>0</v>
      </c>
      <c r="BM38" s="237">
        <f t="shared" si="40"/>
        <v>0</v>
      </c>
      <c r="BN38" s="452">
        <f t="shared" si="41"/>
        <v>5.5684999999999993</v>
      </c>
      <c r="BO38" s="237">
        <f t="shared" si="42"/>
        <v>0</v>
      </c>
      <c r="BP38" s="432">
        <f t="shared" si="43"/>
        <v>0</v>
      </c>
      <c r="BQ38" s="22" t="str">
        <f t="shared" si="44"/>
        <v/>
      </c>
      <c r="BR38" s="250">
        <f t="shared" si="45"/>
        <v>0</v>
      </c>
      <c r="BS38" s="237">
        <f t="shared" si="46"/>
        <v>0</v>
      </c>
      <c r="BT38" s="452">
        <f t="shared" si="47"/>
        <v>5.5684999999999993</v>
      </c>
      <c r="BU38" s="492">
        <f t="shared" si="48"/>
        <v>0.92</v>
      </c>
      <c r="BV38" s="493">
        <f>IF(BT38="","",
IF(AND(BT38&gt;'Данные ТНПА'!$K$8,BT38&lt;='Данные ТНПА'!$L$8),'Данные ТНПА'!$N$8,
IF(AND(BT38&gt;'Данные ТНПА'!$K$9,BT38&lt;='Данные ТНПА'!$L$9),'Данные ТНПА'!$N$9,
IF(AND(BT38&gt;'Данные ТНПА'!$K$10,BT38&lt;='Данные ТНПА'!$L$10),'Данные ТНПА'!$N$10,
IF(AND(BT38&gt;'Данные ТНПА'!$K$11,BT38&lt;='Данные ТНПА'!$L$11),'Данные ТНПА'!$N$11,
IF(AND(BT38&gt;'Данные ТНПА'!$K$12,BT38&lt;='Данные ТНПА'!$L$12),'Данные ТНПА'!$N$12,
IF(AND(BT38&gt;'Данные ТНПА'!$K$13,BT38&lt;='Данные ТНПА'!$L$13),'Данные ТНПА'!$N$13,
IF(AND(BT38&gt;'Данные ТНПА'!$K$14,BT38&lt;='Данные ТНПА'!$L$14),'Данные ТНПА'!$N$14))))))))</f>
        <v>1.2</v>
      </c>
      <c r="BW38" s="493">
        <f t="shared" si="49"/>
        <v>7.9684999999999988</v>
      </c>
      <c r="BX38" s="457">
        <f t="shared" si="50"/>
        <v>0</v>
      </c>
      <c r="BY38" s="457">
        <f t="shared" si="51"/>
        <v>40.285035000000001</v>
      </c>
      <c r="BZ38" s="457">
        <f t="shared" si="52"/>
        <v>15.18482262033536</v>
      </c>
      <c r="CA38" s="457" t="e">
        <f t="shared" si="53"/>
        <v>#REF!</v>
      </c>
      <c r="CB38" s="458">
        <f t="shared" si="54"/>
        <v>0</v>
      </c>
      <c r="CC38" s="457">
        <f t="shared" si="55"/>
        <v>0</v>
      </c>
      <c r="CD38" s="457">
        <f t="shared" si="56"/>
        <v>0</v>
      </c>
      <c r="CE38" s="457">
        <f t="shared" si="57"/>
        <v>0</v>
      </c>
      <c r="CF38" s="457">
        <f t="shared" si="58"/>
        <v>0</v>
      </c>
      <c r="CG38" s="458">
        <f t="shared" si="59"/>
        <v>0</v>
      </c>
      <c r="CH38" s="457">
        <f t="shared" si="60"/>
        <v>0</v>
      </c>
      <c r="CI38" s="457">
        <f t="shared" si="61"/>
        <v>0</v>
      </c>
      <c r="CJ38" s="458">
        <f t="shared" si="62"/>
        <v>0</v>
      </c>
      <c r="CK38" s="458">
        <f t="shared" si="63"/>
        <v>37.152233447037091</v>
      </c>
      <c r="CL38" s="457">
        <f t="shared" si="64"/>
        <v>92.622091067372452</v>
      </c>
      <c r="CM38" s="504"/>
      <c r="CN38" s="504"/>
    </row>
    <row r="39" spans="1:92" s="207" customFormat="1" ht="14.25" hidden="1" customHeight="1" x14ac:dyDescent="0.25">
      <c r="A39" s="389" t="str">
        <f>IF(D39="",CONCATENATE("Кабель ",IF(C39="а","А",""),$A$9),CONCATENATE("Кабель ",IF(C39="а","А",""),$A$9," ",D39,"*",F39,IF(G39="ок"," (ож)","")," - ",B39," ",IF(G39="мс"," фас. ",""),$A$2))</f>
        <v>Кабель ВВГ 3*2,5 (ож) - 0,66 ГОСТ 16442-80</v>
      </c>
      <c r="B39" s="450">
        <v>0.66</v>
      </c>
      <c r="C39" s="451" t="s">
        <v>163</v>
      </c>
      <c r="D39" s="439">
        <v>3</v>
      </c>
      <c r="E39" s="34" t="s">
        <v>40</v>
      </c>
      <c r="F39" s="289">
        <v>2.5</v>
      </c>
      <c r="G39" s="276" t="s">
        <v>153</v>
      </c>
      <c r="H39" s="460">
        <v>1.79</v>
      </c>
      <c r="I39" s="494">
        <v>1</v>
      </c>
      <c r="J39" s="495" t="s">
        <v>40</v>
      </c>
      <c r="K39" s="496">
        <f>ROUNDUP(SQRT(F39/PI()*4),2)</f>
        <v>1.79</v>
      </c>
      <c r="L39" s="501">
        <v>4.5199999999999996</v>
      </c>
      <c r="M39" s="467"/>
      <c r="N39" s="467"/>
      <c r="O39" s="467"/>
      <c r="P39" s="467"/>
      <c r="Q39" s="483">
        <f t="shared" si="0"/>
        <v>0.44000000000000006</v>
      </c>
      <c r="R39" s="484">
        <f>IF(B39=0.66,VLOOKUP(F39,'Данные ТНПА'!$B$8:$C$16,2,0),
IF(B39=1,VLOOKUP(F39,'Данные ТНПА'!$B$17:$C$37,2,0),"ошибка"))</f>
        <v>0.6</v>
      </c>
      <c r="S39" s="485">
        <f t="shared" si="1"/>
        <v>2.67</v>
      </c>
      <c r="T39" s="486"/>
      <c r="U39" s="487"/>
      <c r="V39" s="485">
        <f t="shared" si="2"/>
        <v>2.99</v>
      </c>
      <c r="W39" s="486"/>
      <c r="X39" s="487"/>
      <c r="Y39" s="489">
        <f t="shared" si="3"/>
        <v>0</v>
      </c>
      <c r="Z39" s="491">
        <f t="shared" si="4"/>
        <v>6.4285000000000005</v>
      </c>
      <c r="AA39" s="237">
        <f t="shared" si="5"/>
        <v>0</v>
      </c>
      <c r="AB39" s="452">
        <f t="shared" si="6"/>
        <v>6.4285000000000005</v>
      </c>
      <c r="AC39" s="201">
        <f t="shared" si="7"/>
        <v>0</v>
      </c>
      <c r="AD39" s="203">
        <f t="shared" si="8"/>
        <v>0</v>
      </c>
      <c r="AE39" s="37" t="str">
        <f t="shared" si="9"/>
        <v/>
      </c>
      <c r="AF39" s="202">
        <f t="shared" si="10"/>
        <v>0</v>
      </c>
      <c r="AG39" s="201">
        <f t="shared" si="11"/>
        <v>0</v>
      </c>
      <c r="AH39" s="61">
        <f t="shared" si="12"/>
        <v>6.4285000000000005</v>
      </c>
      <c r="AI39" s="443">
        <f t="shared" si="115"/>
        <v>0</v>
      </c>
      <c r="AJ39" s="444">
        <f t="shared" si="13"/>
        <v>0</v>
      </c>
      <c r="AK39" s="445">
        <f t="shared" si="14"/>
        <v>0</v>
      </c>
      <c r="AL39" s="446">
        <f t="shared" si="15"/>
        <v>0</v>
      </c>
      <c r="AM39" s="447">
        <f t="shared" si="16"/>
        <v>0</v>
      </c>
      <c r="AN39" s="24">
        <f t="shared" si="17"/>
        <v>6.4285000000000005</v>
      </c>
      <c r="AO39" s="443">
        <f t="shared" si="18"/>
        <v>0</v>
      </c>
      <c r="AP39" s="444">
        <f t="shared" si="19"/>
        <v>0</v>
      </c>
      <c r="AQ39" s="445">
        <f t="shared" si="20"/>
        <v>0</v>
      </c>
      <c r="AR39" s="446">
        <f t="shared" si="21"/>
        <v>0</v>
      </c>
      <c r="AS39" s="447">
        <f t="shared" si="22"/>
        <v>0</v>
      </c>
      <c r="AT39" s="24">
        <f t="shared" si="23"/>
        <v>6.4285000000000005</v>
      </c>
      <c r="AU39" s="443">
        <f t="shared" si="24"/>
        <v>0</v>
      </c>
      <c r="AV39" s="444">
        <f t="shared" si="25"/>
        <v>0</v>
      </c>
      <c r="AW39" s="445">
        <f t="shared" si="26"/>
        <v>0</v>
      </c>
      <c r="AX39" s="446">
        <f t="shared" si="27"/>
        <v>0</v>
      </c>
      <c r="AY39" s="447">
        <f t="shared" si="28"/>
        <v>0</v>
      </c>
      <c r="AZ39" s="24">
        <f t="shared" si="29"/>
        <v>6.4285000000000005</v>
      </c>
      <c r="BA39" s="43">
        <f>IF(BB39=0,0,
IF(D39=1,
(IF(AND(AH39&gt;'Данные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"ошибка_1"))))))),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"ошибка_2"))))))))</f>
        <v>0</v>
      </c>
      <c r="BB39" s="43">
        <f>IF(OR($AI$9=0,AND(D39&gt;1,F39&gt;10)),0,
IF(D39=1,
(IF(AND(AH39&gt;'Данные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"ошибка_1"))))))),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IF(AND(AH39&gt;'Данные ТНПА'!#REF!,AH39&lt;='Данные ТНПА'!#REF!),'Данные ТНПА'!#REF!,
"ошибка_2"))))))))</f>
        <v>0</v>
      </c>
      <c r="BC39" s="43">
        <f t="shared" si="30"/>
        <v>6.4285000000000005</v>
      </c>
      <c r="BD39" s="237">
        <f t="shared" si="31"/>
        <v>0</v>
      </c>
      <c r="BE39" s="43">
        <f t="shared" si="32"/>
        <v>0</v>
      </c>
      <c r="BF39" s="201">
        <f t="shared" si="33"/>
        <v>0</v>
      </c>
      <c r="BG39" s="201">
        <f t="shared" si="34"/>
        <v>0</v>
      </c>
      <c r="BH39" s="61">
        <f t="shared" si="35"/>
        <v>6.4285000000000005</v>
      </c>
      <c r="BI39" s="237">
        <f t="shared" si="36"/>
        <v>0</v>
      </c>
      <c r="BJ39" s="247">
        <f t="shared" si="37"/>
        <v>0</v>
      </c>
      <c r="BK39" s="431">
        <f t="shared" si="38"/>
        <v>0</v>
      </c>
      <c r="BL39" s="250">
        <f t="shared" si="39"/>
        <v>0</v>
      </c>
      <c r="BM39" s="237">
        <f t="shared" si="40"/>
        <v>0</v>
      </c>
      <c r="BN39" s="452">
        <f t="shared" si="41"/>
        <v>6.4285000000000005</v>
      </c>
      <c r="BO39" s="237">
        <f t="shared" si="42"/>
        <v>0</v>
      </c>
      <c r="BP39" s="432">
        <f t="shared" si="43"/>
        <v>0</v>
      </c>
      <c r="BQ39" s="22" t="str">
        <f t="shared" si="44"/>
        <v/>
      </c>
      <c r="BR39" s="250">
        <f t="shared" si="45"/>
        <v>0</v>
      </c>
      <c r="BS39" s="237">
        <f t="shared" si="46"/>
        <v>0</v>
      </c>
      <c r="BT39" s="452">
        <f t="shared" si="47"/>
        <v>6.4285000000000005</v>
      </c>
      <c r="BU39" s="492">
        <f t="shared" si="48"/>
        <v>1.1749999999999998</v>
      </c>
      <c r="BV39" s="493">
        <f>IF(BT39="","",
IF(AND(BT39&gt;'Данные ТНПА'!$K$8,BT39&lt;='Данные ТНПА'!$L$8),'Данные ТНПА'!$N$8,
IF(AND(BT39&gt;'Данные ТНПА'!$K$9,BT39&lt;='Данные ТНПА'!$L$9),'Данные ТНПА'!$N$9,
IF(AND(BT39&gt;'Данные ТНПА'!$K$10,BT39&lt;='Данные ТНПА'!$L$10),'Данные ТНПА'!$N$10,
IF(AND(BT39&gt;'Данные ТНПА'!$K$11,BT39&lt;='Данные ТНПА'!$L$11),'Данные ТНПА'!$N$11,
IF(AND(BT39&gt;'Данные ТНПА'!$K$12,BT39&lt;='Данные ТНПА'!$L$12),'Данные ТНПА'!$N$12,
IF(AND(BT39&gt;'Данные ТНПА'!$K$13,BT39&lt;='Данные ТНПА'!$L$13),'Данные ТНПА'!$N$13,
IF(AND(BT39&gt;'Данные ТНПА'!$K$14,BT39&lt;='Данные ТНПА'!$L$14),'Данные ТНПА'!$N$14))))))))</f>
        <v>1.5</v>
      </c>
      <c r="BW39" s="493">
        <f t="shared" si="49"/>
        <v>9.4284999999999997</v>
      </c>
      <c r="BX39" s="457">
        <f t="shared" si="50"/>
        <v>0</v>
      </c>
      <c r="BY39" s="457">
        <f t="shared" si="51"/>
        <v>67.141725000000008</v>
      </c>
      <c r="BZ39" s="457">
        <f t="shared" si="52"/>
        <v>18.237048272664076</v>
      </c>
      <c r="CA39" s="457" t="e">
        <f t="shared" si="53"/>
        <v>#REF!</v>
      </c>
      <c r="CB39" s="458">
        <f t="shared" si="54"/>
        <v>0</v>
      </c>
      <c r="CC39" s="457">
        <f t="shared" si="55"/>
        <v>0</v>
      </c>
      <c r="CD39" s="457">
        <f t="shared" si="56"/>
        <v>0</v>
      </c>
      <c r="CE39" s="457">
        <f t="shared" si="57"/>
        <v>0</v>
      </c>
      <c r="CF39" s="457">
        <f t="shared" si="58"/>
        <v>0</v>
      </c>
      <c r="CG39" s="458">
        <f t="shared" si="59"/>
        <v>0</v>
      </c>
      <c r="CH39" s="457">
        <f t="shared" si="60"/>
        <v>0</v>
      </c>
      <c r="CI39" s="457">
        <f t="shared" si="61"/>
        <v>0</v>
      </c>
      <c r="CJ39" s="458">
        <f t="shared" si="62"/>
        <v>0</v>
      </c>
      <c r="CK39" s="458">
        <f t="shared" si="63"/>
        <v>54.399328301106898</v>
      </c>
      <c r="CL39" s="457">
        <f t="shared" si="64"/>
        <v>139.77810157377098</v>
      </c>
      <c r="CM39" s="504"/>
      <c r="CN39" s="504"/>
    </row>
    <row r="40" spans="1:92" s="207" customFormat="1" ht="14.25" hidden="1" customHeight="1" x14ac:dyDescent="0.25">
      <c r="A40" s="389" t="str">
        <f>IF(D40="",CONCATENATE("Кабель ",IF(C40="а","А",""),$A$9),CONCATENATE("Кабель ",IF(C40="а","А",""),$A$9," ",D40,"*",F40,IF(G40="ок"," (ож)","")," - ",B40," ",IF(G40="мс"," фас. ",""),$A$2))</f>
        <v>Кабель ВВГ 3*4 (ож) - 0,66 ГОСТ 16442-80</v>
      </c>
      <c r="B40" s="450">
        <v>0.66</v>
      </c>
      <c r="C40" s="451" t="s">
        <v>163</v>
      </c>
      <c r="D40" s="439">
        <v>3</v>
      </c>
      <c r="E40" s="34" t="s">
        <v>40</v>
      </c>
      <c r="F40" s="289">
        <v>4</v>
      </c>
      <c r="G40" s="276" t="s">
        <v>153</v>
      </c>
      <c r="H40" s="460">
        <v>2.2599999999999998</v>
      </c>
      <c r="I40" s="494">
        <v>1</v>
      </c>
      <c r="J40" s="495" t="s">
        <v>40</v>
      </c>
      <c r="K40" s="496">
        <f>ROUNDUP(SQRT(F40/PI()*4),2)</f>
        <v>2.2599999999999998</v>
      </c>
      <c r="L40" s="501">
        <v>4.79</v>
      </c>
      <c r="M40" s="471"/>
      <c r="N40" s="471"/>
      <c r="O40" s="471"/>
      <c r="P40" s="471"/>
      <c r="Q40" s="483">
        <f t="shared" si="0"/>
        <v>0.53</v>
      </c>
      <c r="R40" s="484">
        <f>IF(B40=0.66,VLOOKUP(F40,'Данные ТНПА'!$B$8:$C$16,2,0),
IF(B40=1,VLOOKUP(F40,'Данные ТНПА'!$B$17:$C$37,2,0),"ошибка"))</f>
        <v>0.7</v>
      </c>
      <c r="S40" s="485">
        <f t="shared" si="1"/>
        <v>3.32</v>
      </c>
      <c r="T40" s="486"/>
      <c r="U40" s="487"/>
      <c r="V40" s="485">
        <f t="shared" si="2"/>
        <v>3.6599999999999997</v>
      </c>
      <c r="W40" s="486"/>
      <c r="X40" s="487"/>
      <c r="Y40" s="489">
        <f t="shared" si="3"/>
        <v>0</v>
      </c>
      <c r="Z40" s="491">
        <f t="shared" si="4"/>
        <v>7.8689999999999989</v>
      </c>
      <c r="AA40" s="237">
        <f t="shared" si="5"/>
        <v>0</v>
      </c>
      <c r="AB40" s="452">
        <f t="shared" si="6"/>
        <v>7.8689999999999989</v>
      </c>
      <c r="AC40" s="201">
        <f t="shared" si="7"/>
        <v>0</v>
      </c>
      <c r="AD40" s="203">
        <f t="shared" si="8"/>
        <v>0</v>
      </c>
      <c r="AE40" s="37" t="str">
        <f t="shared" si="9"/>
        <v/>
      </c>
      <c r="AF40" s="202">
        <f t="shared" si="10"/>
        <v>0</v>
      </c>
      <c r="AG40" s="201">
        <f t="shared" si="11"/>
        <v>0</v>
      </c>
      <c r="AH40" s="61">
        <f t="shared" si="12"/>
        <v>7.8689999999999989</v>
      </c>
      <c r="AI40" s="443">
        <f t="shared" si="115"/>
        <v>0</v>
      </c>
      <c r="AJ40" s="444">
        <f t="shared" si="13"/>
        <v>0</v>
      </c>
      <c r="AK40" s="445">
        <f t="shared" si="14"/>
        <v>0</v>
      </c>
      <c r="AL40" s="446">
        <f t="shared" si="15"/>
        <v>0</v>
      </c>
      <c r="AM40" s="447">
        <f t="shared" si="16"/>
        <v>0</v>
      </c>
      <c r="AN40" s="24">
        <f t="shared" si="17"/>
        <v>7.8689999999999989</v>
      </c>
      <c r="AO40" s="443">
        <f t="shared" si="18"/>
        <v>0</v>
      </c>
      <c r="AP40" s="444">
        <f t="shared" si="19"/>
        <v>0</v>
      </c>
      <c r="AQ40" s="445">
        <f t="shared" si="20"/>
        <v>0</v>
      </c>
      <c r="AR40" s="446">
        <f t="shared" si="21"/>
        <v>0</v>
      </c>
      <c r="AS40" s="447">
        <f t="shared" si="22"/>
        <v>0</v>
      </c>
      <c r="AT40" s="24">
        <f t="shared" si="23"/>
        <v>7.8689999999999989</v>
      </c>
      <c r="AU40" s="443">
        <f t="shared" si="24"/>
        <v>0</v>
      </c>
      <c r="AV40" s="444">
        <f t="shared" si="25"/>
        <v>0</v>
      </c>
      <c r="AW40" s="445">
        <f t="shared" si="26"/>
        <v>0</v>
      </c>
      <c r="AX40" s="446">
        <f t="shared" si="27"/>
        <v>0</v>
      </c>
      <c r="AY40" s="447">
        <f t="shared" si="28"/>
        <v>0</v>
      </c>
      <c r="AZ40" s="24">
        <f t="shared" si="29"/>
        <v>7.8689999999999989</v>
      </c>
      <c r="BA40" s="43">
        <f>IF(BB40=0,0,
IF(D40=1,
(IF(AND(AH40&gt;'Данные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"ошибка_1"))))))),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"ошибка_2"))))))))</f>
        <v>0</v>
      </c>
      <c r="BB40" s="43">
        <f>IF(OR($AI$9=0,AND(D40&gt;1,F40&gt;10)),0,
IF(D40=1,
(IF(AND(AH40&gt;'Данные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"ошибка_1"))))))),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IF(AND(AH40&gt;'Данные ТНПА'!#REF!,AH40&lt;='Данные ТНПА'!#REF!),'Данные ТНПА'!#REF!,
"ошибка_2"))))))))</f>
        <v>0</v>
      </c>
      <c r="BC40" s="43">
        <f t="shared" si="30"/>
        <v>7.8689999999999989</v>
      </c>
      <c r="BD40" s="237">
        <f t="shared" si="31"/>
        <v>0</v>
      </c>
      <c r="BE40" s="43">
        <f t="shared" si="32"/>
        <v>0</v>
      </c>
      <c r="BF40" s="201">
        <f t="shared" si="33"/>
        <v>0</v>
      </c>
      <c r="BG40" s="201">
        <f t="shared" si="34"/>
        <v>0</v>
      </c>
      <c r="BH40" s="61">
        <f t="shared" si="35"/>
        <v>7.8689999999999989</v>
      </c>
      <c r="BI40" s="237">
        <f t="shared" si="36"/>
        <v>0</v>
      </c>
      <c r="BJ40" s="247">
        <f t="shared" si="37"/>
        <v>0</v>
      </c>
      <c r="BK40" s="431">
        <f t="shared" si="38"/>
        <v>0</v>
      </c>
      <c r="BL40" s="250">
        <f t="shared" si="39"/>
        <v>0</v>
      </c>
      <c r="BM40" s="237">
        <f t="shared" si="40"/>
        <v>0</v>
      </c>
      <c r="BN40" s="452">
        <f t="shared" si="41"/>
        <v>7.8689999999999989</v>
      </c>
      <c r="BO40" s="237">
        <f t="shared" si="42"/>
        <v>0</v>
      </c>
      <c r="BP40" s="432">
        <f t="shared" si="43"/>
        <v>0</v>
      </c>
      <c r="BQ40" s="22" t="str">
        <f t="shared" si="44"/>
        <v/>
      </c>
      <c r="BR40" s="250">
        <f t="shared" si="45"/>
        <v>0</v>
      </c>
      <c r="BS40" s="237">
        <f t="shared" si="46"/>
        <v>0</v>
      </c>
      <c r="BT40" s="452">
        <f t="shared" si="47"/>
        <v>7.8689999999999989</v>
      </c>
      <c r="BU40" s="492">
        <f t="shared" si="48"/>
        <v>1.1749999999999998</v>
      </c>
      <c r="BV40" s="493">
        <f>IF(BT40="","",
IF(AND(BT40&gt;'Данные ТНПА'!$K$8,BT40&lt;='Данные ТНПА'!$L$8),'Данные ТНПА'!$N$8,
IF(AND(BT40&gt;'Данные ТНПА'!$K$9,BT40&lt;='Данные ТНПА'!$L$9),'Данные ТНПА'!$N$9,
IF(AND(BT40&gt;'Данные ТНПА'!$K$10,BT40&lt;='Данные ТНПА'!$L$10),'Данные ТНПА'!$N$10,
IF(AND(BT40&gt;'Данные ТНПА'!$K$11,BT40&lt;='Данные ТНПА'!$L$11),'Данные ТНПА'!$N$11,
IF(AND(BT40&gt;'Данные ТНПА'!$K$12,BT40&lt;='Данные ТНПА'!$L$12),'Данные ТНПА'!$N$12,
IF(AND(BT40&gt;'Данные ТНПА'!$K$13,BT40&lt;='Данные ТНПА'!$L$13),'Данные ТНПА'!$N$13,
IF(AND(BT40&gt;'Данные ТНПА'!$K$14,BT40&lt;='Данные ТНПА'!$L$14),'Данные ТНПА'!$N$14))))))))</f>
        <v>1.5</v>
      </c>
      <c r="BW40" s="493">
        <f t="shared" si="49"/>
        <v>10.869</v>
      </c>
      <c r="BX40" s="457">
        <f t="shared" si="50"/>
        <v>0</v>
      </c>
      <c r="BY40" s="457">
        <f t="shared" si="51"/>
        <v>107.42676</v>
      </c>
      <c r="BZ40" s="457">
        <f t="shared" si="52"/>
        <v>26.350881465104585</v>
      </c>
      <c r="CA40" s="457" t="e">
        <f t="shared" si="53"/>
        <v>#REF!</v>
      </c>
      <c r="CB40" s="458">
        <f t="shared" si="54"/>
        <v>0</v>
      </c>
      <c r="CC40" s="457">
        <f t="shared" si="55"/>
        <v>0</v>
      </c>
      <c r="CD40" s="457">
        <f t="shared" si="56"/>
        <v>0</v>
      </c>
      <c r="CE40" s="457">
        <f t="shared" si="57"/>
        <v>0</v>
      </c>
      <c r="CF40" s="457">
        <f t="shared" si="58"/>
        <v>0</v>
      </c>
      <c r="CG40" s="458">
        <f t="shared" si="59"/>
        <v>0</v>
      </c>
      <c r="CH40" s="457">
        <f t="shared" si="60"/>
        <v>0</v>
      </c>
      <c r="CI40" s="457">
        <f t="shared" si="61"/>
        <v>0</v>
      </c>
      <c r="CJ40" s="458">
        <f t="shared" si="62"/>
        <v>0</v>
      </c>
      <c r="CK40" s="458">
        <f t="shared" si="63"/>
        <v>64.282942152118366</v>
      </c>
      <c r="CL40" s="457">
        <f t="shared" si="64"/>
        <v>198.06058361722296</v>
      </c>
      <c r="CM40" s="504"/>
      <c r="CN40" s="504"/>
    </row>
    <row r="41" spans="1:92" s="207" customFormat="1" ht="14.25" hidden="1" customHeight="1" x14ac:dyDescent="0.25">
      <c r="A41" s="389" t="str">
        <f>IF(D41="",CONCATENATE("Кабель ",IF(C41="а","А",""),$A$9),CONCATENATE("Кабель ",IF(C41="а","А",""),$A$9," ",D41,"*",F41,IF(G41="ок"," (ож)","")," - ",B41," ",IF(G41="мс"," фас. ",""),$A$2))</f>
        <v>Кабель ВВГ 3*6 (ож) - 0,66 ГОСТ 16442-80</v>
      </c>
      <c r="B41" s="450">
        <v>0.66</v>
      </c>
      <c r="C41" s="451" t="s">
        <v>163</v>
      </c>
      <c r="D41" s="439">
        <v>3</v>
      </c>
      <c r="E41" s="34" t="s">
        <v>40</v>
      </c>
      <c r="F41" s="289">
        <v>6</v>
      </c>
      <c r="G41" s="276" t="s">
        <v>153</v>
      </c>
      <c r="H41" s="460">
        <v>2.7699999999999996</v>
      </c>
      <c r="I41" s="494">
        <v>1</v>
      </c>
      <c r="J41" s="495" t="s">
        <v>40</v>
      </c>
      <c r="K41" s="496">
        <f>ROUNDUP(SQRT(F41/PI()*4),2)</f>
        <v>2.7699999999999996</v>
      </c>
      <c r="L41" s="501">
        <v>5.6499999999999995</v>
      </c>
      <c r="M41" s="467"/>
      <c r="N41" s="467"/>
      <c r="O41" s="467"/>
      <c r="P41" s="467"/>
      <c r="Q41" s="483">
        <f t="shared" si="0"/>
        <v>0.53</v>
      </c>
      <c r="R41" s="484">
        <f>IF(B41=0.66,VLOOKUP(F41,'Данные ТНПА'!$B$8:$C$16,2,0),
IF(B41=1,VLOOKUP(F41,'Данные ТНПА'!$B$17:$C$37,2,0),"ошибка"))</f>
        <v>0.7</v>
      </c>
      <c r="S41" s="485">
        <f t="shared" si="1"/>
        <v>3.8299999999999996</v>
      </c>
      <c r="T41" s="486"/>
      <c r="U41" s="487"/>
      <c r="V41" s="485">
        <f t="shared" si="2"/>
        <v>4.17</v>
      </c>
      <c r="W41" s="486"/>
      <c r="X41" s="487"/>
      <c r="Y41" s="489">
        <f t="shared" si="3"/>
        <v>0</v>
      </c>
      <c r="Z41" s="491">
        <f t="shared" si="4"/>
        <v>8.9654999999999987</v>
      </c>
      <c r="AA41" s="237">
        <f t="shared" si="5"/>
        <v>0</v>
      </c>
      <c r="AB41" s="452">
        <f t="shared" si="6"/>
        <v>8.9654999999999987</v>
      </c>
      <c r="AC41" s="201">
        <f t="shared" si="7"/>
        <v>0</v>
      </c>
      <c r="AD41" s="203">
        <f t="shared" si="8"/>
        <v>0</v>
      </c>
      <c r="AE41" s="37" t="str">
        <f t="shared" si="9"/>
        <v/>
      </c>
      <c r="AF41" s="202">
        <f t="shared" si="10"/>
        <v>0</v>
      </c>
      <c r="AG41" s="201">
        <f t="shared" si="11"/>
        <v>0</v>
      </c>
      <c r="AH41" s="61">
        <f t="shared" si="12"/>
        <v>8.9654999999999987</v>
      </c>
      <c r="AI41" s="443">
        <f t="shared" si="115"/>
        <v>0</v>
      </c>
      <c r="AJ41" s="444">
        <f t="shared" si="13"/>
        <v>0</v>
      </c>
      <c r="AK41" s="445">
        <f t="shared" si="14"/>
        <v>0</v>
      </c>
      <c r="AL41" s="446">
        <f t="shared" si="15"/>
        <v>0</v>
      </c>
      <c r="AM41" s="447">
        <f t="shared" si="16"/>
        <v>0</v>
      </c>
      <c r="AN41" s="24">
        <f t="shared" si="17"/>
        <v>8.9654999999999987</v>
      </c>
      <c r="AO41" s="443">
        <f t="shared" si="18"/>
        <v>0</v>
      </c>
      <c r="AP41" s="444">
        <f t="shared" si="19"/>
        <v>0</v>
      </c>
      <c r="AQ41" s="445">
        <f t="shared" si="20"/>
        <v>0</v>
      </c>
      <c r="AR41" s="446">
        <f t="shared" si="21"/>
        <v>0</v>
      </c>
      <c r="AS41" s="447">
        <f t="shared" si="22"/>
        <v>0</v>
      </c>
      <c r="AT41" s="24">
        <f t="shared" si="23"/>
        <v>8.9654999999999987</v>
      </c>
      <c r="AU41" s="443">
        <f t="shared" si="24"/>
        <v>0</v>
      </c>
      <c r="AV41" s="444">
        <f t="shared" si="25"/>
        <v>0</v>
      </c>
      <c r="AW41" s="445">
        <f t="shared" si="26"/>
        <v>0</v>
      </c>
      <c r="AX41" s="446">
        <f t="shared" si="27"/>
        <v>0</v>
      </c>
      <c r="AY41" s="447">
        <f t="shared" si="28"/>
        <v>0</v>
      </c>
      <c r="AZ41" s="24">
        <f t="shared" si="29"/>
        <v>8.9654999999999987</v>
      </c>
      <c r="BA41" s="43">
        <f>IF(BB41=0,0,
IF(D41=1,
(IF(AND(AH41&gt;'Данные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"ошибка_1"))))))),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"ошибка_2"))))))))</f>
        <v>0</v>
      </c>
      <c r="BB41" s="43">
        <f>IF(OR($AI$9=0,AND(D41&gt;1,F41&gt;10)),0,
IF(D41=1,
(IF(AND(AH41&gt;'Данные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"ошибка_1"))))))),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IF(AND(AH41&gt;'Данные ТНПА'!#REF!,AH41&lt;='Данные ТНПА'!#REF!),'Данные ТНПА'!#REF!,
"ошибка_2"))))))))</f>
        <v>0</v>
      </c>
      <c r="BC41" s="43">
        <f t="shared" si="30"/>
        <v>8.9654999999999987</v>
      </c>
      <c r="BD41" s="237">
        <f t="shared" si="31"/>
        <v>0</v>
      </c>
      <c r="BE41" s="43">
        <f t="shared" si="32"/>
        <v>0</v>
      </c>
      <c r="BF41" s="201">
        <f t="shared" si="33"/>
        <v>0</v>
      </c>
      <c r="BG41" s="201">
        <f t="shared" si="34"/>
        <v>0</v>
      </c>
      <c r="BH41" s="61">
        <f t="shared" si="35"/>
        <v>8.9654999999999987</v>
      </c>
      <c r="BI41" s="237">
        <f t="shared" si="36"/>
        <v>0</v>
      </c>
      <c r="BJ41" s="247">
        <f t="shared" si="37"/>
        <v>0</v>
      </c>
      <c r="BK41" s="431">
        <f t="shared" si="38"/>
        <v>0</v>
      </c>
      <c r="BL41" s="250">
        <f t="shared" si="39"/>
        <v>0</v>
      </c>
      <c r="BM41" s="237">
        <f t="shared" si="40"/>
        <v>0</v>
      </c>
      <c r="BN41" s="452">
        <f t="shared" si="41"/>
        <v>8.9654999999999987</v>
      </c>
      <c r="BO41" s="237">
        <f t="shared" si="42"/>
        <v>0</v>
      </c>
      <c r="BP41" s="432">
        <f t="shared" si="43"/>
        <v>0</v>
      </c>
      <c r="BQ41" s="22" t="str">
        <f t="shared" si="44"/>
        <v/>
      </c>
      <c r="BR41" s="250">
        <f t="shared" si="45"/>
        <v>0</v>
      </c>
      <c r="BS41" s="237">
        <f t="shared" si="46"/>
        <v>0</v>
      </c>
      <c r="BT41" s="452">
        <f t="shared" si="47"/>
        <v>8.9654999999999987</v>
      </c>
      <c r="BU41" s="492">
        <f t="shared" si="48"/>
        <v>1.1749999999999998</v>
      </c>
      <c r="BV41" s="493">
        <f>IF(BT41="","",
IF(AND(BT41&gt;'Данные ТНПА'!$K$8,BT41&lt;='Данные ТНПА'!$L$8),'Данные ТНПА'!$N$8,
IF(AND(BT41&gt;'Данные ТНПА'!$K$9,BT41&lt;='Данные ТНПА'!$L$9),'Данные ТНПА'!$N$9,
IF(AND(BT41&gt;'Данные ТНПА'!$K$10,BT41&lt;='Данные ТНПА'!$L$10),'Данные ТНПА'!$N$10,
IF(AND(BT41&gt;'Данные ТНПА'!$K$11,BT41&lt;='Данные ТНПА'!$L$11),'Данные ТНПА'!$N$11,
IF(AND(BT41&gt;'Данные ТНПА'!$K$12,BT41&lt;='Данные ТНПА'!$L$12),'Данные ТНПА'!$N$12,
IF(AND(BT41&gt;'Данные ТНПА'!$K$13,BT41&lt;='Данные ТНПА'!$L$13),'Данные ТНПА'!$N$13,
IF(AND(BT41&gt;'Данные ТНПА'!$K$14,BT41&lt;='Данные ТНПА'!$L$14),'Данные ТНПА'!$N$14))))))))</f>
        <v>1.5</v>
      </c>
      <c r="BW41" s="493">
        <f t="shared" si="49"/>
        <v>11.965499999999999</v>
      </c>
      <c r="BX41" s="457">
        <f t="shared" si="50"/>
        <v>0</v>
      </c>
      <c r="BY41" s="457">
        <f t="shared" si="51"/>
        <v>161.14014</v>
      </c>
      <c r="BZ41" s="457">
        <f t="shared" si="52"/>
        <v>30.891067122943543</v>
      </c>
      <c r="CA41" s="457" t="e">
        <f t="shared" si="53"/>
        <v>#REF!</v>
      </c>
      <c r="CB41" s="458">
        <f t="shared" si="54"/>
        <v>0</v>
      </c>
      <c r="CC41" s="457">
        <f t="shared" si="55"/>
        <v>0</v>
      </c>
      <c r="CD41" s="457">
        <f t="shared" si="56"/>
        <v>0</v>
      </c>
      <c r="CE41" s="457">
        <f t="shared" si="57"/>
        <v>0</v>
      </c>
      <c r="CF41" s="457">
        <f t="shared" si="58"/>
        <v>0</v>
      </c>
      <c r="CG41" s="458">
        <f t="shared" si="59"/>
        <v>0</v>
      </c>
      <c r="CH41" s="457">
        <f t="shared" si="60"/>
        <v>0</v>
      </c>
      <c r="CI41" s="457">
        <f t="shared" si="61"/>
        <v>0</v>
      </c>
      <c r="CJ41" s="458">
        <f t="shared" si="62"/>
        <v>0</v>
      </c>
      <c r="CK41" s="458">
        <f t="shared" si="63"/>
        <v>71.80629000885844</v>
      </c>
      <c r="CL41" s="457">
        <f t="shared" si="64"/>
        <v>263.83749713180202</v>
      </c>
      <c r="CM41" s="504"/>
      <c r="CN41" s="504"/>
    </row>
    <row r="42" spans="1:92" s="207" customFormat="1" ht="14.25" hidden="1" customHeight="1" x14ac:dyDescent="0.25">
      <c r="A42" s="389" t="str">
        <f>IF(D42="",CONCATENATE("Кабель ",IF(C42="а","А",""),$A$9),CONCATENATE("Кабель ",IF(C42="а","А",""),$A$9," ",D42,"*",F42,IF(G42="ок"," (ож)","")," - ",B42," ",IF(G42="мс"," фас. ",""),$A$2))</f>
        <v>Кабель ВВГ 3*10 (ож) - 0,66 ГОСТ 16442-80</v>
      </c>
      <c r="B42" s="450">
        <v>0.66</v>
      </c>
      <c r="C42" s="451" t="s">
        <v>163</v>
      </c>
      <c r="D42" s="439">
        <v>3</v>
      </c>
      <c r="E42" s="34" t="s">
        <v>40</v>
      </c>
      <c r="F42" s="289">
        <v>10</v>
      </c>
      <c r="G42" s="276" t="s">
        <v>153</v>
      </c>
      <c r="H42" s="460">
        <v>3.57</v>
      </c>
      <c r="I42" s="494">
        <v>1</v>
      </c>
      <c r="J42" s="495" t="s">
        <v>40</v>
      </c>
      <c r="K42" s="496">
        <f>ROUNDUP(SQRT(F42/PI()*4),2)</f>
        <v>3.57</v>
      </c>
      <c r="L42" s="501">
        <v>5.99</v>
      </c>
      <c r="M42" s="472"/>
      <c r="N42" s="472"/>
      <c r="O42" s="472"/>
      <c r="P42" s="472"/>
      <c r="Q42" s="483">
        <f t="shared" si="0"/>
        <v>0.71000000000000008</v>
      </c>
      <c r="R42" s="484">
        <f>IF(B42=0.66,VLOOKUP(F42,'Данные ТНПА'!$B$8:$C$16,2,0),
IF(B42=1,VLOOKUP(F42,'Данные ТНПА'!$B$17:$C$37,2,0),"ошибка"))</f>
        <v>0.9</v>
      </c>
      <c r="S42" s="485">
        <f t="shared" si="1"/>
        <v>4.99</v>
      </c>
      <c r="T42" s="486"/>
      <c r="U42" s="487"/>
      <c r="V42" s="485">
        <f t="shared" si="2"/>
        <v>5.37</v>
      </c>
      <c r="W42" s="486"/>
      <c r="X42" s="487"/>
      <c r="Y42" s="489">
        <f t="shared" si="3"/>
        <v>0</v>
      </c>
      <c r="Z42" s="491">
        <f t="shared" si="4"/>
        <v>11.545500000000001</v>
      </c>
      <c r="AA42" s="237">
        <f t="shared" si="5"/>
        <v>0</v>
      </c>
      <c r="AB42" s="452">
        <f t="shared" si="6"/>
        <v>11.545500000000001</v>
      </c>
      <c r="AC42" s="201">
        <f t="shared" si="7"/>
        <v>0</v>
      </c>
      <c r="AD42" s="203">
        <f t="shared" si="8"/>
        <v>0</v>
      </c>
      <c r="AE42" s="37" t="str">
        <f t="shared" si="9"/>
        <v/>
      </c>
      <c r="AF42" s="202">
        <f t="shared" si="10"/>
        <v>0</v>
      </c>
      <c r="AG42" s="201">
        <f t="shared" si="11"/>
        <v>0</v>
      </c>
      <c r="AH42" s="61">
        <f t="shared" si="12"/>
        <v>11.545500000000001</v>
      </c>
      <c r="AI42" s="443">
        <f t="shared" si="115"/>
        <v>0</v>
      </c>
      <c r="AJ42" s="444">
        <f t="shared" si="13"/>
        <v>0</v>
      </c>
      <c r="AK42" s="445">
        <f t="shared" si="14"/>
        <v>0</v>
      </c>
      <c r="AL42" s="446">
        <f t="shared" si="15"/>
        <v>0</v>
      </c>
      <c r="AM42" s="447">
        <f t="shared" si="16"/>
        <v>0</v>
      </c>
      <c r="AN42" s="24">
        <f t="shared" si="17"/>
        <v>11.545500000000001</v>
      </c>
      <c r="AO42" s="443">
        <f t="shared" si="18"/>
        <v>0</v>
      </c>
      <c r="AP42" s="444">
        <f t="shared" si="19"/>
        <v>0</v>
      </c>
      <c r="AQ42" s="445">
        <f t="shared" si="20"/>
        <v>0</v>
      </c>
      <c r="AR42" s="446">
        <f t="shared" si="21"/>
        <v>0</v>
      </c>
      <c r="AS42" s="447">
        <f t="shared" si="22"/>
        <v>0</v>
      </c>
      <c r="AT42" s="24">
        <f t="shared" si="23"/>
        <v>11.545500000000001</v>
      </c>
      <c r="AU42" s="443">
        <f t="shared" si="24"/>
        <v>0</v>
      </c>
      <c r="AV42" s="444">
        <f t="shared" si="25"/>
        <v>0</v>
      </c>
      <c r="AW42" s="445">
        <f t="shared" si="26"/>
        <v>0</v>
      </c>
      <c r="AX42" s="446">
        <f t="shared" si="27"/>
        <v>0</v>
      </c>
      <c r="AY42" s="447">
        <f t="shared" si="28"/>
        <v>0</v>
      </c>
      <c r="AZ42" s="24">
        <f t="shared" si="29"/>
        <v>11.545500000000001</v>
      </c>
      <c r="BA42" s="43">
        <f>IF(BB42=0,0,
IF(D42=1,
(IF(AND(AH42&gt;'Данные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"ошибка_1"))))))),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"ошибка_2"))))))))</f>
        <v>0</v>
      </c>
      <c r="BB42" s="43">
        <f>IF(OR($AI$9=0,AND(D42&gt;1,F42&gt;10)),0,
IF(D42=1,
(IF(AND(AH42&gt;'Данные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"ошибка_1"))))))),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IF(AND(AH42&gt;'Данные ТНПА'!#REF!,AH42&lt;='Данные ТНПА'!#REF!),'Данные ТНПА'!#REF!,
"ошибка_2"))))))))</f>
        <v>0</v>
      </c>
      <c r="BC42" s="43">
        <f t="shared" si="30"/>
        <v>11.545500000000001</v>
      </c>
      <c r="BD42" s="237">
        <f t="shared" si="31"/>
        <v>0</v>
      </c>
      <c r="BE42" s="43">
        <f t="shared" si="32"/>
        <v>0</v>
      </c>
      <c r="BF42" s="201">
        <f t="shared" si="33"/>
        <v>0</v>
      </c>
      <c r="BG42" s="201">
        <f t="shared" si="34"/>
        <v>0</v>
      </c>
      <c r="BH42" s="61">
        <f t="shared" si="35"/>
        <v>11.545500000000001</v>
      </c>
      <c r="BI42" s="237">
        <f t="shared" si="36"/>
        <v>0</v>
      </c>
      <c r="BJ42" s="247">
        <f t="shared" si="37"/>
        <v>0</v>
      </c>
      <c r="BK42" s="431">
        <f t="shared" si="38"/>
        <v>0</v>
      </c>
      <c r="BL42" s="250">
        <f t="shared" si="39"/>
        <v>0</v>
      </c>
      <c r="BM42" s="237">
        <f t="shared" si="40"/>
        <v>0</v>
      </c>
      <c r="BN42" s="452">
        <f t="shared" si="41"/>
        <v>11.545500000000001</v>
      </c>
      <c r="BO42" s="237">
        <f t="shared" si="42"/>
        <v>0</v>
      </c>
      <c r="BP42" s="432">
        <f t="shared" si="43"/>
        <v>0</v>
      </c>
      <c r="BQ42" s="22" t="str">
        <f t="shared" si="44"/>
        <v/>
      </c>
      <c r="BR42" s="250">
        <f t="shared" si="45"/>
        <v>0</v>
      </c>
      <c r="BS42" s="237">
        <f t="shared" si="46"/>
        <v>0</v>
      </c>
      <c r="BT42" s="452">
        <f t="shared" si="47"/>
        <v>11.545500000000001</v>
      </c>
      <c r="BU42" s="492">
        <f t="shared" si="48"/>
        <v>1.1749999999999998</v>
      </c>
      <c r="BV42" s="493">
        <f>IF(BT42="","",
IF(AND(BT42&gt;'Данные ТНПА'!$K$8,BT42&lt;='Данные ТНПА'!$L$8),'Данные ТНПА'!$N$8,
IF(AND(BT42&gt;'Данные ТНПА'!$K$9,BT42&lt;='Данные ТНПА'!$L$9),'Данные ТНПА'!$N$9,
IF(AND(BT42&gt;'Данные ТНПА'!$K$10,BT42&lt;='Данные ТНПА'!$L$10),'Данные ТНПА'!$N$10,
IF(AND(BT42&gt;'Данные ТНПА'!$K$11,BT42&lt;='Данные ТНПА'!$L$11),'Данные ТНПА'!$N$11,
IF(AND(BT42&gt;'Данные ТНПА'!$K$12,BT42&lt;='Данные ТНПА'!$L$12),'Данные ТНПА'!$N$12,
IF(AND(BT42&gt;'Данные ТНПА'!$K$13,BT42&lt;='Данные ТНПА'!$L$13),'Данные ТНПА'!$N$13,
IF(AND(BT42&gt;'Данные ТНПА'!$K$14,BT42&lt;='Данные ТНПА'!$L$14),'Данные ТНПА'!$N$14))))))))</f>
        <v>1.5</v>
      </c>
      <c r="BW42" s="493">
        <f t="shared" si="49"/>
        <v>14.545500000000001</v>
      </c>
      <c r="BX42" s="457">
        <f t="shared" si="50"/>
        <v>0</v>
      </c>
      <c r="BY42" s="457">
        <f t="shared" si="51"/>
        <v>268.56690000000003</v>
      </c>
      <c r="BZ42" s="457">
        <f t="shared" si="52"/>
        <v>51.162932497160099</v>
      </c>
      <c r="CA42" s="457" t="e">
        <f t="shared" si="53"/>
        <v>#REF!</v>
      </c>
      <c r="CB42" s="458">
        <f t="shared" si="54"/>
        <v>0</v>
      </c>
      <c r="CC42" s="457">
        <f t="shared" si="55"/>
        <v>0</v>
      </c>
      <c r="CD42" s="457">
        <f t="shared" si="56"/>
        <v>0</v>
      </c>
      <c r="CE42" s="457">
        <f t="shared" si="57"/>
        <v>0</v>
      </c>
      <c r="CF42" s="457">
        <f t="shared" si="58"/>
        <v>0</v>
      </c>
      <c r="CG42" s="458">
        <f t="shared" si="59"/>
        <v>0</v>
      </c>
      <c r="CH42" s="457">
        <f t="shared" si="60"/>
        <v>0</v>
      </c>
      <c r="CI42" s="457">
        <f t="shared" si="61"/>
        <v>0</v>
      </c>
      <c r="CJ42" s="458">
        <f t="shared" si="62"/>
        <v>0</v>
      </c>
      <c r="CK42" s="458">
        <f t="shared" si="63"/>
        <v>89.508284965893935</v>
      </c>
      <c r="CL42" s="457">
        <f t="shared" si="64"/>
        <v>409.2381174630541</v>
      </c>
      <c r="CM42" s="504"/>
      <c r="CN42" s="504"/>
    </row>
    <row r="43" spans="1:92" s="207" customFormat="1" ht="14.25" hidden="1" customHeight="1" x14ac:dyDescent="0.25">
      <c r="A43" s="389" t="str">
        <f>IF(D43="",CONCATENATE("Кабель ",IF(C43="а","А",""),$A$9),CONCATENATE("Кабель ",IF(C43="а","А",""),$A$9," ",D43,"*",F43,IF(G43="ок"," (ож)","")," - ",B43," ",IF(G43="мс"," фас. ",""),$A$2))</f>
        <v>Кабель ВВГ 3*16 (ож) - 0,66 ГОСТ 16442-80</v>
      </c>
      <c r="B43" s="450">
        <v>0.66</v>
      </c>
      <c r="C43" s="451" t="s">
        <v>163</v>
      </c>
      <c r="D43" s="439">
        <v>3</v>
      </c>
      <c r="E43" s="34" t="s">
        <v>40</v>
      </c>
      <c r="F43" s="289">
        <v>16</v>
      </c>
      <c r="G43" s="276" t="s">
        <v>153</v>
      </c>
      <c r="H43" s="460">
        <v>4.5199999999999996</v>
      </c>
      <c r="I43" s="494">
        <v>1</v>
      </c>
      <c r="J43" s="495" t="s">
        <v>40</v>
      </c>
      <c r="K43" s="496">
        <f>ROUNDUP(SQRT(F43/PI()*4),2)</f>
        <v>4.5199999999999996</v>
      </c>
      <c r="L43" s="501">
        <v>6.68</v>
      </c>
      <c r="M43" s="473"/>
      <c r="N43" s="473"/>
      <c r="O43" s="473"/>
      <c r="P43" s="473"/>
      <c r="Q43" s="483">
        <f t="shared" si="0"/>
        <v>0.71000000000000008</v>
      </c>
      <c r="R43" s="484">
        <f>IF(B43=0.66,VLOOKUP(F43,'Данные ТНПА'!$B$8:$C$16,2,0),
IF(B43=1,VLOOKUP(F43,'Данные ТНПА'!$B$17:$C$37,2,0),"ошибка"))</f>
        <v>0.9</v>
      </c>
      <c r="S43" s="485">
        <f t="shared" si="1"/>
        <v>5.9399999999999995</v>
      </c>
      <c r="T43" s="486"/>
      <c r="U43" s="487"/>
      <c r="V43" s="485">
        <f t="shared" si="2"/>
        <v>6.3199999999999994</v>
      </c>
      <c r="W43" s="486"/>
      <c r="X43" s="487"/>
      <c r="Y43" s="489">
        <f t="shared" si="3"/>
        <v>0</v>
      </c>
      <c r="Z43" s="491">
        <f t="shared" si="4"/>
        <v>13.587999999999997</v>
      </c>
      <c r="AA43" s="237">
        <f t="shared" si="5"/>
        <v>0</v>
      </c>
      <c r="AB43" s="452">
        <f t="shared" si="6"/>
        <v>13.587999999999997</v>
      </c>
      <c r="AC43" s="201">
        <f t="shared" si="7"/>
        <v>0</v>
      </c>
      <c r="AD43" s="203">
        <f t="shared" si="8"/>
        <v>0</v>
      </c>
      <c r="AE43" s="37" t="str">
        <f t="shared" si="9"/>
        <v/>
      </c>
      <c r="AF43" s="202">
        <f t="shared" si="10"/>
        <v>0</v>
      </c>
      <c r="AG43" s="201">
        <f t="shared" si="11"/>
        <v>0</v>
      </c>
      <c r="AH43" s="61">
        <f t="shared" si="12"/>
        <v>13.587999999999997</v>
      </c>
      <c r="AI43" s="443">
        <f t="shared" si="115"/>
        <v>0</v>
      </c>
      <c r="AJ43" s="444">
        <f t="shared" si="13"/>
        <v>0</v>
      </c>
      <c r="AK43" s="445">
        <f t="shared" si="14"/>
        <v>0</v>
      </c>
      <c r="AL43" s="446">
        <f t="shared" si="15"/>
        <v>0</v>
      </c>
      <c r="AM43" s="447">
        <f t="shared" si="16"/>
        <v>0</v>
      </c>
      <c r="AN43" s="24">
        <f t="shared" si="17"/>
        <v>13.587999999999997</v>
      </c>
      <c r="AO43" s="443">
        <f t="shared" si="18"/>
        <v>0</v>
      </c>
      <c r="AP43" s="444">
        <f t="shared" si="19"/>
        <v>0</v>
      </c>
      <c r="AQ43" s="445">
        <f t="shared" si="20"/>
        <v>0</v>
      </c>
      <c r="AR43" s="446">
        <f t="shared" si="21"/>
        <v>0</v>
      </c>
      <c r="AS43" s="447">
        <f t="shared" si="22"/>
        <v>0</v>
      </c>
      <c r="AT43" s="24">
        <f t="shared" si="23"/>
        <v>13.587999999999997</v>
      </c>
      <c r="AU43" s="443">
        <f t="shared" si="24"/>
        <v>0</v>
      </c>
      <c r="AV43" s="444">
        <f t="shared" si="25"/>
        <v>0</v>
      </c>
      <c r="AW43" s="445">
        <f t="shared" si="26"/>
        <v>0</v>
      </c>
      <c r="AX43" s="446">
        <f t="shared" si="27"/>
        <v>0</v>
      </c>
      <c r="AY43" s="447">
        <f t="shared" si="28"/>
        <v>0</v>
      </c>
      <c r="AZ43" s="24">
        <f t="shared" si="29"/>
        <v>13.587999999999997</v>
      </c>
      <c r="BA43" s="43">
        <f>IF(BB43=0,0,
IF(D43=1,
(IF(AND(AH43&gt;'Данные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"ошибка_1"))))))),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"ошибка_2"))))))))</f>
        <v>0</v>
      </c>
      <c r="BB43" s="43">
        <f>IF(OR($AI$9=0,AND(D43&gt;1,F43&gt;10)),0,
IF(D43=1,
(IF(AND(AH43&gt;'Данные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"ошибка_1"))))))),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IF(AND(AH43&gt;'Данные ТНПА'!#REF!,AH43&lt;='Данные ТНПА'!#REF!),'Данные ТНПА'!#REF!,
"ошибка_2"))))))))</f>
        <v>0</v>
      </c>
      <c r="BC43" s="43">
        <f t="shared" si="30"/>
        <v>13.587999999999997</v>
      </c>
      <c r="BD43" s="237">
        <f t="shared" si="31"/>
        <v>0</v>
      </c>
      <c r="BE43" s="43">
        <f t="shared" si="32"/>
        <v>0</v>
      </c>
      <c r="BF43" s="201">
        <f t="shared" si="33"/>
        <v>0</v>
      </c>
      <c r="BG43" s="201">
        <f t="shared" si="34"/>
        <v>0</v>
      </c>
      <c r="BH43" s="61">
        <f t="shared" si="35"/>
        <v>13.587999999999997</v>
      </c>
      <c r="BI43" s="237">
        <f t="shared" si="36"/>
        <v>0</v>
      </c>
      <c r="BJ43" s="247">
        <f t="shared" si="37"/>
        <v>0</v>
      </c>
      <c r="BK43" s="431">
        <f t="shared" si="38"/>
        <v>0</v>
      </c>
      <c r="BL43" s="250">
        <f t="shared" si="39"/>
        <v>0</v>
      </c>
      <c r="BM43" s="237">
        <f t="shared" si="40"/>
        <v>0</v>
      </c>
      <c r="BN43" s="452">
        <f t="shared" si="41"/>
        <v>13.587999999999997</v>
      </c>
      <c r="BO43" s="237">
        <f t="shared" si="42"/>
        <v>0</v>
      </c>
      <c r="BP43" s="432">
        <f t="shared" si="43"/>
        <v>0</v>
      </c>
      <c r="BQ43" s="22" t="str">
        <f t="shared" si="44"/>
        <v/>
      </c>
      <c r="BR43" s="250">
        <f t="shared" si="45"/>
        <v>0</v>
      </c>
      <c r="BS43" s="237">
        <f t="shared" si="46"/>
        <v>0</v>
      </c>
      <c r="BT43" s="452">
        <f t="shared" si="47"/>
        <v>13.587999999999997</v>
      </c>
      <c r="BU43" s="492">
        <f t="shared" si="48"/>
        <v>1.1749999999999998</v>
      </c>
      <c r="BV43" s="493">
        <f>IF(BT43="","",
IF(AND(BT43&gt;'Данные ТНПА'!$K$8,BT43&lt;='Данные ТНПА'!$L$8),'Данные ТНПА'!$N$8,
IF(AND(BT43&gt;'Данные ТНПА'!$K$9,BT43&lt;='Данные ТНПА'!$L$9),'Данные ТНПА'!$N$9,
IF(AND(BT43&gt;'Данные ТНПА'!$K$10,BT43&lt;='Данные ТНПА'!$L$10),'Данные ТНПА'!$N$10,
IF(AND(BT43&gt;'Данные ТНПА'!$K$11,BT43&lt;='Данные ТНПА'!$L$11),'Данные ТНПА'!$N$11,
IF(AND(BT43&gt;'Данные ТНПА'!$K$12,BT43&lt;='Данные ТНПА'!$L$12),'Данные ТНПА'!$N$12,
IF(AND(BT43&gt;'Данные ТНПА'!$K$13,BT43&lt;='Данные ТНПА'!$L$13),'Данные ТНПА'!$N$13,
IF(AND(BT43&gt;'Данные ТНПА'!$K$14,BT43&lt;='Данные ТНПА'!$L$14),'Данные ТНПА'!$N$14))))))))</f>
        <v>1.5</v>
      </c>
      <c r="BW43" s="493">
        <f t="shared" si="49"/>
        <v>16.587999999999997</v>
      </c>
      <c r="BX43" s="457">
        <f t="shared" si="50"/>
        <v>0</v>
      </c>
      <c r="BY43" s="457">
        <f t="shared" si="51"/>
        <v>429.70704000000001</v>
      </c>
      <c r="BZ43" s="457">
        <f t="shared" si="52"/>
        <v>62.036486383581163</v>
      </c>
      <c r="CA43" s="457" t="e">
        <f t="shared" si="53"/>
        <v>#REF!</v>
      </c>
      <c r="CB43" s="458">
        <f t="shared" si="54"/>
        <v>0</v>
      </c>
      <c r="CC43" s="457">
        <f t="shared" si="55"/>
        <v>0</v>
      </c>
      <c r="CD43" s="457">
        <f t="shared" si="56"/>
        <v>0</v>
      </c>
      <c r="CE43" s="457">
        <f t="shared" si="57"/>
        <v>0</v>
      </c>
      <c r="CF43" s="457">
        <f t="shared" si="58"/>
        <v>0</v>
      </c>
      <c r="CG43" s="458">
        <f t="shared" si="59"/>
        <v>0</v>
      </c>
      <c r="CH43" s="457">
        <f t="shared" si="60"/>
        <v>0</v>
      </c>
      <c r="CI43" s="457">
        <f t="shared" si="61"/>
        <v>0</v>
      </c>
      <c r="CJ43" s="458">
        <f t="shared" si="62"/>
        <v>0</v>
      </c>
      <c r="CK43" s="458">
        <f t="shared" si="63"/>
        <v>103.52236430688035</v>
      </c>
      <c r="CL43" s="457">
        <f t="shared" si="64"/>
        <v>595.26589069046156</v>
      </c>
      <c r="CM43" s="504"/>
      <c r="CN43" s="504"/>
    </row>
    <row r="44" spans="1:92" s="207" customFormat="1" ht="14.25" hidden="1" customHeight="1" x14ac:dyDescent="0.25">
      <c r="A44" s="389" t="str">
        <f>IF(D44="",CONCATENATE("Кабель ",IF(C44="а","А",""),$A$9),CONCATENATE("Кабель ",IF(C44="а","А",""),$A$9," ",D44,"*",F44,IF(G44="ок"," (ож)","")," - ",B44," ",IF(G44="мс"," фас. ",""),$A$2))</f>
        <v>Кабель ВВГ 3*25 (ож) - 0,66 ГОСТ 16442-80</v>
      </c>
      <c r="B44" s="510">
        <v>0.66</v>
      </c>
      <c r="C44" s="415" t="s">
        <v>163</v>
      </c>
      <c r="D44" s="274">
        <v>3</v>
      </c>
      <c r="E44" s="34" t="s">
        <v>40</v>
      </c>
      <c r="F44" s="289">
        <v>25</v>
      </c>
      <c r="G44" s="276" t="s">
        <v>153</v>
      </c>
      <c r="H44" s="460">
        <v>5.6499999999999995</v>
      </c>
      <c r="I44" s="494">
        <v>1</v>
      </c>
      <c r="J44" s="495" t="s">
        <v>40</v>
      </c>
      <c r="K44" s="496">
        <f>ROUNDUP(SQRT(F44/PI()*4),2)</f>
        <v>5.6499999999999995</v>
      </c>
      <c r="L44" s="501">
        <v>7.1000000000000005</v>
      </c>
      <c r="M44" s="474"/>
      <c r="N44" s="474"/>
      <c r="O44" s="474"/>
      <c r="P44" s="474"/>
      <c r="Q44" s="483">
        <f t="shared" si="0"/>
        <v>0.89000000000000012</v>
      </c>
      <c r="R44" s="484">
        <f>IF(B44=0.66,VLOOKUP(F44,'Данные ТНПА'!$B$8:$C$16,2,0),
IF(B44=1,VLOOKUP(F44,'Данные ТНПА'!$B$17:$C$37,2,0),"ошибка"))</f>
        <v>1.1000000000000001</v>
      </c>
      <c r="S44" s="485">
        <f t="shared" si="1"/>
        <v>7.43</v>
      </c>
      <c r="T44" s="486"/>
      <c r="U44" s="487"/>
      <c r="V44" s="485">
        <f t="shared" si="2"/>
        <v>7.85</v>
      </c>
      <c r="W44" s="486"/>
      <c r="X44" s="487"/>
      <c r="Y44" s="489">
        <f t="shared" si="3"/>
        <v>0</v>
      </c>
      <c r="Z44" s="491">
        <f t="shared" si="4"/>
        <v>16.877499999999998</v>
      </c>
      <c r="AA44" s="237">
        <f t="shared" si="5"/>
        <v>0</v>
      </c>
      <c r="AB44" s="452">
        <f t="shared" si="6"/>
        <v>16.877499999999998</v>
      </c>
      <c r="AC44" s="201">
        <f t="shared" si="7"/>
        <v>0</v>
      </c>
      <c r="AD44" s="203">
        <f t="shared" si="8"/>
        <v>0</v>
      </c>
      <c r="AE44" s="37" t="str">
        <f t="shared" si="9"/>
        <v/>
      </c>
      <c r="AF44" s="202">
        <f t="shared" si="10"/>
        <v>0</v>
      </c>
      <c r="AG44" s="201">
        <f t="shared" si="11"/>
        <v>0</v>
      </c>
      <c r="AH44" s="61">
        <f t="shared" si="12"/>
        <v>16.877499999999998</v>
      </c>
      <c r="AI44" s="443">
        <f t="shared" si="115"/>
        <v>0</v>
      </c>
      <c r="AJ44" s="444">
        <f t="shared" si="13"/>
        <v>0</v>
      </c>
      <c r="AK44" s="445">
        <f t="shared" si="14"/>
        <v>0</v>
      </c>
      <c r="AL44" s="446">
        <f t="shared" si="15"/>
        <v>0</v>
      </c>
      <c r="AM44" s="447">
        <f t="shared" si="16"/>
        <v>0</v>
      </c>
      <c r="AN44" s="24">
        <f t="shared" si="17"/>
        <v>16.877499999999998</v>
      </c>
      <c r="AO44" s="443">
        <f t="shared" si="18"/>
        <v>0</v>
      </c>
      <c r="AP44" s="444">
        <f t="shared" si="19"/>
        <v>0</v>
      </c>
      <c r="AQ44" s="445">
        <f t="shared" si="20"/>
        <v>0</v>
      </c>
      <c r="AR44" s="446">
        <f t="shared" si="21"/>
        <v>0</v>
      </c>
      <c r="AS44" s="447">
        <f t="shared" si="22"/>
        <v>0</v>
      </c>
      <c r="AT44" s="24">
        <f t="shared" si="23"/>
        <v>16.877499999999998</v>
      </c>
      <c r="AU44" s="443">
        <f t="shared" si="24"/>
        <v>0</v>
      </c>
      <c r="AV44" s="444">
        <f t="shared" si="25"/>
        <v>0</v>
      </c>
      <c r="AW44" s="445">
        <f t="shared" si="26"/>
        <v>0</v>
      </c>
      <c r="AX44" s="446">
        <f t="shared" si="27"/>
        <v>0</v>
      </c>
      <c r="AY44" s="447">
        <f t="shared" si="28"/>
        <v>0</v>
      </c>
      <c r="AZ44" s="24">
        <f t="shared" si="29"/>
        <v>16.877499999999998</v>
      </c>
      <c r="BA44" s="43">
        <f>IF(BB44=0,0,
IF(D44=1,
(IF(AND(AH44&gt;'Данные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"ошибка_1"))))))),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"ошибка_2"))))))))</f>
        <v>0</v>
      </c>
      <c r="BB44" s="43">
        <f>IF(OR($AI$9=0,AND(D44&gt;1,F44&gt;10)),0,
IF(D44=1,
(IF(AND(AH44&gt;'Данные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"ошибка_1"))))))),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IF(AND(AH44&gt;'Данные ТНПА'!#REF!,AH44&lt;='Данные ТНПА'!#REF!),'Данные ТНПА'!#REF!,
"ошибка_2"))))))))</f>
        <v>0</v>
      </c>
      <c r="BC44" s="43">
        <f t="shared" si="30"/>
        <v>16.877499999999998</v>
      </c>
      <c r="BD44" s="237">
        <f t="shared" si="31"/>
        <v>0</v>
      </c>
      <c r="BE44" s="43">
        <f t="shared" si="32"/>
        <v>0</v>
      </c>
      <c r="BF44" s="201">
        <f t="shared" si="33"/>
        <v>0</v>
      </c>
      <c r="BG44" s="201">
        <f t="shared" si="34"/>
        <v>0</v>
      </c>
      <c r="BH44" s="61">
        <f t="shared" si="35"/>
        <v>16.877499999999998</v>
      </c>
      <c r="BI44" s="237">
        <f t="shared" si="36"/>
        <v>0</v>
      </c>
      <c r="BJ44" s="247">
        <f t="shared" si="37"/>
        <v>0</v>
      </c>
      <c r="BK44" s="431">
        <f t="shared" si="38"/>
        <v>0</v>
      </c>
      <c r="BL44" s="250">
        <f t="shared" si="39"/>
        <v>0</v>
      </c>
      <c r="BM44" s="237">
        <f t="shared" si="40"/>
        <v>0</v>
      </c>
      <c r="BN44" s="452">
        <f t="shared" si="41"/>
        <v>16.877499999999998</v>
      </c>
      <c r="BO44" s="237">
        <f t="shared" si="42"/>
        <v>0</v>
      </c>
      <c r="BP44" s="432">
        <f t="shared" si="43"/>
        <v>0</v>
      </c>
      <c r="BQ44" s="22" t="str">
        <f t="shared" si="44"/>
        <v/>
      </c>
      <c r="BR44" s="250">
        <f t="shared" si="45"/>
        <v>0</v>
      </c>
      <c r="BS44" s="237">
        <f t="shared" si="46"/>
        <v>0</v>
      </c>
      <c r="BT44" s="452">
        <f t="shared" si="47"/>
        <v>16.877499999999998</v>
      </c>
      <c r="BU44" s="492">
        <f t="shared" si="48"/>
        <v>1.3449999999999998</v>
      </c>
      <c r="BV44" s="493">
        <f>IF(BT44="","",
IF(AND(BT44&gt;'Данные ТНПА'!$K$8,BT44&lt;='Данные ТНПА'!$L$8),'Данные ТНПА'!$N$8,
IF(AND(BT44&gt;'Данные ТНПА'!$K$9,BT44&lt;='Данные ТНПА'!$L$9),'Данные ТНПА'!$N$9,
IF(AND(BT44&gt;'Данные ТНПА'!$K$10,BT44&lt;='Данные ТНПА'!$L$10),'Данные ТНПА'!$N$10,
IF(AND(BT44&gt;'Данные ТНПА'!$K$11,BT44&lt;='Данные ТНПА'!$L$11),'Данные ТНПА'!$N$11,
IF(AND(BT44&gt;'Данные ТНПА'!$K$12,BT44&lt;='Данные ТНПА'!$L$12),'Данные ТНПА'!$N$12,
IF(AND(BT44&gt;'Данные ТНПА'!$K$13,BT44&lt;='Данные ТНПА'!$L$13),'Данные ТНПА'!$N$13,
IF(AND(BT44&gt;'Данные ТНПА'!$K$14,BT44&lt;='Данные ТНПА'!$L$14),'Данные ТНПА'!$N$14))))))))</f>
        <v>1.7</v>
      </c>
      <c r="BW44" s="493">
        <f t="shared" si="49"/>
        <v>20.277499999999996</v>
      </c>
      <c r="BX44" s="457">
        <f t="shared" si="50"/>
        <v>0</v>
      </c>
      <c r="BY44" s="457">
        <f t="shared" si="51"/>
        <v>671.41724999999997</v>
      </c>
      <c r="BZ44" s="457">
        <f t="shared" si="52"/>
        <v>94.428231118919655</v>
      </c>
      <c r="CA44" s="457" t="e">
        <f t="shared" si="53"/>
        <v>#REF!</v>
      </c>
      <c r="CB44" s="458">
        <f t="shared" si="54"/>
        <v>0</v>
      </c>
      <c r="CC44" s="457">
        <f t="shared" si="55"/>
        <v>0</v>
      </c>
      <c r="CD44" s="457">
        <f t="shared" si="56"/>
        <v>0</v>
      </c>
      <c r="CE44" s="457">
        <f t="shared" si="57"/>
        <v>0</v>
      </c>
      <c r="CF44" s="457">
        <f t="shared" si="58"/>
        <v>0</v>
      </c>
      <c r="CG44" s="458">
        <f t="shared" si="59"/>
        <v>0</v>
      </c>
      <c r="CH44" s="457">
        <f t="shared" si="60"/>
        <v>0</v>
      </c>
      <c r="CI44" s="457">
        <f t="shared" si="61"/>
        <v>0</v>
      </c>
      <c r="CJ44" s="458">
        <f t="shared" si="62"/>
        <v>0</v>
      </c>
      <c r="CK44" s="458">
        <f t="shared" si="63"/>
        <v>144.45994295461369</v>
      </c>
      <c r="CL44" s="457">
        <f t="shared" si="64"/>
        <v>910.30542407353335</v>
      </c>
      <c r="CM44" s="504"/>
      <c r="CN44" s="504"/>
    </row>
    <row r="45" spans="1:92" s="207" customFormat="1" ht="14.25" hidden="1" customHeight="1" x14ac:dyDescent="0.25">
      <c r="A45" s="389" t="str">
        <f>IF(D45="",CONCATENATE("Кабель ",IF(C45="а","А",""),$A$9),CONCATENATE("Кабель ",IF(C45="а","А",""),$A$9," ",D45,"*",F45,IF(G45="ок"," (ож)","")," - ",B45," ",IF(G45="мс"," фас. ",""),$A$2))</f>
        <v>Кабель ВВГ 3*35 (ож) - 0,66 ГОСТ 16442-80</v>
      </c>
      <c r="B45" s="449">
        <v>0.66</v>
      </c>
      <c r="C45" s="415" t="s">
        <v>163</v>
      </c>
      <c r="D45" s="274">
        <v>3</v>
      </c>
      <c r="E45" s="34" t="s">
        <v>40</v>
      </c>
      <c r="F45" s="289">
        <v>35</v>
      </c>
      <c r="G45" s="276" t="s">
        <v>153</v>
      </c>
      <c r="H45" s="460">
        <v>6.68</v>
      </c>
      <c r="I45" s="494">
        <v>1</v>
      </c>
      <c r="J45" s="495" t="s">
        <v>40</v>
      </c>
      <c r="K45" s="496">
        <f>ROUNDUP(SQRT(F45/PI()*4),2)</f>
        <v>6.68</v>
      </c>
      <c r="L45" s="501">
        <v>8.15</v>
      </c>
      <c r="M45" s="474"/>
      <c r="N45" s="474"/>
      <c r="O45" s="474"/>
      <c r="P45" s="474"/>
      <c r="Q45" s="483">
        <f t="shared" si="0"/>
        <v>0.89000000000000012</v>
      </c>
      <c r="R45" s="484">
        <f>IF(B45=0.66,VLOOKUP(F45,'Данные ТНПА'!$B$8:$C$16,2,0),
IF(B45=1,VLOOKUP(F45,'Данные ТНПА'!$B$17:$C$37,2,0),"ошибка"))</f>
        <v>1.1000000000000001</v>
      </c>
      <c r="S45" s="485">
        <f t="shared" si="1"/>
        <v>8.4600000000000009</v>
      </c>
      <c r="T45" s="486"/>
      <c r="U45" s="487"/>
      <c r="V45" s="485">
        <f t="shared" si="2"/>
        <v>8.879999999999999</v>
      </c>
      <c r="W45" s="486"/>
      <c r="X45" s="487"/>
      <c r="Y45" s="489">
        <f t="shared" si="3"/>
        <v>0</v>
      </c>
      <c r="Z45" s="491">
        <f t="shared" si="4"/>
        <v>19.091999999999999</v>
      </c>
      <c r="AA45" s="237">
        <f t="shared" si="5"/>
        <v>0</v>
      </c>
      <c r="AB45" s="452">
        <f t="shared" si="6"/>
        <v>19.091999999999999</v>
      </c>
      <c r="AC45" s="201">
        <f t="shared" si="7"/>
        <v>0</v>
      </c>
      <c r="AD45" s="203">
        <f t="shared" si="8"/>
        <v>0</v>
      </c>
      <c r="AE45" s="37" t="str">
        <f t="shared" si="9"/>
        <v/>
      </c>
      <c r="AF45" s="202">
        <f t="shared" si="10"/>
        <v>0</v>
      </c>
      <c r="AG45" s="201">
        <f t="shared" si="11"/>
        <v>0</v>
      </c>
      <c r="AH45" s="61">
        <f t="shared" si="12"/>
        <v>19.091999999999999</v>
      </c>
      <c r="AI45" s="443">
        <f t="shared" si="115"/>
        <v>0</v>
      </c>
      <c r="AJ45" s="444">
        <f t="shared" si="13"/>
        <v>0</v>
      </c>
      <c r="AK45" s="445">
        <f t="shared" si="14"/>
        <v>0</v>
      </c>
      <c r="AL45" s="446">
        <f t="shared" si="15"/>
        <v>0</v>
      </c>
      <c r="AM45" s="447">
        <f t="shared" si="16"/>
        <v>0</v>
      </c>
      <c r="AN45" s="24">
        <f t="shared" si="17"/>
        <v>19.091999999999999</v>
      </c>
      <c r="AO45" s="443">
        <f t="shared" si="18"/>
        <v>0</v>
      </c>
      <c r="AP45" s="444">
        <f t="shared" ref="AP45" si="116">IF(OR(AO45=0,AN45&gt;23),0,$AP$9)</f>
        <v>0</v>
      </c>
      <c r="AQ45" s="445">
        <f t="shared" ref="AQ45" si="117">IF(OR(AN45&gt;23,AO45=0),0,"×")</f>
        <v>0</v>
      </c>
      <c r="AR45" s="446">
        <f t="shared" ref="AR45" si="118">IF(OR(AN45&gt;23,AO45=0),0,$AR$9)</f>
        <v>0</v>
      </c>
      <c r="AS45" s="447">
        <f t="shared" si="22"/>
        <v>0</v>
      </c>
      <c r="AT45" s="24">
        <f t="shared" si="23"/>
        <v>19.091999999999999</v>
      </c>
      <c r="AU45" s="443">
        <f t="shared" si="24"/>
        <v>0</v>
      </c>
      <c r="AV45" s="444">
        <f t="shared" si="25"/>
        <v>0</v>
      </c>
      <c r="AW45" s="445">
        <f t="shared" si="26"/>
        <v>0</v>
      </c>
      <c r="AX45" s="446">
        <f t="shared" si="27"/>
        <v>0</v>
      </c>
      <c r="AY45" s="447">
        <f t="shared" si="28"/>
        <v>0</v>
      </c>
      <c r="AZ45" s="24">
        <f t="shared" si="29"/>
        <v>19.091999999999999</v>
      </c>
      <c r="BA45" s="43">
        <f>IF(BB45=0,0,
IF(D45=1,
(IF(AND(AH45&gt;'Данные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"ошибка_1"))))))),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"ошибка_2"))))))))</f>
        <v>0</v>
      </c>
      <c r="BB45" s="43">
        <f>IF(OR($AI$9=0,AND(D45&gt;1,F45&gt;10)),0,
IF(D45=1,
(IF(AND(AH45&gt;'Данные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"ошибка_1"))))))),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IF(AND(AH45&gt;'Данные ТНПА'!#REF!,AH45&lt;='Данные ТНПА'!#REF!),'Данные ТНПА'!#REF!,
"ошибка_2"))))))))</f>
        <v>0</v>
      </c>
      <c r="BC45" s="43">
        <f t="shared" si="30"/>
        <v>19.091999999999999</v>
      </c>
      <c r="BD45" s="237">
        <f t="shared" si="31"/>
        <v>0</v>
      </c>
      <c r="BE45" s="43">
        <f t="shared" si="32"/>
        <v>0</v>
      </c>
      <c r="BF45" s="201">
        <f t="shared" si="33"/>
        <v>0</v>
      </c>
      <c r="BG45" s="201">
        <f t="shared" si="34"/>
        <v>0</v>
      </c>
      <c r="BH45" s="61">
        <f t="shared" si="35"/>
        <v>19.091999999999999</v>
      </c>
      <c r="BI45" s="237">
        <f t="shared" si="36"/>
        <v>0</v>
      </c>
      <c r="BJ45" s="247">
        <f t="shared" si="37"/>
        <v>0</v>
      </c>
      <c r="BK45" s="431">
        <f t="shared" si="38"/>
        <v>0</v>
      </c>
      <c r="BL45" s="250">
        <f t="shared" si="39"/>
        <v>0</v>
      </c>
      <c r="BM45" s="237">
        <f t="shared" si="40"/>
        <v>0</v>
      </c>
      <c r="BN45" s="452">
        <f t="shared" si="41"/>
        <v>19.091999999999999</v>
      </c>
      <c r="BO45" s="237">
        <f t="shared" si="42"/>
        <v>0</v>
      </c>
      <c r="BP45" s="432">
        <f t="shared" si="43"/>
        <v>0</v>
      </c>
      <c r="BQ45" s="22" t="str">
        <f t="shared" si="44"/>
        <v/>
      </c>
      <c r="BR45" s="250">
        <f t="shared" si="45"/>
        <v>0</v>
      </c>
      <c r="BS45" s="237">
        <f t="shared" si="46"/>
        <v>0</v>
      </c>
      <c r="BT45" s="452">
        <f t="shared" si="47"/>
        <v>19.091999999999999</v>
      </c>
      <c r="BU45" s="492">
        <f t="shared" si="48"/>
        <v>1.3449999999999998</v>
      </c>
      <c r="BV45" s="493">
        <f>IF(BT45="","",
IF(AND(BT45&gt;'Данные ТНПА'!$K$8,BT45&lt;='Данные ТНПА'!$L$8),'Данные ТНПА'!$N$8,
IF(AND(BT45&gt;'Данные ТНПА'!$K$9,BT45&lt;='Данные ТНПА'!$L$9),'Данные ТНПА'!$N$9,
IF(AND(BT45&gt;'Данные ТНПА'!$K$10,BT45&lt;='Данные ТНПА'!$L$10),'Данные ТНПА'!$N$10,
IF(AND(BT45&gt;'Данные ТНПА'!$K$11,BT45&lt;='Данные ТНПА'!$L$11),'Данные ТНПА'!$N$11,
IF(AND(BT45&gt;'Данные ТНПА'!$K$12,BT45&lt;='Данные ТНПА'!$L$12),'Данные ТНПА'!$N$12,
IF(AND(BT45&gt;'Данные ТНПА'!$K$13,BT45&lt;='Данные ТНПА'!$L$13),'Данные ТНПА'!$N$13,
IF(AND(BT45&gt;'Данные ТНПА'!$K$14,BT45&lt;='Данные ТНПА'!$L$14),'Данные ТНПА'!$N$14))))))))</f>
        <v>1.7</v>
      </c>
      <c r="BW45" s="493">
        <f t="shared" si="49"/>
        <v>22.491999999999997</v>
      </c>
      <c r="BX45" s="457">
        <f t="shared" si="50"/>
        <v>0</v>
      </c>
      <c r="BY45" s="457">
        <f t="shared" si="51"/>
        <v>939.98415</v>
      </c>
      <c r="BZ45" s="457">
        <f t="shared" si="52"/>
        <v>108.83727971928813</v>
      </c>
      <c r="CA45" s="457" t="e">
        <f t="shared" si="53"/>
        <v>#REF!</v>
      </c>
      <c r="CB45" s="458">
        <f t="shared" si="54"/>
        <v>0</v>
      </c>
      <c r="CC45" s="457">
        <f t="shared" si="55"/>
        <v>0</v>
      </c>
      <c r="CD45" s="457">
        <f t="shared" si="56"/>
        <v>0</v>
      </c>
      <c r="CE45" s="457">
        <f t="shared" si="57"/>
        <v>0</v>
      </c>
      <c r="CF45" s="457">
        <f t="shared" si="58"/>
        <v>0</v>
      </c>
      <c r="CG45" s="458">
        <f t="shared" si="59"/>
        <v>0</v>
      </c>
      <c r="CH45" s="457">
        <f t="shared" si="60"/>
        <v>0</v>
      </c>
      <c r="CI45" s="457">
        <f t="shared" si="61"/>
        <v>0</v>
      </c>
      <c r="CJ45" s="458">
        <f t="shared" si="62"/>
        <v>0</v>
      </c>
      <c r="CK45" s="458">
        <f t="shared" si="63"/>
        <v>161.68005027115211</v>
      </c>
      <c r="CL45" s="457">
        <f t="shared" si="64"/>
        <v>1210.5014799904402</v>
      </c>
      <c r="CM45" s="504"/>
      <c r="CN45" s="504"/>
    </row>
    <row r="46" spans="1:92" s="207" customFormat="1" ht="14.25" hidden="1" customHeight="1" x14ac:dyDescent="0.25">
      <c r="A46" s="389" t="str">
        <f>IF(D46="",CONCATENATE("Кабель ",IF(C46="а","А",""),$A$9),CONCATENATE("Кабель ",IF(C46="а","А",""),$A$9," ",D46,"*",F46,IF(G46="ок"," (ож)","")," - ",B46," ",IF(G46="мс"," фас. ",""),$A$2))</f>
        <v>Кабель ВВГ 4*16 - 0,66 ГОСТ 16442-80</v>
      </c>
      <c r="B46" s="511">
        <v>0.66</v>
      </c>
      <c r="C46" s="451" t="s">
        <v>163</v>
      </c>
      <c r="D46" s="274">
        <v>4</v>
      </c>
      <c r="E46" s="34" t="s">
        <v>40</v>
      </c>
      <c r="F46" s="289">
        <v>16</v>
      </c>
      <c r="G46" s="276" t="s">
        <v>154</v>
      </c>
      <c r="H46" s="460">
        <v>1.77</v>
      </c>
      <c r="I46" s="468">
        <v>7</v>
      </c>
      <c r="J46" s="469" t="s">
        <v>40</v>
      </c>
      <c r="K46" s="470">
        <f>ROUNDUP(SQRT(F46/I46/PI()*4*1.07),2)</f>
        <v>1.77</v>
      </c>
      <c r="L46" s="501">
        <v>1.39</v>
      </c>
      <c r="M46" s="466"/>
      <c r="N46" s="466"/>
      <c r="O46" s="466"/>
      <c r="P46" s="466"/>
      <c r="Q46" s="483">
        <f t="shared" si="0"/>
        <v>0.71000000000000008</v>
      </c>
      <c r="R46" s="484">
        <f>IF(B46=0.66,VLOOKUP(F46,'Данные ТНПА'!$B$8:$C$16,2,0),
IF(B46=1,VLOOKUP(F46,'Данные ТНПА'!$B$17:$C$37,2,0),"ошибка"))</f>
        <v>0.9</v>
      </c>
      <c r="S46" s="485">
        <f t="shared" si="1"/>
        <v>2.81</v>
      </c>
      <c r="T46" s="486"/>
      <c r="U46" s="487"/>
      <c r="V46" s="485">
        <f t="shared" si="2"/>
        <v>3.19</v>
      </c>
      <c r="W46" s="486"/>
      <c r="X46" s="487"/>
      <c r="Y46" s="489">
        <f t="shared" si="3"/>
        <v>0</v>
      </c>
      <c r="Z46" s="491">
        <f t="shared" si="4"/>
        <v>7.6879</v>
      </c>
      <c r="AA46" s="237">
        <f t="shared" si="5"/>
        <v>0</v>
      </c>
      <c r="AB46" s="452">
        <f t="shared" si="6"/>
        <v>7.6879</v>
      </c>
      <c r="AC46" s="201">
        <f t="shared" si="7"/>
        <v>0</v>
      </c>
      <c r="AD46" s="203">
        <f t="shared" si="8"/>
        <v>0</v>
      </c>
      <c r="AE46" s="37" t="str">
        <f t="shared" si="9"/>
        <v/>
      </c>
      <c r="AF46" s="202">
        <f t="shared" si="10"/>
        <v>0</v>
      </c>
      <c r="AG46" s="201">
        <f t="shared" si="11"/>
        <v>0</v>
      </c>
      <c r="AH46" s="61">
        <f t="shared" si="12"/>
        <v>7.6879</v>
      </c>
      <c r="AI46" s="443">
        <f t="shared" si="115"/>
        <v>0</v>
      </c>
      <c r="AJ46" s="444">
        <f t="shared" si="13"/>
        <v>0</v>
      </c>
      <c r="AK46" s="445">
        <f t="shared" si="14"/>
        <v>0</v>
      </c>
      <c r="AL46" s="446">
        <f t="shared" si="15"/>
        <v>0</v>
      </c>
      <c r="AM46" s="447">
        <f t="shared" si="16"/>
        <v>0</v>
      </c>
      <c r="AN46" s="24">
        <f t="shared" si="17"/>
        <v>7.6879</v>
      </c>
      <c r="AO46" s="443">
        <f t="shared" si="18"/>
        <v>0</v>
      </c>
      <c r="AP46" s="444">
        <f t="shared" si="19"/>
        <v>0</v>
      </c>
      <c r="AQ46" s="445">
        <f t="shared" si="20"/>
        <v>0</v>
      </c>
      <c r="AR46" s="446">
        <f t="shared" si="21"/>
        <v>0</v>
      </c>
      <c r="AS46" s="447">
        <f t="shared" si="22"/>
        <v>0</v>
      </c>
      <c r="AT46" s="24">
        <f t="shared" si="23"/>
        <v>7.6879</v>
      </c>
      <c r="AU46" s="443">
        <f t="shared" si="24"/>
        <v>0</v>
      </c>
      <c r="AV46" s="444">
        <f t="shared" si="25"/>
        <v>0</v>
      </c>
      <c r="AW46" s="445">
        <f t="shared" si="26"/>
        <v>0</v>
      </c>
      <c r="AX46" s="446">
        <f t="shared" si="27"/>
        <v>0</v>
      </c>
      <c r="AY46" s="447">
        <f t="shared" si="28"/>
        <v>0</v>
      </c>
      <c r="AZ46" s="24">
        <f t="shared" si="29"/>
        <v>7.6879</v>
      </c>
      <c r="BA46" s="43">
        <f>IF(BB46=0,0,
IF(D46=1,
(IF(AND(AH46&gt;'Данные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"ошибка_1"))))))),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"ошибка_2"))))))))</f>
        <v>0</v>
      </c>
      <c r="BB46" s="43">
        <f>IF(OR($AI$9=0,AND(D46&gt;1,F46&gt;10)),0,
IF(D46=1,
(IF(AND(AH46&gt;'Данные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"ошибка_1"))))))),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IF(AND(AH46&gt;'Данные ТНПА'!#REF!,AH46&lt;='Данные ТНПА'!#REF!),'Данные ТНПА'!#REF!,
"ошибка_2"))))))))</f>
        <v>0</v>
      </c>
      <c r="BC46" s="43">
        <f t="shared" si="30"/>
        <v>7.6879</v>
      </c>
      <c r="BD46" s="237">
        <f t="shared" si="31"/>
        <v>0</v>
      </c>
      <c r="BE46" s="43">
        <f t="shared" si="32"/>
        <v>0</v>
      </c>
      <c r="BF46" s="201">
        <f t="shared" si="33"/>
        <v>0</v>
      </c>
      <c r="BG46" s="201">
        <f t="shared" si="34"/>
        <v>0</v>
      </c>
      <c r="BH46" s="61">
        <f t="shared" si="35"/>
        <v>7.6879</v>
      </c>
      <c r="BI46" s="237">
        <f t="shared" si="36"/>
        <v>0</v>
      </c>
      <c r="BJ46" s="247">
        <f t="shared" si="37"/>
        <v>0</v>
      </c>
      <c r="BK46" s="431">
        <f t="shared" si="38"/>
        <v>0</v>
      </c>
      <c r="BL46" s="250">
        <f t="shared" si="39"/>
        <v>0</v>
      </c>
      <c r="BM46" s="237">
        <f t="shared" si="40"/>
        <v>0</v>
      </c>
      <c r="BN46" s="452">
        <f t="shared" si="41"/>
        <v>7.6879</v>
      </c>
      <c r="BO46" s="237">
        <f t="shared" si="42"/>
        <v>0</v>
      </c>
      <c r="BP46" s="432">
        <f t="shared" si="43"/>
        <v>0</v>
      </c>
      <c r="BQ46" s="22" t="str">
        <f t="shared" si="44"/>
        <v/>
      </c>
      <c r="BR46" s="250">
        <f t="shared" si="45"/>
        <v>0</v>
      </c>
      <c r="BS46" s="237">
        <f t="shared" si="46"/>
        <v>0</v>
      </c>
      <c r="BT46" s="452">
        <f t="shared" si="47"/>
        <v>7.6879</v>
      </c>
      <c r="BU46" s="492">
        <f t="shared" si="48"/>
        <v>1.1749999999999998</v>
      </c>
      <c r="BV46" s="493">
        <f>IF(BT46="","",
IF(AND(BT46&gt;'Данные ТНПА'!$K$8,BT46&lt;='Данные ТНПА'!$L$8),'Данные ТНПА'!$N$8,
IF(AND(BT46&gt;'Данные ТНПА'!$K$9,BT46&lt;='Данные ТНПА'!$L$9),'Данные ТНПА'!$N$9,
IF(AND(BT46&gt;'Данные ТНПА'!$K$10,BT46&lt;='Данные ТНПА'!$L$10),'Данные ТНПА'!$N$10,
IF(AND(BT46&gt;'Данные ТНПА'!$K$11,BT46&lt;='Данные ТНПА'!$L$11),'Данные ТНПА'!$N$11,
IF(AND(BT46&gt;'Данные ТНПА'!$K$12,BT46&lt;='Данные ТНПА'!$L$12),'Данные ТНПА'!$N$12,
IF(AND(BT46&gt;'Данные ТНПА'!$K$13,BT46&lt;='Данные ТНПА'!$L$13),'Данные ТНПА'!$N$13,
IF(AND(BT46&gt;'Данные ТНПА'!$K$14,BT46&lt;='Данные ТНПА'!$L$14),'Данные ТНПА'!$N$14))))))))</f>
        <v>1.5</v>
      </c>
      <c r="BW46" s="493">
        <f t="shared" si="49"/>
        <v>10.687899999999999</v>
      </c>
      <c r="BX46" s="457">
        <f t="shared" si="50"/>
        <v>0</v>
      </c>
      <c r="BY46" s="457">
        <f t="shared" si="51"/>
        <v>572.94272000000001</v>
      </c>
      <c r="BZ46" s="457">
        <f t="shared" si="52"/>
        <v>38.44278209108019</v>
      </c>
      <c r="CA46" s="457" t="e">
        <f t="shared" si="53"/>
        <v>#REF!</v>
      </c>
      <c r="CB46" s="458">
        <f t="shared" si="54"/>
        <v>0</v>
      </c>
      <c r="CC46" s="457">
        <f t="shared" si="55"/>
        <v>0</v>
      </c>
      <c r="CD46" s="457">
        <f t="shared" si="56"/>
        <v>0</v>
      </c>
      <c r="CE46" s="457">
        <f t="shared" si="57"/>
        <v>0</v>
      </c>
      <c r="CF46" s="457">
        <f t="shared" si="58"/>
        <v>0</v>
      </c>
      <c r="CG46" s="458">
        <f t="shared" si="59"/>
        <v>0</v>
      </c>
      <c r="CH46" s="457">
        <f t="shared" si="60"/>
        <v>0</v>
      </c>
      <c r="CI46" s="457">
        <f t="shared" si="61"/>
        <v>0</v>
      </c>
      <c r="CJ46" s="458">
        <f t="shared" si="62"/>
        <v>0</v>
      </c>
      <c r="CK46" s="458">
        <f t="shared" si="63"/>
        <v>63.040371885948161</v>
      </c>
      <c r="CL46" s="457">
        <f t="shared" si="64"/>
        <v>674.42587397702835</v>
      </c>
      <c r="CM46" s="504"/>
      <c r="CN46" s="504"/>
    </row>
    <row r="47" spans="1:92" s="207" customFormat="1" ht="14.25" hidden="1" customHeight="1" x14ac:dyDescent="0.25">
      <c r="A47" s="389" t="str">
        <f>IF(D47="",CONCATENATE("Кабель ",IF(C47="а","А",""),$A$9),CONCATENATE("Кабель ",IF(C47="а","А",""),$A$9," ",D47,"*",F47,IF(G47="ок"," (ож)","")," - ",B47," ",IF(G47="мс"," фас. ",""),$A$2))</f>
        <v>Кабель ВВГ 4*25 - 0,66 ГОСТ 16442-80</v>
      </c>
      <c r="B47" s="450">
        <v>0.66</v>
      </c>
      <c r="C47" s="451" t="s">
        <v>163</v>
      </c>
      <c r="D47" s="439">
        <v>4</v>
      </c>
      <c r="E47" s="34" t="s">
        <v>40</v>
      </c>
      <c r="F47" s="289">
        <v>25</v>
      </c>
      <c r="G47" s="276" t="s">
        <v>154</v>
      </c>
      <c r="H47" s="460">
        <v>2.21</v>
      </c>
      <c r="I47" s="468">
        <v>7</v>
      </c>
      <c r="J47" s="469" t="s">
        <v>40</v>
      </c>
      <c r="K47" s="470">
        <f>ROUNDUP(SQRT(F47/I47/PI()*4*1.07),2)</f>
        <v>2.21</v>
      </c>
      <c r="L47" s="501">
        <v>1.79</v>
      </c>
      <c r="M47" s="467"/>
      <c r="N47" s="467"/>
      <c r="O47" s="467"/>
      <c r="P47" s="467"/>
      <c r="Q47" s="483">
        <f t="shared" si="0"/>
        <v>0.89000000000000012</v>
      </c>
      <c r="R47" s="484">
        <f>IF(B47=0.66,VLOOKUP(F47,'Данные ТНПА'!$B$8:$C$16,2,0),
IF(B47=1,VLOOKUP(F47,'Данные ТНПА'!$B$17:$C$37,2,0),"ошибка"))</f>
        <v>1.1000000000000001</v>
      </c>
      <c r="S47" s="485">
        <f t="shared" si="1"/>
        <v>3.5700000000000003</v>
      </c>
      <c r="T47" s="486"/>
      <c r="U47" s="487"/>
      <c r="V47" s="485">
        <f t="shared" si="2"/>
        <v>3.99</v>
      </c>
      <c r="W47" s="486"/>
      <c r="X47" s="487"/>
      <c r="Y47" s="489">
        <f t="shared" si="3"/>
        <v>1.7</v>
      </c>
      <c r="Z47" s="491">
        <f t="shared" si="4"/>
        <v>9.6159000000000017</v>
      </c>
      <c r="AA47" s="237">
        <f t="shared" si="5"/>
        <v>0</v>
      </c>
      <c r="AB47" s="452">
        <f t="shared" si="6"/>
        <v>9.6159000000000017</v>
      </c>
      <c r="AC47" s="201">
        <f t="shared" si="7"/>
        <v>0</v>
      </c>
      <c r="AD47" s="203">
        <f t="shared" si="8"/>
        <v>0</v>
      </c>
      <c r="AE47" s="37" t="str">
        <f t="shared" si="9"/>
        <v/>
      </c>
      <c r="AF47" s="202">
        <f t="shared" si="10"/>
        <v>0</v>
      </c>
      <c r="AG47" s="201">
        <f t="shared" si="11"/>
        <v>0</v>
      </c>
      <c r="AH47" s="61">
        <f t="shared" si="12"/>
        <v>9.6159000000000017</v>
      </c>
      <c r="AI47" s="443">
        <f t="shared" si="115"/>
        <v>0</v>
      </c>
      <c r="AJ47" s="444">
        <f t="shared" si="13"/>
        <v>0</v>
      </c>
      <c r="AK47" s="445">
        <f t="shared" si="14"/>
        <v>0</v>
      </c>
      <c r="AL47" s="446">
        <f t="shared" si="15"/>
        <v>0</v>
      </c>
      <c r="AM47" s="447">
        <f t="shared" si="16"/>
        <v>0</v>
      </c>
      <c r="AN47" s="24">
        <f t="shared" si="17"/>
        <v>9.6159000000000017</v>
      </c>
      <c r="AO47" s="443">
        <f t="shared" si="18"/>
        <v>0</v>
      </c>
      <c r="AP47" s="444">
        <f t="shared" si="19"/>
        <v>0</v>
      </c>
      <c r="AQ47" s="445">
        <f t="shared" si="20"/>
        <v>0</v>
      </c>
      <c r="AR47" s="446">
        <f t="shared" si="21"/>
        <v>0</v>
      </c>
      <c r="AS47" s="447">
        <f t="shared" si="22"/>
        <v>0</v>
      </c>
      <c r="AT47" s="24">
        <f t="shared" si="23"/>
        <v>9.6159000000000017</v>
      </c>
      <c r="AU47" s="443">
        <f t="shared" si="24"/>
        <v>0</v>
      </c>
      <c r="AV47" s="444">
        <f t="shared" si="25"/>
        <v>0</v>
      </c>
      <c r="AW47" s="445">
        <f t="shared" si="26"/>
        <v>0</v>
      </c>
      <c r="AX47" s="446">
        <f t="shared" si="27"/>
        <v>0</v>
      </c>
      <c r="AY47" s="447">
        <f t="shared" si="28"/>
        <v>0</v>
      </c>
      <c r="AZ47" s="24">
        <f t="shared" si="29"/>
        <v>9.6159000000000017</v>
      </c>
      <c r="BA47" s="43">
        <f>IF(BB47=0,0,
IF(D47=1,
(IF(AND(AH47&gt;'Данные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"ошибка_1"))))))),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"ошибка_2"))))))))</f>
        <v>0</v>
      </c>
      <c r="BB47" s="43">
        <f>IF(OR($AI$9=0,AND(D47&gt;1,F47&gt;10)),0,
IF(D47=1,
(IF(AND(AH47&gt;'Данные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"ошибка_1"))))))),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IF(AND(AH47&gt;'Данные ТНПА'!#REF!,AH47&lt;='Данные ТНПА'!#REF!),'Данные ТНПА'!#REF!,
"ошибка_2"))))))))</f>
        <v>0</v>
      </c>
      <c r="BC47" s="43">
        <f t="shared" si="30"/>
        <v>9.6159000000000017</v>
      </c>
      <c r="BD47" s="237">
        <f t="shared" si="31"/>
        <v>0</v>
      </c>
      <c r="BE47" s="43">
        <f t="shared" si="32"/>
        <v>0</v>
      </c>
      <c r="BF47" s="201">
        <f t="shared" si="33"/>
        <v>0</v>
      </c>
      <c r="BG47" s="201">
        <f t="shared" si="34"/>
        <v>0</v>
      </c>
      <c r="BH47" s="61">
        <f t="shared" si="35"/>
        <v>9.6159000000000017</v>
      </c>
      <c r="BI47" s="237">
        <f t="shared" si="36"/>
        <v>0</v>
      </c>
      <c r="BJ47" s="247">
        <f t="shared" si="37"/>
        <v>0</v>
      </c>
      <c r="BK47" s="431">
        <f t="shared" si="38"/>
        <v>0</v>
      </c>
      <c r="BL47" s="250">
        <f t="shared" si="39"/>
        <v>0</v>
      </c>
      <c r="BM47" s="237">
        <f t="shared" si="40"/>
        <v>0</v>
      </c>
      <c r="BN47" s="452">
        <f t="shared" si="41"/>
        <v>9.6159000000000017</v>
      </c>
      <c r="BO47" s="237">
        <f t="shared" si="42"/>
        <v>0</v>
      </c>
      <c r="BP47" s="432">
        <f t="shared" si="43"/>
        <v>0</v>
      </c>
      <c r="BQ47" s="22" t="str">
        <f t="shared" si="44"/>
        <v/>
      </c>
      <c r="BR47" s="250">
        <f t="shared" si="45"/>
        <v>0</v>
      </c>
      <c r="BS47" s="237">
        <f t="shared" si="46"/>
        <v>0</v>
      </c>
      <c r="BT47" s="452">
        <f t="shared" si="47"/>
        <v>9.6159000000000017</v>
      </c>
      <c r="BU47" s="492">
        <f t="shared" si="48"/>
        <v>1.1749999999999998</v>
      </c>
      <c r="BV47" s="493">
        <f>IF(BT47="","",
IF(AND(BT47&gt;'Данные ТНПА'!$K$8,BT47&lt;='Данные ТНПА'!$L$8),'Данные ТНПА'!$N$8,
IF(AND(BT47&gt;'Данные ТНПА'!$K$9,BT47&lt;='Данные ТНПА'!$L$9),'Данные ТНПА'!$N$9,
IF(AND(BT47&gt;'Данные ТНПА'!$K$10,BT47&lt;='Данные ТНПА'!$L$10),'Данные ТНПА'!$N$10,
IF(AND(BT47&gt;'Данные ТНПА'!$K$11,BT47&lt;='Данные ТНПА'!$L$11),'Данные ТНПА'!$N$11,
IF(AND(BT47&gt;'Данные ТНПА'!$K$12,BT47&lt;='Данные ТНПА'!$L$12),'Данные ТНПА'!$N$12,
IF(AND(BT47&gt;'Данные ТНПА'!$K$13,BT47&lt;='Данные ТНПА'!$L$13),'Данные ТНПА'!$N$13,
IF(AND(BT47&gt;'Данные ТНПА'!$K$14,BT47&lt;='Данные ТНПА'!$L$14),'Данные ТНПА'!$N$14))))))))</f>
        <v>1.5</v>
      </c>
      <c r="BW47" s="493">
        <f t="shared" si="49"/>
        <v>12.615900000000002</v>
      </c>
      <c r="BX47" s="457">
        <f t="shared" si="50"/>
        <v>0</v>
      </c>
      <c r="BY47" s="457">
        <f t="shared" si="51"/>
        <v>895.22299999999996</v>
      </c>
      <c r="BZ47" s="457">
        <f t="shared" si="52"/>
        <v>59.296266020157162</v>
      </c>
      <c r="CA47" s="457" t="e">
        <f t="shared" si="53"/>
        <v>#REF!</v>
      </c>
      <c r="CB47" s="458">
        <f t="shared" si="54"/>
        <v>0</v>
      </c>
      <c r="CC47" s="457">
        <f t="shared" si="55"/>
        <v>0</v>
      </c>
      <c r="CD47" s="457">
        <f t="shared" si="56"/>
        <v>0</v>
      </c>
      <c r="CE47" s="457">
        <f t="shared" si="57"/>
        <v>0</v>
      </c>
      <c r="CF47" s="457">
        <f t="shared" si="58"/>
        <v>0</v>
      </c>
      <c r="CG47" s="458">
        <f t="shared" si="59"/>
        <v>0</v>
      </c>
      <c r="CH47" s="457">
        <f t="shared" si="60"/>
        <v>0</v>
      </c>
      <c r="CI47" s="457">
        <f t="shared" si="61"/>
        <v>0</v>
      </c>
      <c r="CJ47" s="458">
        <f t="shared" si="62"/>
        <v>0</v>
      </c>
      <c r="CK47" s="458">
        <f t="shared" si="63"/>
        <v>76.268839435236714</v>
      </c>
      <c r="CL47" s="457">
        <f t="shared" si="64"/>
        <v>1030.7881054553939</v>
      </c>
      <c r="CM47" s="504"/>
      <c r="CN47" s="504"/>
    </row>
    <row r="48" spans="1:92" s="207" customFormat="1" ht="14.25" hidden="1" customHeight="1" x14ac:dyDescent="0.25">
      <c r="A48" s="389" t="str">
        <f>IF(D48="",CONCATENATE("Кабель ",IF(C48="а","А",""),$A$9),CONCATENATE("Кабель ",IF(C48="а","А",""),$A$9," ",D48,"*",F48,IF(G48="ок"," (ож)","")," - ",B48," ",IF(G48="мс"," фас. ",""),$A$2))</f>
        <v>Кабель ВВГ 4*35 - 0,66 ГОСТ 16442-80</v>
      </c>
      <c r="B48" s="450">
        <v>0.66</v>
      </c>
      <c r="C48" s="451" t="s">
        <v>163</v>
      </c>
      <c r="D48" s="439">
        <v>4</v>
      </c>
      <c r="E48" s="34" t="s">
        <v>40</v>
      </c>
      <c r="F48" s="289">
        <v>35</v>
      </c>
      <c r="G48" s="276" t="s">
        <v>154</v>
      </c>
      <c r="H48" s="460">
        <v>2.61</v>
      </c>
      <c r="I48" s="468">
        <v>7</v>
      </c>
      <c r="J48" s="469" t="s">
        <v>40</v>
      </c>
      <c r="K48" s="470">
        <f>ROUNDUP(SQRT(F48/I48/PI()*4*1.07),2)</f>
        <v>2.61</v>
      </c>
      <c r="L48" s="501">
        <v>2.2599999999999998</v>
      </c>
      <c r="M48" s="467"/>
      <c r="N48" s="467"/>
      <c r="O48" s="467"/>
      <c r="P48" s="467"/>
      <c r="Q48" s="483">
        <f t="shared" si="0"/>
        <v>0.89000000000000012</v>
      </c>
      <c r="R48" s="484">
        <f>IF(B48=0.66,VLOOKUP(F48,'Данные ТНПА'!$B$8:$C$16,2,0),
IF(B48=1,VLOOKUP(F48,'Данные ТНПА'!$B$17:$C$37,2,0),"ошибка"))</f>
        <v>1.1000000000000001</v>
      </c>
      <c r="S48" s="485">
        <f t="shared" si="1"/>
        <v>4.04</v>
      </c>
      <c r="T48" s="486"/>
      <c r="U48" s="487"/>
      <c r="V48" s="485">
        <f t="shared" si="2"/>
        <v>4.46</v>
      </c>
      <c r="W48" s="486"/>
      <c r="X48" s="487"/>
      <c r="Y48" s="489">
        <f t="shared" si="3"/>
        <v>1.8</v>
      </c>
      <c r="Z48" s="491">
        <f t="shared" si="4"/>
        <v>10.7486</v>
      </c>
      <c r="AA48" s="237">
        <f t="shared" si="5"/>
        <v>0</v>
      </c>
      <c r="AB48" s="452">
        <f t="shared" si="6"/>
        <v>10.7486</v>
      </c>
      <c r="AC48" s="201">
        <f t="shared" si="7"/>
        <v>0</v>
      </c>
      <c r="AD48" s="203">
        <f t="shared" si="8"/>
        <v>0</v>
      </c>
      <c r="AE48" s="37" t="str">
        <f t="shared" si="9"/>
        <v/>
      </c>
      <c r="AF48" s="202">
        <f t="shared" si="10"/>
        <v>0</v>
      </c>
      <c r="AG48" s="201">
        <f t="shared" si="11"/>
        <v>0</v>
      </c>
      <c r="AH48" s="61">
        <f t="shared" si="12"/>
        <v>10.7486</v>
      </c>
      <c r="AI48" s="443">
        <f t="shared" si="115"/>
        <v>0</v>
      </c>
      <c r="AJ48" s="444">
        <f t="shared" si="13"/>
        <v>0</v>
      </c>
      <c r="AK48" s="445">
        <f t="shared" si="14"/>
        <v>0</v>
      </c>
      <c r="AL48" s="446">
        <f t="shared" si="15"/>
        <v>0</v>
      </c>
      <c r="AM48" s="447">
        <f t="shared" si="16"/>
        <v>0</v>
      </c>
      <c r="AN48" s="24">
        <f t="shared" si="17"/>
        <v>10.7486</v>
      </c>
      <c r="AO48" s="443">
        <f t="shared" si="18"/>
        <v>0</v>
      </c>
      <c r="AP48" s="444">
        <f t="shared" si="19"/>
        <v>0</v>
      </c>
      <c r="AQ48" s="445">
        <f t="shared" si="20"/>
        <v>0</v>
      </c>
      <c r="AR48" s="446">
        <f t="shared" si="21"/>
        <v>0</v>
      </c>
      <c r="AS48" s="447">
        <f t="shared" si="22"/>
        <v>0</v>
      </c>
      <c r="AT48" s="24">
        <f t="shared" si="23"/>
        <v>10.7486</v>
      </c>
      <c r="AU48" s="443">
        <f t="shared" si="24"/>
        <v>0</v>
      </c>
      <c r="AV48" s="444">
        <f t="shared" si="25"/>
        <v>0</v>
      </c>
      <c r="AW48" s="445">
        <f t="shared" si="26"/>
        <v>0</v>
      </c>
      <c r="AX48" s="446">
        <f t="shared" si="27"/>
        <v>0</v>
      </c>
      <c r="AY48" s="447">
        <f t="shared" si="28"/>
        <v>0</v>
      </c>
      <c r="AZ48" s="24">
        <f t="shared" si="29"/>
        <v>10.7486</v>
      </c>
      <c r="BA48" s="43">
        <f>IF(BB48=0,0,
IF(D48=1,
(IF(AND(AH48&gt;'Данные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"ошибка_1"))))))),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"ошибка_2"))))))))</f>
        <v>0</v>
      </c>
      <c r="BB48" s="43">
        <f>IF(OR($AI$9=0,AND(D48&gt;1,F48&gt;10)),0,
IF(D48=1,
(IF(AND(AH48&gt;'Данные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"ошибка_1"))))))),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IF(AND(AH48&gt;'Данные ТНПА'!#REF!,AH48&lt;='Данные ТНПА'!#REF!),'Данные ТНПА'!#REF!,
"ошибка_2"))))))))</f>
        <v>0</v>
      </c>
      <c r="BC48" s="43">
        <f t="shared" si="30"/>
        <v>10.7486</v>
      </c>
      <c r="BD48" s="237">
        <f t="shared" si="31"/>
        <v>0</v>
      </c>
      <c r="BE48" s="43">
        <f t="shared" si="32"/>
        <v>0</v>
      </c>
      <c r="BF48" s="201">
        <f t="shared" si="33"/>
        <v>0</v>
      </c>
      <c r="BG48" s="201">
        <f t="shared" si="34"/>
        <v>0</v>
      </c>
      <c r="BH48" s="61">
        <f t="shared" si="35"/>
        <v>10.7486</v>
      </c>
      <c r="BI48" s="237">
        <f t="shared" si="36"/>
        <v>0</v>
      </c>
      <c r="BJ48" s="247">
        <f t="shared" si="37"/>
        <v>0</v>
      </c>
      <c r="BK48" s="431">
        <f t="shared" si="38"/>
        <v>0</v>
      </c>
      <c r="BL48" s="250">
        <f t="shared" si="39"/>
        <v>0</v>
      </c>
      <c r="BM48" s="237">
        <f t="shared" si="40"/>
        <v>0</v>
      </c>
      <c r="BN48" s="452">
        <f t="shared" si="41"/>
        <v>10.7486</v>
      </c>
      <c r="BO48" s="237">
        <f t="shared" si="42"/>
        <v>0</v>
      </c>
      <c r="BP48" s="432">
        <f t="shared" si="43"/>
        <v>0</v>
      </c>
      <c r="BQ48" s="22" t="str">
        <f t="shared" si="44"/>
        <v/>
      </c>
      <c r="BR48" s="250">
        <f t="shared" si="45"/>
        <v>0</v>
      </c>
      <c r="BS48" s="237">
        <f t="shared" si="46"/>
        <v>0</v>
      </c>
      <c r="BT48" s="452">
        <f t="shared" si="47"/>
        <v>10.7486</v>
      </c>
      <c r="BU48" s="492">
        <f t="shared" si="48"/>
        <v>1.1749999999999998</v>
      </c>
      <c r="BV48" s="493">
        <f>IF(BT48="","",
IF(AND(BT48&gt;'Данные ТНПА'!$K$8,BT48&lt;='Данные ТНПА'!$L$8),'Данные ТНПА'!$N$8,
IF(AND(BT48&gt;'Данные ТНПА'!$K$9,BT48&lt;='Данные ТНПА'!$L$9),'Данные ТНПА'!$N$9,
IF(AND(BT48&gt;'Данные ТНПА'!$K$10,BT48&lt;='Данные ТНПА'!$L$10),'Данные ТНПА'!$N$10,
IF(AND(BT48&gt;'Данные ТНПА'!$K$11,BT48&lt;='Данные ТНПА'!$L$11),'Данные ТНПА'!$N$11,
IF(AND(BT48&gt;'Данные ТНПА'!$K$12,BT48&lt;='Данные ТНПА'!$L$12),'Данные ТНПА'!$N$12,
IF(AND(BT48&gt;'Данные ТНПА'!$K$13,BT48&lt;='Данные ТНПА'!$L$13),'Данные ТНПА'!$N$13,
IF(AND(BT48&gt;'Данные ТНПА'!$K$14,BT48&lt;='Данные ТНПА'!$L$14),'Данные ТНПА'!$N$14))))))))</f>
        <v>1.5</v>
      </c>
      <c r="BW48" s="493">
        <f t="shared" si="49"/>
        <v>13.7486</v>
      </c>
      <c r="BX48" s="457">
        <f t="shared" si="50"/>
        <v>0</v>
      </c>
      <c r="BY48" s="457">
        <f t="shared" si="51"/>
        <v>1253.3122000000001</v>
      </c>
      <c r="BZ48" s="457">
        <f t="shared" si="52"/>
        <v>68.939603400597946</v>
      </c>
      <c r="CA48" s="457" t="e">
        <f t="shared" si="53"/>
        <v>#REF!</v>
      </c>
      <c r="CB48" s="458">
        <f t="shared" si="54"/>
        <v>0</v>
      </c>
      <c r="CC48" s="457">
        <f t="shared" si="55"/>
        <v>0</v>
      </c>
      <c r="CD48" s="457">
        <f t="shared" si="56"/>
        <v>0</v>
      </c>
      <c r="CE48" s="457">
        <f t="shared" si="57"/>
        <v>0</v>
      </c>
      <c r="CF48" s="457">
        <f t="shared" si="58"/>
        <v>0</v>
      </c>
      <c r="CG48" s="458">
        <f t="shared" si="59"/>
        <v>0</v>
      </c>
      <c r="CH48" s="457">
        <f t="shared" si="60"/>
        <v>0</v>
      </c>
      <c r="CI48" s="457">
        <f t="shared" si="61"/>
        <v>0</v>
      </c>
      <c r="CJ48" s="458">
        <f t="shared" si="62"/>
        <v>0</v>
      </c>
      <c r="CK48" s="458">
        <f t="shared" si="63"/>
        <v>84.040564120443719</v>
      </c>
      <c r="CL48" s="457">
        <f t="shared" si="64"/>
        <v>1406.2923675210418</v>
      </c>
      <c r="CM48" s="504"/>
      <c r="CN48" s="504"/>
    </row>
    <row r="49" spans="1:92" s="207" customFormat="1" ht="14.25" hidden="1" customHeight="1" x14ac:dyDescent="0.25">
      <c r="A49" s="389" t="str">
        <f>IF(D49="",CONCATENATE("Кабель ",IF(C49="а","А",""),$A$9),CONCATENATE("Кабель ",IF(C49="а","А",""),$A$9," ",D49,"*",F49,IF(G49="ок"," (ож)","")," - ",B49," ",IF(G49="мс"," фас. ",""),$A$2))</f>
        <v>Кабель ВВГ 4*50 - 0,66 ГОСТ 16442-80</v>
      </c>
      <c r="B49" s="450">
        <v>0.66</v>
      </c>
      <c r="C49" s="451" t="s">
        <v>163</v>
      </c>
      <c r="D49" s="439">
        <v>4</v>
      </c>
      <c r="E49" s="34" t="s">
        <v>40</v>
      </c>
      <c r="F49" s="289">
        <v>50</v>
      </c>
      <c r="G49" s="276" t="s">
        <v>154</v>
      </c>
      <c r="H49" s="460">
        <v>3.1199999999999997</v>
      </c>
      <c r="I49" s="468">
        <v>7</v>
      </c>
      <c r="J49" s="469" t="s">
        <v>40</v>
      </c>
      <c r="K49" s="470">
        <f>ROUNDUP(SQRT(F49/I49/PI()*4*1.07),2)</f>
        <v>3.1199999999999997</v>
      </c>
      <c r="L49" s="501">
        <v>2.7699999999999996</v>
      </c>
      <c r="M49" s="467"/>
      <c r="N49" s="467"/>
      <c r="O49" s="467"/>
      <c r="P49" s="467"/>
      <c r="Q49" s="483">
        <f t="shared" si="0"/>
        <v>1.07</v>
      </c>
      <c r="R49" s="484">
        <f>IF(B49=0.66,VLOOKUP(F49,'Данные ТНПА'!$B$8:$C$16,2,0),
IF(B49=1,VLOOKUP(F49,'Данные ТНПА'!$B$17:$C$37,2,0),"ошибка"))</f>
        <v>1.3</v>
      </c>
      <c r="S49" s="485">
        <f t="shared" si="1"/>
        <v>4.91</v>
      </c>
      <c r="T49" s="486"/>
      <c r="U49" s="487"/>
      <c r="V49" s="485">
        <f t="shared" si="2"/>
        <v>5.3699999999999992</v>
      </c>
      <c r="W49" s="486"/>
      <c r="X49" s="487"/>
      <c r="Y49" s="489">
        <f t="shared" si="3"/>
        <v>2.2000000000000002</v>
      </c>
      <c r="Z49" s="491">
        <f t="shared" si="4"/>
        <v>12.941699999999999</v>
      </c>
      <c r="AA49" s="237">
        <f t="shared" si="5"/>
        <v>0</v>
      </c>
      <c r="AB49" s="452">
        <f t="shared" si="6"/>
        <v>12.941699999999999</v>
      </c>
      <c r="AC49" s="201">
        <f t="shared" si="7"/>
        <v>0</v>
      </c>
      <c r="AD49" s="203">
        <f t="shared" si="8"/>
        <v>0</v>
      </c>
      <c r="AE49" s="37" t="str">
        <f t="shared" si="9"/>
        <v/>
      </c>
      <c r="AF49" s="202">
        <f t="shared" si="10"/>
        <v>0</v>
      </c>
      <c r="AG49" s="201">
        <f t="shared" si="11"/>
        <v>0</v>
      </c>
      <c r="AH49" s="61">
        <f t="shared" si="12"/>
        <v>12.941699999999999</v>
      </c>
      <c r="AI49" s="443">
        <f t="shared" si="115"/>
        <v>0</v>
      </c>
      <c r="AJ49" s="444">
        <f t="shared" si="13"/>
        <v>0</v>
      </c>
      <c r="AK49" s="445">
        <f t="shared" si="14"/>
        <v>0</v>
      </c>
      <c r="AL49" s="446">
        <f t="shared" si="15"/>
        <v>0</v>
      </c>
      <c r="AM49" s="447">
        <f t="shared" si="16"/>
        <v>0</v>
      </c>
      <c r="AN49" s="24">
        <f t="shared" si="17"/>
        <v>12.941699999999999</v>
      </c>
      <c r="AO49" s="443">
        <f t="shared" si="18"/>
        <v>0</v>
      </c>
      <c r="AP49" s="444">
        <f t="shared" si="19"/>
        <v>0</v>
      </c>
      <c r="AQ49" s="445">
        <f t="shared" si="20"/>
        <v>0</v>
      </c>
      <c r="AR49" s="446">
        <f t="shared" si="21"/>
        <v>0</v>
      </c>
      <c r="AS49" s="447">
        <f t="shared" si="22"/>
        <v>0</v>
      </c>
      <c r="AT49" s="24">
        <f t="shared" si="23"/>
        <v>12.941699999999999</v>
      </c>
      <c r="AU49" s="443">
        <f t="shared" si="24"/>
        <v>0</v>
      </c>
      <c r="AV49" s="444">
        <f t="shared" si="25"/>
        <v>0</v>
      </c>
      <c r="AW49" s="445">
        <f t="shared" si="26"/>
        <v>0</v>
      </c>
      <c r="AX49" s="446">
        <f t="shared" si="27"/>
        <v>0</v>
      </c>
      <c r="AY49" s="447">
        <f t="shared" si="28"/>
        <v>0</v>
      </c>
      <c r="AZ49" s="24">
        <f t="shared" si="29"/>
        <v>12.941699999999999</v>
      </c>
      <c r="BA49" s="43">
        <f>IF(BB49=0,0,
IF(D49=1,
(IF(AND(AH49&gt;'Данные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"ошибка_1"))))))),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"ошибка_2"))))))))</f>
        <v>0</v>
      </c>
      <c r="BB49" s="43">
        <f>IF(OR($AI$9=0,AND(D49&gt;1,F49&gt;10)),0,
IF(D49=1,
(IF(AND(AH49&gt;'Данные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"ошибка_1"))))))),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IF(AND(AH49&gt;'Данные ТНПА'!#REF!,AH49&lt;='Данные ТНПА'!#REF!),'Данные ТНПА'!#REF!,
"ошибка_2"))))))))</f>
        <v>0</v>
      </c>
      <c r="BC49" s="43">
        <f t="shared" si="30"/>
        <v>12.941699999999999</v>
      </c>
      <c r="BD49" s="237">
        <f t="shared" si="31"/>
        <v>0</v>
      </c>
      <c r="BE49" s="43">
        <f t="shared" si="32"/>
        <v>0</v>
      </c>
      <c r="BF49" s="201">
        <f t="shared" si="33"/>
        <v>0</v>
      </c>
      <c r="BG49" s="201">
        <f t="shared" si="34"/>
        <v>0</v>
      </c>
      <c r="BH49" s="61">
        <f t="shared" si="35"/>
        <v>12.941699999999999</v>
      </c>
      <c r="BI49" s="237">
        <f t="shared" si="36"/>
        <v>0</v>
      </c>
      <c r="BJ49" s="247">
        <f t="shared" si="37"/>
        <v>0</v>
      </c>
      <c r="BK49" s="431">
        <f t="shared" si="38"/>
        <v>0</v>
      </c>
      <c r="BL49" s="250">
        <f t="shared" si="39"/>
        <v>0</v>
      </c>
      <c r="BM49" s="237">
        <f t="shared" si="40"/>
        <v>0</v>
      </c>
      <c r="BN49" s="452">
        <f t="shared" si="41"/>
        <v>12.941699999999999</v>
      </c>
      <c r="BO49" s="237">
        <f t="shared" si="42"/>
        <v>0</v>
      </c>
      <c r="BP49" s="432">
        <f t="shared" si="43"/>
        <v>0</v>
      </c>
      <c r="BQ49" s="22" t="str">
        <f t="shared" si="44"/>
        <v/>
      </c>
      <c r="BR49" s="250">
        <f t="shared" si="45"/>
        <v>0</v>
      </c>
      <c r="BS49" s="237">
        <f t="shared" si="46"/>
        <v>0</v>
      </c>
      <c r="BT49" s="452">
        <f t="shared" si="47"/>
        <v>12.941699999999999</v>
      </c>
      <c r="BU49" s="492">
        <f t="shared" si="48"/>
        <v>1.1749999999999998</v>
      </c>
      <c r="BV49" s="493">
        <f>IF(BT49="","",
IF(AND(BT49&gt;'Данные ТНПА'!$K$8,BT49&lt;='Данные ТНПА'!$L$8),'Данные ТНПА'!$N$8,
IF(AND(BT49&gt;'Данные ТНПА'!$K$9,BT49&lt;='Данные ТНПА'!$L$9),'Данные ТНПА'!$N$9,
IF(AND(BT49&gt;'Данные ТНПА'!$K$10,BT49&lt;='Данные ТНПА'!$L$10),'Данные ТНПА'!$N$10,
IF(AND(BT49&gt;'Данные ТНПА'!$K$11,BT49&lt;='Данные ТНПА'!$L$11),'Данные ТНПА'!$N$11,
IF(AND(BT49&gt;'Данные ТНПА'!$K$12,BT49&lt;='Данные ТНПА'!$L$12),'Данные ТНПА'!$N$12,
IF(AND(BT49&gt;'Данные ТНПА'!$K$13,BT49&lt;='Данные ТНПА'!$L$13),'Данные ТНПА'!$N$13,
IF(AND(BT49&gt;'Данные ТНПА'!$K$14,BT49&lt;='Данные ТНПА'!$L$14),'Данные ТНПА'!$N$14))))))))</f>
        <v>1.5</v>
      </c>
      <c r="BW49" s="493">
        <f t="shared" si="49"/>
        <v>15.941699999999999</v>
      </c>
      <c r="BX49" s="457">
        <f t="shared" si="50"/>
        <v>0</v>
      </c>
      <c r="BY49" s="457">
        <f t="shared" si="51"/>
        <v>1790.4459999999999</v>
      </c>
      <c r="BZ49" s="457">
        <f t="shared" si="52"/>
        <v>98.690325106213109</v>
      </c>
      <c r="CA49" s="457" t="e">
        <f t="shared" si="53"/>
        <v>#REF!</v>
      </c>
      <c r="CB49" s="458">
        <f t="shared" si="54"/>
        <v>0</v>
      </c>
      <c r="CC49" s="457">
        <f t="shared" si="55"/>
        <v>0</v>
      </c>
      <c r="CD49" s="457">
        <f t="shared" si="56"/>
        <v>0</v>
      </c>
      <c r="CE49" s="457">
        <f t="shared" si="57"/>
        <v>0</v>
      </c>
      <c r="CF49" s="457">
        <f t="shared" si="58"/>
        <v>0</v>
      </c>
      <c r="CG49" s="458">
        <f t="shared" si="59"/>
        <v>0</v>
      </c>
      <c r="CH49" s="457">
        <f t="shared" si="60"/>
        <v>0</v>
      </c>
      <c r="CI49" s="457">
        <f t="shared" si="61"/>
        <v>0</v>
      </c>
      <c r="CJ49" s="458">
        <f t="shared" si="62"/>
        <v>0</v>
      </c>
      <c r="CK49" s="458">
        <f t="shared" si="63"/>
        <v>99.087945957759416</v>
      </c>
      <c r="CL49" s="457">
        <f t="shared" si="64"/>
        <v>1988.2242710639725</v>
      </c>
      <c r="CM49" s="504"/>
      <c r="CN49" s="504"/>
    </row>
    <row r="50" spans="1:92" s="207" customFormat="1" ht="14.25" hidden="1" customHeight="1" x14ac:dyDescent="0.25">
      <c r="A50" s="389" t="str">
        <f>IF(D50="",CONCATENATE("Кабель ",IF(C50="а","А",""),$A$9),CONCATENATE("Кабель ",IF(C50="а","А",""),$A$9," ",D50,"*",F50,IF(G50="ок"," (ож)","")," - ",B50," ",IF(G50="мс"," фас. ",""),$A$2))</f>
        <v>Кабель ВВГ 4*1,5 (ож) - 0,66 ГОСТ 16442-80</v>
      </c>
      <c r="B50" s="450">
        <v>0.66</v>
      </c>
      <c r="C50" s="451" t="s">
        <v>163</v>
      </c>
      <c r="D50" s="439">
        <v>4</v>
      </c>
      <c r="E50" s="34" t="s">
        <v>40</v>
      </c>
      <c r="F50" s="289">
        <v>1.5</v>
      </c>
      <c r="G50" s="276" t="s">
        <v>153</v>
      </c>
      <c r="H50" s="460">
        <v>1.39</v>
      </c>
      <c r="I50" s="494">
        <v>1</v>
      </c>
      <c r="J50" s="495" t="s">
        <v>40</v>
      </c>
      <c r="K50" s="496">
        <f>ROUNDUP(SQRT(F50/PI()*4),2)</f>
        <v>1.39</v>
      </c>
      <c r="L50" s="501">
        <v>3.57</v>
      </c>
      <c r="M50" s="467"/>
      <c r="N50" s="467"/>
      <c r="O50" s="467"/>
      <c r="P50" s="467"/>
      <c r="Q50" s="483">
        <f t="shared" si="0"/>
        <v>0.44000000000000006</v>
      </c>
      <c r="R50" s="484">
        <f>IF(B50=0.66,VLOOKUP(F50,'Данные ТНПА'!$B$8:$C$16,2,0),
IF(B50=1,VLOOKUP(F50,'Данные ТНПА'!$B$17:$C$37,2,0),"ошибка"))</f>
        <v>0.6</v>
      </c>
      <c r="S50" s="485">
        <f t="shared" si="1"/>
        <v>2.27</v>
      </c>
      <c r="T50" s="486"/>
      <c r="U50" s="487"/>
      <c r="V50" s="485">
        <f t="shared" si="2"/>
        <v>2.59</v>
      </c>
      <c r="W50" s="486"/>
      <c r="X50" s="487"/>
      <c r="Y50" s="489">
        <f t="shared" si="3"/>
        <v>0</v>
      </c>
      <c r="Z50" s="491">
        <f t="shared" si="4"/>
        <v>6.2419000000000002</v>
      </c>
      <c r="AA50" s="237">
        <f t="shared" si="5"/>
        <v>0</v>
      </c>
      <c r="AB50" s="452">
        <f t="shared" si="6"/>
        <v>6.2419000000000002</v>
      </c>
      <c r="AC50" s="201">
        <f t="shared" si="7"/>
        <v>0</v>
      </c>
      <c r="AD50" s="203">
        <f t="shared" si="8"/>
        <v>0</v>
      </c>
      <c r="AE50" s="37" t="str">
        <f t="shared" si="9"/>
        <v/>
      </c>
      <c r="AF50" s="202">
        <f t="shared" si="10"/>
        <v>0</v>
      </c>
      <c r="AG50" s="201">
        <f t="shared" si="11"/>
        <v>0</v>
      </c>
      <c r="AH50" s="61">
        <f t="shared" si="12"/>
        <v>6.2419000000000002</v>
      </c>
      <c r="AI50" s="443">
        <f t="shared" si="115"/>
        <v>0</v>
      </c>
      <c r="AJ50" s="444">
        <f t="shared" si="13"/>
        <v>0</v>
      </c>
      <c r="AK50" s="445">
        <f t="shared" si="14"/>
        <v>0</v>
      </c>
      <c r="AL50" s="446">
        <f t="shared" si="15"/>
        <v>0</v>
      </c>
      <c r="AM50" s="447">
        <f t="shared" si="16"/>
        <v>0</v>
      </c>
      <c r="AN50" s="24">
        <f t="shared" si="17"/>
        <v>6.2419000000000002</v>
      </c>
      <c r="AO50" s="443">
        <f t="shared" si="18"/>
        <v>0</v>
      </c>
      <c r="AP50" s="444">
        <f t="shared" si="19"/>
        <v>0</v>
      </c>
      <c r="AQ50" s="445">
        <f t="shared" si="20"/>
        <v>0</v>
      </c>
      <c r="AR50" s="446">
        <f t="shared" si="21"/>
        <v>0</v>
      </c>
      <c r="AS50" s="447">
        <f t="shared" si="22"/>
        <v>0</v>
      </c>
      <c r="AT50" s="24">
        <f t="shared" si="23"/>
        <v>6.2419000000000002</v>
      </c>
      <c r="AU50" s="443">
        <f t="shared" si="24"/>
        <v>0</v>
      </c>
      <c r="AV50" s="444">
        <f t="shared" si="25"/>
        <v>0</v>
      </c>
      <c r="AW50" s="445">
        <f t="shared" si="26"/>
        <v>0</v>
      </c>
      <c r="AX50" s="446">
        <f t="shared" si="27"/>
        <v>0</v>
      </c>
      <c r="AY50" s="447">
        <f t="shared" si="28"/>
        <v>0</v>
      </c>
      <c r="AZ50" s="24">
        <f t="shared" si="29"/>
        <v>6.2419000000000002</v>
      </c>
      <c r="BA50" s="43">
        <f>IF(BB50=0,0,
IF(D50=1,
(IF(AND(AH50&gt;'Данные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"ошибка_1"))))))),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"ошибка_2"))))))))</f>
        <v>0</v>
      </c>
      <c r="BB50" s="43">
        <f>IF(OR($AI$9=0,AND(D50&gt;1,F50&gt;10)),0,
IF(D50=1,
(IF(AND(AH50&gt;'Данные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"ошибка_1"))))))),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IF(AND(AH50&gt;'Данные ТНПА'!#REF!,AH50&lt;='Данные ТНПА'!#REF!),'Данные ТНПА'!#REF!,
"ошибка_2"))))))))</f>
        <v>0</v>
      </c>
      <c r="BC50" s="43">
        <f t="shared" si="30"/>
        <v>6.2419000000000002</v>
      </c>
      <c r="BD50" s="237">
        <f t="shared" si="31"/>
        <v>0</v>
      </c>
      <c r="BE50" s="43">
        <f t="shared" si="32"/>
        <v>0</v>
      </c>
      <c r="BF50" s="201">
        <f t="shared" si="33"/>
        <v>0</v>
      </c>
      <c r="BG50" s="201">
        <f t="shared" si="34"/>
        <v>0</v>
      </c>
      <c r="BH50" s="61">
        <f t="shared" si="35"/>
        <v>6.2419000000000002</v>
      </c>
      <c r="BI50" s="237">
        <f t="shared" si="36"/>
        <v>0</v>
      </c>
      <c r="BJ50" s="247">
        <f t="shared" si="37"/>
        <v>0</v>
      </c>
      <c r="BK50" s="431">
        <f t="shared" si="38"/>
        <v>0</v>
      </c>
      <c r="BL50" s="250">
        <f t="shared" si="39"/>
        <v>0</v>
      </c>
      <c r="BM50" s="237">
        <f t="shared" si="40"/>
        <v>0</v>
      </c>
      <c r="BN50" s="452">
        <f t="shared" si="41"/>
        <v>6.2419000000000002</v>
      </c>
      <c r="BO50" s="237">
        <f t="shared" si="42"/>
        <v>0</v>
      </c>
      <c r="BP50" s="432">
        <f t="shared" si="43"/>
        <v>0</v>
      </c>
      <c r="BQ50" s="22" t="str">
        <f t="shared" si="44"/>
        <v/>
      </c>
      <c r="BR50" s="250">
        <f t="shared" si="45"/>
        <v>0</v>
      </c>
      <c r="BS50" s="237">
        <f t="shared" si="46"/>
        <v>0</v>
      </c>
      <c r="BT50" s="452">
        <f t="shared" si="47"/>
        <v>6.2419000000000002</v>
      </c>
      <c r="BU50" s="492">
        <f t="shared" si="48"/>
        <v>1.1749999999999998</v>
      </c>
      <c r="BV50" s="493">
        <f>IF(BT50="","",
IF(AND(BT50&gt;'Данные ТНПА'!$K$8,BT50&lt;='Данные ТНПА'!$L$8),'Данные ТНПА'!$N$8,
IF(AND(BT50&gt;'Данные ТНПА'!$K$9,BT50&lt;='Данные ТНПА'!$L$9),'Данные ТНПА'!$N$9,
IF(AND(BT50&gt;'Данные ТНПА'!$K$10,BT50&lt;='Данные ТНПА'!$L$10),'Данные ТНПА'!$N$10,
IF(AND(BT50&gt;'Данные ТНПА'!$K$11,BT50&lt;='Данные ТНПА'!$L$11),'Данные ТНПА'!$N$11,
IF(AND(BT50&gt;'Данные ТНПА'!$K$12,BT50&lt;='Данные ТНПА'!$L$12),'Данные ТНПА'!$N$12,
IF(AND(BT50&gt;'Данные ТНПА'!$K$13,BT50&lt;='Данные ТНПА'!$L$13),'Данные ТНПА'!$N$13,
IF(AND(BT50&gt;'Данные ТНПА'!$K$14,BT50&lt;='Данные ТНПА'!$L$14),'Данные ТНПА'!$N$14))))))))</f>
        <v>1.5</v>
      </c>
      <c r="BW50" s="493">
        <f t="shared" si="49"/>
        <v>9.2419000000000011</v>
      </c>
      <c r="BX50" s="457">
        <f t="shared" si="50"/>
        <v>0</v>
      </c>
      <c r="BY50" s="457">
        <f t="shared" si="51"/>
        <v>53.713380000000001</v>
      </c>
      <c r="BZ50" s="457">
        <f t="shared" si="52"/>
        <v>20.246430160447147</v>
      </c>
      <c r="CA50" s="457" t="e">
        <f t="shared" si="53"/>
        <v>#REF!</v>
      </c>
      <c r="CB50" s="458">
        <f t="shared" si="54"/>
        <v>0</v>
      </c>
      <c r="CC50" s="457">
        <f t="shared" si="55"/>
        <v>0</v>
      </c>
      <c r="CD50" s="457">
        <f t="shared" si="56"/>
        <v>0</v>
      </c>
      <c r="CE50" s="457">
        <f t="shared" si="57"/>
        <v>0</v>
      </c>
      <c r="CF50" s="457">
        <f t="shared" si="58"/>
        <v>0</v>
      </c>
      <c r="CG50" s="458">
        <f t="shared" si="59"/>
        <v>0</v>
      </c>
      <c r="CH50" s="457">
        <f t="shared" si="60"/>
        <v>0</v>
      </c>
      <c r="CI50" s="457">
        <f t="shared" si="61"/>
        <v>0</v>
      </c>
      <c r="CJ50" s="458">
        <f t="shared" si="62"/>
        <v>0</v>
      </c>
      <c r="CK50" s="458">
        <f t="shared" si="63"/>
        <v>53.119021223981775</v>
      </c>
      <c r="CL50" s="457">
        <f t="shared" si="64"/>
        <v>127.07883138442892</v>
      </c>
      <c r="CM50" s="504"/>
      <c r="CN50" s="504"/>
    </row>
    <row r="51" spans="1:92" s="207" customFormat="1" ht="14.25" hidden="1" customHeight="1" x14ac:dyDescent="0.25">
      <c r="A51" s="389" t="str">
        <f>IF(D51="",CONCATENATE("Кабель ",IF(C51="а","А",""),$A$9),CONCATENATE("Кабель ",IF(C51="а","А",""),$A$9," ",D51,"*",F51,IF(G51="ок"," (ож)","")," - ",B51," ",IF(G51="мс"," фас. ",""),$A$2))</f>
        <v>Кабель ВВГ 4*2,5 (ож) - 0,66 ГОСТ 16442-80</v>
      </c>
      <c r="B51" s="450">
        <v>0.66</v>
      </c>
      <c r="C51" s="451" t="s">
        <v>163</v>
      </c>
      <c r="D51" s="439">
        <v>4</v>
      </c>
      <c r="E51" s="34" t="s">
        <v>40</v>
      </c>
      <c r="F51" s="289">
        <v>2.5</v>
      </c>
      <c r="G51" s="276" t="s">
        <v>153</v>
      </c>
      <c r="H51" s="460">
        <v>1.79</v>
      </c>
      <c r="I51" s="494">
        <v>1</v>
      </c>
      <c r="J51" s="495" t="s">
        <v>40</v>
      </c>
      <c r="K51" s="496">
        <f>ROUNDUP(SQRT(F51/PI()*4),2)</f>
        <v>1.79</v>
      </c>
      <c r="L51" s="501">
        <v>4.5199999999999996</v>
      </c>
      <c r="M51" s="467"/>
      <c r="N51" s="467"/>
      <c r="O51" s="467"/>
      <c r="P51" s="467"/>
      <c r="Q51" s="483">
        <f t="shared" si="0"/>
        <v>0.44000000000000006</v>
      </c>
      <c r="R51" s="484">
        <f>IF(B51=0.66,VLOOKUP(F51,'Данные ТНПА'!$B$8:$C$16,2,0),
IF(B51=1,VLOOKUP(F51,'Данные ТНПА'!$B$17:$C$37,2,0),"ошибка"))</f>
        <v>0.6</v>
      </c>
      <c r="S51" s="485">
        <f t="shared" si="1"/>
        <v>2.67</v>
      </c>
      <c r="T51" s="486"/>
      <c r="U51" s="487"/>
      <c r="V51" s="485">
        <f t="shared" si="2"/>
        <v>2.99</v>
      </c>
      <c r="W51" s="486"/>
      <c r="X51" s="487"/>
      <c r="Y51" s="489">
        <f t="shared" si="3"/>
        <v>0</v>
      </c>
      <c r="Z51" s="491">
        <f t="shared" si="4"/>
        <v>7.2059000000000006</v>
      </c>
      <c r="AA51" s="237">
        <f t="shared" si="5"/>
        <v>0</v>
      </c>
      <c r="AB51" s="452">
        <f t="shared" si="6"/>
        <v>7.2059000000000006</v>
      </c>
      <c r="AC51" s="201">
        <f t="shared" si="7"/>
        <v>0</v>
      </c>
      <c r="AD51" s="203">
        <f t="shared" si="8"/>
        <v>0</v>
      </c>
      <c r="AE51" s="37" t="str">
        <f t="shared" si="9"/>
        <v/>
      </c>
      <c r="AF51" s="202">
        <f t="shared" si="10"/>
        <v>0</v>
      </c>
      <c r="AG51" s="201">
        <f t="shared" si="11"/>
        <v>0</v>
      </c>
      <c r="AH51" s="61">
        <f t="shared" si="12"/>
        <v>7.2059000000000006</v>
      </c>
      <c r="AI51" s="443">
        <f t="shared" si="115"/>
        <v>0</v>
      </c>
      <c r="AJ51" s="444">
        <f t="shared" si="13"/>
        <v>0</v>
      </c>
      <c r="AK51" s="445">
        <f t="shared" si="14"/>
        <v>0</v>
      </c>
      <c r="AL51" s="446">
        <f t="shared" si="15"/>
        <v>0</v>
      </c>
      <c r="AM51" s="447">
        <f t="shared" si="16"/>
        <v>0</v>
      </c>
      <c r="AN51" s="24">
        <f t="shared" si="17"/>
        <v>7.2059000000000006</v>
      </c>
      <c r="AO51" s="443">
        <f t="shared" si="18"/>
        <v>0</v>
      </c>
      <c r="AP51" s="444">
        <f t="shared" si="19"/>
        <v>0</v>
      </c>
      <c r="AQ51" s="445">
        <f t="shared" si="20"/>
        <v>0</v>
      </c>
      <c r="AR51" s="446">
        <f t="shared" si="21"/>
        <v>0</v>
      </c>
      <c r="AS51" s="447">
        <f t="shared" si="22"/>
        <v>0</v>
      </c>
      <c r="AT51" s="24">
        <f t="shared" si="23"/>
        <v>7.2059000000000006</v>
      </c>
      <c r="AU51" s="443">
        <f t="shared" si="24"/>
        <v>0</v>
      </c>
      <c r="AV51" s="444">
        <f t="shared" si="25"/>
        <v>0</v>
      </c>
      <c r="AW51" s="445">
        <f t="shared" si="26"/>
        <v>0</v>
      </c>
      <c r="AX51" s="446">
        <f t="shared" si="27"/>
        <v>0</v>
      </c>
      <c r="AY51" s="447">
        <f t="shared" si="28"/>
        <v>0</v>
      </c>
      <c r="AZ51" s="24">
        <f t="shared" si="29"/>
        <v>7.2059000000000006</v>
      </c>
      <c r="BA51" s="43">
        <f>IF(BB51=0,0,
IF(D51=1,
(IF(AND(AH51&gt;'Данные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"ошибка_1"))))))),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"ошибка_2"))))))))</f>
        <v>0</v>
      </c>
      <c r="BB51" s="43">
        <f>IF(OR($AI$9=0,AND(D51&gt;1,F51&gt;10)),0,
IF(D51=1,
(IF(AND(AH51&gt;'Данные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"ошибка_1"))))))),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IF(AND(AH51&gt;'Данные ТНПА'!#REF!,AH51&lt;='Данные ТНПА'!#REF!),'Данные ТНПА'!#REF!,
"ошибка_2"))))))))</f>
        <v>0</v>
      </c>
      <c r="BC51" s="43">
        <f t="shared" si="30"/>
        <v>7.2059000000000006</v>
      </c>
      <c r="BD51" s="237">
        <f t="shared" si="31"/>
        <v>0</v>
      </c>
      <c r="BE51" s="43">
        <f t="shared" si="32"/>
        <v>0</v>
      </c>
      <c r="BF51" s="201">
        <f t="shared" si="33"/>
        <v>0</v>
      </c>
      <c r="BG51" s="201">
        <f t="shared" si="34"/>
        <v>0</v>
      </c>
      <c r="BH51" s="61">
        <f t="shared" si="35"/>
        <v>7.2059000000000006</v>
      </c>
      <c r="BI51" s="237">
        <f t="shared" si="36"/>
        <v>0</v>
      </c>
      <c r="BJ51" s="247">
        <f t="shared" si="37"/>
        <v>0</v>
      </c>
      <c r="BK51" s="431">
        <f t="shared" si="38"/>
        <v>0</v>
      </c>
      <c r="BL51" s="250">
        <f t="shared" si="39"/>
        <v>0</v>
      </c>
      <c r="BM51" s="237">
        <f t="shared" si="40"/>
        <v>0</v>
      </c>
      <c r="BN51" s="452">
        <f t="shared" si="41"/>
        <v>7.2059000000000006</v>
      </c>
      <c r="BO51" s="237">
        <f t="shared" si="42"/>
        <v>0</v>
      </c>
      <c r="BP51" s="432">
        <f t="shared" si="43"/>
        <v>0</v>
      </c>
      <c r="BQ51" s="22" t="str">
        <f t="shared" si="44"/>
        <v/>
      </c>
      <c r="BR51" s="250">
        <f t="shared" si="45"/>
        <v>0</v>
      </c>
      <c r="BS51" s="237">
        <f t="shared" si="46"/>
        <v>0</v>
      </c>
      <c r="BT51" s="452">
        <f t="shared" si="47"/>
        <v>7.2059000000000006</v>
      </c>
      <c r="BU51" s="492">
        <f t="shared" si="48"/>
        <v>1.1749999999999998</v>
      </c>
      <c r="BV51" s="493">
        <f>IF(BT51="","",
IF(AND(BT51&gt;'Данные ТНПА'!$K$8,BT51&lt;='Данные ТНПА'!$L$8),'Данные ТНПА'!$N$8,
IF(AND(BT51&gt;'Данные ТНПА'!$K$9,BT51&lt;='Данные ТНПА'!$L$9),'Данные ТНПА'!$N$9,
IF(AND(BT51&gt;'Данные ТНПА'!$K$10,BT51&lt;='Данные ТНПА'!$L$10),'Данные ТНПА'!$N$10,
IF(AND(BT51&gt;'Данные ТНПА'!$K$11,BT51&lt;='Данные ТНПА'!$L$11),'Данные ТНПА'!$N$11,
IF(AND(BT51&gt;'Данные ТНПА'!$K$12,BT51&lt;='Данные ТНПА'!$L$12),'Данные ТНПА'!$N$12,
IF(AND(BT51&gt;'Данные ТНПА'!$K$13,BT51&lt;='Данные ТНПА'!$L$13),'Данные ТНПА'!$N$13,
IF(AND(BT51&gt;'Данные ТНПА'!$K$14,BT51&lt;='Данные ТНПА'!$L$14),'Данные ТНПА'!$N$14))))))))</f>
        <v>1.5</v>
      </c>
      <c r="BW51" s="493">
        <f t="shared" si="49"/>
        <v>10.2059</v>
      </c>
      <c r="BX51" s="457">
        <f t="shared" si="50"/>
        <v>0</v>
      </c>
      <c r="BY51" s="457">
        <f t="shared" si="51"/>
        <v>89.522300000000001</v>
      </c>
      <c r="BZ51" s="457">
        <f t="shared" si="52"/>
        <v>24.316064363552101</v>
      </c>
      <c r="CA51" s="457" t="e">
        <f t="shared" si="53"/>
        <v>#REF!</v>
      </c>
      <c r="CB51" s="458">
        <f t="shared" si="54"/>
        <v>0</v>
      </c>
      <c r="CC51" s="457">
        <f t="shared" si="55"/>
        <v>0</v>
      </c>
      <c r="CD51" s="457">
        <f t="shared" si="56"/>
        <v>0</v>
      </c>
      <c r="CE51" s="457">
        <f t="shared" si="57"/>
        <v>0</v>
      </c>
      <c r="CF51" s="457">
        <f t="shared" si="58"/>
        <v>0</v>
      </c>
      <c r="CG51" s="458">
        <f t="shared" si="59"/>
        <v>0</v>
      </c>
      <c r="CH51" s="457">
        <f t="shared" si="60"/>
        <v>0</v>
      </c>
      <c r="CI51" s="457">
        <f t="shared" si="61"/>
        <v>0</v>
      </c>
      <c r="CJ51" s="458">
        <f t="shared" si="62"/>
        <v>0</v>
      </c>
      <c r="CK51" s="458">
        <f t="shared" si="63"/>
        <v>59.733254998626037</v>
      </c>
      <c r="CL51" s="457">
        <f t="shared" si="64"/>
        <v>173.57161936217813</v>
      </c>
      <c r="CM51" s="504"/>
      <c r="CN51" s="504"/>
    </row>
    <row r="52" spans="1:92" s="207" customFormat="1" ht="14.25" hidden="1" customHeight="1" x14ac:dyDescent="0.25">
      <c r="A52" s="389" t="str">
        <f>IF(D52="",CONCATENATE("Кабель ",IF(C52="а","А",""),$A$9),CONCATENATE("Кабель ",IF(C52="а","А",""),$A$9," ",D52,"*",F52,IF(G52="ок"," (ож)","")," - ",B52," ",IF(G52="мс"," фас. ",""),$A$2))</f>
        <v>Кабель ВВГ 4*4 (ож) - 0,66 ГОСТ 16442-80</v>
      </c>
      <c r="B52" s="450">
        <v>0.66</v>
      </c>
      <c r="C52" s="451" t="s">
        <v>163</v>
      </c>
      <c r="D52" s="439">
        <v>4</v>
      </c>
      <c r="E52" s="34" t="s">
        <v>40</v>
      </c>
      <c r="F52" s="289">
        <v>4</v>
      </c>
      <c r="G52" s="276" t="s">
        <v>153</v>
      </c>
      <c r="H52" s="460">
        <v>2.2599999999999998</v>
      </c>
      <c r="I52" s="494">
        <v>1</v>
      </c>
      <c r="J52" s="495" t="s">
        <v>40</v>
      </c>
      <c r="K52" s="496">
        <f>ROUNDUP(SQRT(F52/PI()*4),2)</f>
        <v>2.2599999999999998</v>
      </c>
      <c r="L52" s="501">
        <v>4.79</v>
      </c>
      <c r="M52" s="471"/>
      <c r="N52" s="471"/>
      <c r="O52" s="471"/>
      <c r="P52" s="471"/>
      <c r="Q52" s="483">
        <f t="shared" si="0"/>
        <v>0.53</v>
      </c>
      <c r="R52" s="484">
        <f>IF(B52=0.66,VLOOKUP(F52,'Данные ТНПА'!$B$8:$C$16,2,0),
IF(B52=1,VLOOKUP(F52,'Данные ТНПА'!$B$17:$C$37,2,0),"ошибка"))</f>
        <v>0.7</v>
      </c>
      <c r="S52" s="485">
        <f t="shared" si="1"/>
        <v>3.32</v>
      </c>
      <c r="T52" s="486"/>
      <c r="U52" s="487"/>
      <c r="V52" s="485">
        <f t="shared" si="2"/>
        <v>3.6599999999999997</v>
      </c>
      <c r="W52" s="486"/>
      <c r="X52" s="487"/>
      <c r="Y52" s="489">
        <f t="shared" si="3"/>
        <v>0</v>
      </c>
      <c r="Z52" s="491">
        <f t="shared" si="4"/>
        <v>8.8206000000000007</v>
      </c>
      <c r="AA52" s="237">
        <f t="shared" si="5"/>
        <v>0</v>
      </c>
      <c r="AB52" s="452">
        <f t="shared" si="6"/>
        <v>8.8206000000000007</v>
      </c>
      <c r="AC52" s="201">
        <f t="shared" si="7"/>
        <v>0</v>
      </c>
      <c r="AD52" s="203">
        <f t="shared" si="8"/>
        <v>0</v>
      </c>
      <c r="AE52" s="37" t="str">
        <f t="shared" si="9"/>
        <v/>
      </c>
      <c r="AF52" s="202">
        <f t="shared" si="10"/>
        <v>0</v>
      </c>
      <c r="AG52" s="201">
        <f t="shared" si="11"/>
        <v>0</v>
      </c>
      <c r="AH52" s="61">
        <f t="shared" si="12"/>
        <v>8.8206000000000007</v>
      </c>
      <c r="AI52" s="443">
        <f t="shared" si="115"/>
        <v>0</v>
      </c>
      <c r="AJ52" s="444">
        <f t="shared" si="13"/>
        <v>0</v>
      </c>
      <c r="AK52" s="445">
        <f t="shared" si="14"/>
        <v>0</v>
      </c>
      <c r="AL52" s="446">
        <f t="shared" si="15"/>
        <v>0</v>
      </c>
      <c r="AM52" s="447">
        <f t="shared" si="16"/>
        <v>0</v>
      </c>
      <c r="AN52" s="24">
        <f t="shared" si="17"/>
        <v>8.8206000000000007</v>
      </c>
      <c r="AO52" s="443">
        <f t="shared" si="18"/>
        <v>0</v>
      </c>
      <c r="AP52" s="444">
        <f t="shared" si="19"/>
        <v>0</v>
      </c>
      <c r="AQ52" s="445">
        <f t="shared" si="20"/>
        <v>0</v>
      </c>
      <c r="AR52" s="446">
        <f t="shared" si="21"/>
        <v>0</v>
      </c>
      <c r="AS52" s="447">
        <f t="shared" si="22"/>
        <v>0</v>
      </c>
      <c r="AT52" s="24">
        <f t="shared" si="23"/>
        <v>8.8206000000000007</v>
      </c>
      <c r="AU52" s="443">
        <f t="shared" si="24"/>
        <v>0</v>
      </c>
      <c r="AV52" s="444">
        <f t="shared" si="25"/>
        <v>0</v>
      </c>
      <c r="AW52" s="445">
        <f t="shared" si="26"/>
        <v>0</v>
      </c>
      <c r="AX52" s="446">
        <f t="shared" si="27"/>
        <v>0</v>
      </c>
      <c r="AY52" s="447">
        <f t="shared" si="28"/>
        <v>0</v>
      </c>
      <c r="AZ52" s="24">
        <f t="shared" si="29"/>
        <v>8.8206000000000007</v>
      </c>
      <c r="BA52" s="43">
        <f>IF(BB52=0,0,
IF(D52=1,
(IF(AND(AH52&gt;'Данные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"ошибка_1"))))))),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"ошибка_2"))))))))</f>
        <v>0</v>
      </c>
      <c r="BB52" s="43">
        <f>IF(OR($AI$9=0,AND(D52&gt;1,F52&gt;10)),0,
IF(D52=1,
(IF(AND(AH52&gt;'Данные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"ошибка_1"))))))),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IF(AND(AH52&gt;'Данные ТНПА'!#REF!,AH52&lt;='Данные ТНПА'!#REF!),'Данные ТНПА'!#REF!,
"ошибка_2"))))))))</f>
        <v>0</v>
      </c>
      <c r="BC52" s="43">
        <f t="shared" si="30"/>
        <v>8.8206000000000007</v>
      </c>
      <c r="BD52" s="237">
        <f t="shared" si="31"/>
        <v>0</v>
      </c>
      <c r="BE52" s="43">
        <f t="shared" si="32"/>
        <v>0</v>
      </c>
      <c r="BF52" s="201">
        <f t="shared" si="33"/>
        <v>0</v>
      </c>
      <c r="BG52" s="201">
        <f t="shared" si="34"/>
        <v>0</v>
      </c>
      <c r="BH52" s="61">
        <f t="shared" si="35"/>
        <v>8.8206000000000007</v>
      </c>
      <c r="BI52" s="237">
        <f t="shared" si="36"/>
        <v>0</v>
      </c>
      <c r="BJ52" s="247">
        <f t="shared" si="37"/>
        <v>0</v>
      </c>
      <c r="BK52" s="431">
        <f t="shared" si="38"/>
        <v>0</v>
      </c>
      <c r="BL52" s="250">
        <f t="shared" si="39"/>
        <v>0</v>
      </c>
      <c r="BM52" s="237">
        <f t="shared" si="40"/>
        <v>0</v>
      </c>
      <c r="BN52" s="452">
        <f t="shared" si="41"/>
        <v>8.8206000000000007</v>
      </c>
      <c r="BO52" s="237">
        <f t="shared" si="42"/>
        <v>0</v>
      </c>
      <c r="BP52" s="432">
        <f t="shared" si="43"/>
        <v>0</v>
      </c>
      <c r="BQ52" s="22" t="str">
        <f t="shared" si="44"/>
        <v/>
      </c>
      <c r="BR52" s="250">
        <f t="shared" si="45"/>
        <v>0</v>
      </c>
      <c r="BS52" s="237">
        <f t="shared" si="46"/>
        <v>0</v>
      </c>
      <c r="BT52" s="452">
        <f t="shared" si="47"/>
        <v>8.8206000000000007</v>
      </c>
      <c r="BU52" s="492">
        <f t="shared" si="48"/>
        <v>1.1749999999999998</v>
      </c>
      <c r="BV52" s="493">
        <f>IF(BT52="","",
IF(AND(BT52&gt;'Данные ТНПА'!$K$8,BT52&lt;='Данные ТНПА'!$L$8),'Данные ТНПА'!$N$8,
IF(AND(BT52&gt;'Данные ТНПА'!$K$9,BT52&lt;='Данные ТНПА'!$L$9),'Данные ТНПА'!$N$9,
IF(AND(BT52&gt;'Данные ТНПА'!$K$10,BT52&lt;='Данные ТНПА'!$L$10),'Данные ТНПА'!$N$10,
IF(AND(BT52&gt;'Данные ТНПА'!$K$11,BT52&lt;='Данные ТНПА'!$L$11),'Данные ТНПА'!$N$11,
IF(AND(BT52&gt;'Данные ТНПА'!$K$12,BT52&lt;='Данные ТНПА'!$L$12),'Данные ТНПА'!$N$12,
IF(AND(BT52&gt;'Данные ТНПА'!$K$13,BT52&lt;='Данные ТНПА'!$L$13),'Данные ТНПА'!$N$13,
IF(AND(BT52&gt;'Данные ТНПА'!$K$14,BT52&lt;='Данные ТНПА'!$L$14),'Данные ТНПА'!$N$14))))))))</f>
        <v>1.5</v>
      </c>
      <c r="BW52" s="493">
        <f t="shared" si="49"/>
        <v>11.820600000000001</v>
      </c>
      <c r="BX52" s="457">
        <f t="shared" si="50"/>
        <v>0</v>
      </c>
      <c r="BY52" s="457">
        <f t="shared" si="51"/>
        <v>143.23568</v>
      </c>
      <c r="BZ52" s="457">
        <f t="shared" si="52"/>
        <v>35.134508620139442</v>
      </c>
      <c r="CA52" s="457" t="e">
        <f t="shared" si="53"/>
        <v>#REF!</v>
      </c>
      <c r="CB52" s="458">
        <f t="shared" si="54"/>
        <v>0</v>
      </c>
      <c r="CC52" s="457">
        <f t="shared" si="55"/>
        <v>0</v>
      </c>
      <c r="CD52" s="457">
        <f t="shared" si="56"/>
        <v>0</v>
      </c>
      <c r="CE52" s="457">
        <f t="shared" si="57"/>
        <v>0</v>
      </c>
      <c r="CF52" s="457">
        <f t="shared" si="58"/>
        <v>0</v>
      </c>
      <c r="CG52" s="458">
        <f t="shared" si="59"/>
        <v>0</v>
      </c>
      <c r="CH52" s="457">
        <f t="shared" si="60"/>
        <v>0</v>
      </c>
      <c r="CI52" s="457">
        <f t="shared" si="61"/>
        <v>0</v>
      </c>
      <c r="CJ52" s="458">
        <f t="shared" si="62"/>
        <v>0</v>
      </c>
      <c r="CK52" s="458">
        <f t="shared" si="63"/>
        <v>70.81209657115518</v>
      </c>
      <c r="CL52" s="457">
        <f t="shared" si="64"/>
        <v>249.18228519129462</v>
      </c>
      <c r="CM52" s="504"/>
      <c r="CN52" s="504"/>
    </row>
    <row r="53" spans="1:92" s="207" customFormat="1" ht="14.25" hidden="1" customHeight="1" x14ac:dyDescent="0.25">
      <c r="A53" s="389" t="str">
        <f>IF(D53="",CONCATENATE("Кабель ",IF(C53="а","А",""),$A$9),CONCATENATE("Кабель ",IF(C53="а","А",""),$A$9," ",D53,"*",F53,IF(G53="ок"," (ож)","")," - ",B53," ",IF(G53="мс"," фас. ",""),$A$2))</f>
        <v>Кабель ВВГ 4*6 (ож) - 0,66 ГОСТ 16442-80</v>
      </c>
      <c r="B53" s="450">
        <v>0.66</v>
      </c>
      <c r="C53" s="451" t="s">
        <v>163</v>
      </c>
      <c r="D53" s="439">
        <v>4</v>
      </c>
      <c r="E53" s="34" t="s">
        <v>40</v>
      </c>
      <c r="F53" s="289">
        <v>6</v>
      </c>
      <c r="G53" s="276" t="s">
        <v>153</v>
      </c>
      <c r="H53" s="460">
        <v>2.7699999999999996</v>
      </c>
      <c r="I53" s="494">
        <v>1</v>
      </c>
      <c r="J53" s="495" t="s">
        <v>40</v>
      </c>
      <c r="K53" s="496">
        <f>ROUNDUP(SQRT(F53/PI()*4),2)</f>
        <v>2.7699999999999996</v>
      </c>
      <c r="L53" s="501">
        <v>5.6499999999999995</v>
      </c>
      <c r="M53" s="467"/>
      <c r="N53" s="467"/>
      <c r="O53" s="467"/>
      <c r="P53" s="467"/>
      <c r="Q53" s="483">
        <f t="shared" si="0"/>
        <v>0.53</v>
      </c>
      <c r="R53" s="484">
        <f>IF(B53=0.66,VLOOKUP(F53,'Данные ТНПА'!$B$8:$C$16,2,0),
IF(B53=1,VLOOKUP(F53,'Данные ТНПА'!$B$17:$C$37,2,0),"ошибка"))</f>
        <v>0.7</v>
      </c>
      <c r="S53" s="485">
        <f t="shared" si="1"/>
        <v>3.8299999999999996</v>
      </c>
      <c r="T53" s="486"/>
      <c r="U53" s="487"/>
      <c r="V53" s="485">
        <f t="shared" si="2"/>
        <v>4.17</v>
      </c>
      <c r="W53" s="486"/>
      <c r="X53" s="487"/>
      <c r="Y53" s="489">
        <f t="shared" si="3"/>
        <v>0</v>
      </c>
      <c r="Z53" s="491">
        <f t="shared" si="4"/>
        <v>10.0497</v>
      </c>
      <c r="AA53" s="237">
        <f t="shared" si="5"/>
        <v>0</v>
      </c>
      <c r="AB53" s="452">
        <f t="shared" si="6"/>
        <v>10.0497</v>
      </c>
      <c r="AC53" s="201">
        <f t="shared" si="7"/>
        <v>0</v>
      </c>
      <c r="AD53" s="203">
        <f t="shared" si="8"/>
        <v>0</v>
      </c>
      <c r="AE53" s="37" t="str">
        <f t="shared" si="9"/>
        <v/>
      </c>
      <c r="AF53" s="202">
        <f t="shared" si="10"/>
        <v>0</v>
      </c>
      <c r="AG53" s="201">
        <f t="shared" si="11"/>
        <v>0</v>
      </c>
      <c r="AH53" s="61">
        <f t="shared" si="12"/>
        <v>10.0497</v>
      </c>
      <c r="AI53" s="443">
        <f t="shared" si="115"/>
        <v>0</v>
      </c>
      <c r="AJ53" s="444">
        <f t="shared" si="13"/>
        <v>0</v>
      </c>
      <c r="AK53" s="445">
        <f t="shared" si="14"/>
        <v>0</v>
      </c>
      <c r="AL53" s="446">
        <f t="shared" si="15"/>
        <v>0</v>
      </c>
      <c r="AM53" s="447">
        <f t="shared" si="16"/>
        <v>0</v>
      </c>
      <c r="AN53" s="24">
        <f t="shared" si="17"/>
        <v>10.0497</v>
      </c>
      <c r="AO53" s="443">
        <f t="shared" si="18"/>
        <v>0</v>
      </c>
      <c r="AP53" s="444">
        <f t="shared" si="19"/>
        <v>0</v>
      </c>
      <c r="AQ53" s="445">
        <f t="shared" si="20"/>
        <v>0</v>
      </c>
      <c r="AR53" s="446">
        <f t="shared" si="21"/>
        <v>0</v>
      </c>
      <c r="AS53" s="447">
        <f t="shared" si="22"/>
        <v>0</v>
      </c>
      <c r="AT53" s="24">
        <f t="shared" si="23"/>
        <v>10.0497</v>
      </c>
      <c r="AU53" s="443">
        <f t="shared" si="24"/>
        <v>0</v>
      </c>
      <c r="AV53" s="444">
        <f t="shared" si="25"/>
        <v>0</v>
      </c>
      <c r="AW53" s="445">
        <f t="shared" si="26"/>
        <v>0</v>
      </c>
      <c r="AX53" s="446">
        <f t="shared" si="27"/>
        <v>0</v>
      </c>
      <c r="AY53" s="447">
        <f t="shared" si="28"/>
        <v>0</v>
      </c>
      <c r="AZ53" s="24">
        <f t="shared" si="29"/>
        <v>10.0497</v>
      </c>
      <c r="BA53" s="43">
        <f>IF(BB53=0,0,
IF(D53=1,
(IF(AND(AH53&gt;'Данные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"ошибка_1"))))))),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"ошибка_2"))))))))</f>
        <v>0</v>
      </c>
      <c r="BB53" s="43">
        <f>IF(OR($AI$9=0,AND(D53&gt;1,F53&gt;10)),0,
IF(D53=1,
(IF(AND(AH53&gt;'Данные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"ошибка_1"))))))),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IF(AND(AH53&gt;'Данные ТНПА'!#REF!,AH53&lt;='Данные ТНПА'!#REF!),'Данные ТНПА'!#REF!,
"ошибка_2"))))))))</f>
        <v>0</v>
      </c>
      <c r="BC53" s="43">
        <f t="shared" si="30"/>
        <v>10.0497</v>
      </c>
      <c r="BD53" s="237">
        <f t="shared" si="31"/>
        <v>0</v>
      </c>
      <c r="BE53" s="43">
        <f t="shared" si="32"/>
        <v>0</v>
      </c>
      <c r="BF53" s="201">
        <f t="shared" si="33"/>
        <v>0</v>
      </c>
      <c r="BG53" s="201">
        <f t="shared" si="34"/>
        <v>0</v>
      </c>
      <c r="BH53" s="61">
        <f t="shared" si="35"/>
        <v>10.0497</v>
      </c>
      <c r="BI53" s="237">
        <f t="shared" si="36"/>
        <v>0</v>
      </c>
      <c r="BJ53" s="247">
        <f t="shared" si="37"/>
        <v>0</v>
      </c>
      <c r="BK53" s="431">
        <f t="shared" si="38"/>
        <v>0</v>
      </c>
      <c r="BL53" s="250">
        <f t="shared" si="39"/>
        <v>0</v>
      </c>
      <c r="BM53" s="237">
        <f t="shared" si="40"/>
        <v>0</v>
      </c>
      <c r="BN53" s="452">
        <f t="shared" si="41"/>
        <v>10.0497</v>
      </c>
      <c r="BO53" s="237">
        <f t="shared" si="42"/>
        <v>0</v>
      </c>
      <c r="BP53" s="432">
        <f t="shared" si="43"/>
        <v>0</v>
      </c>
      <c r="BQ53" s="22" t="str">
        <f t="shared" si="44"/>
        <v/>
      </c>
      <c r="BR53" s="250">
        <f t="shared" si="45"/>
        <v>0</v>
      </c>
      <c r="BS53" s="237">
        <f t="shared" si="46"/>
        <v>0</v>
      </c>
      <c r="BT53" s="452">
        <f t="shared" si="47"/>
        <v>10.0497</v>
      </c>
      <c r="BU53" s="492">
        <f t="shared" si="48"/>
        <v>1.1749999999999998</v>
      </c>
      <c r="BV53" s="493">
        <f>IF(BT53="","",
IF(AND(BT53&gt;'Данные ТНПА'!$K$8,BT53&lt;='Данные ТНПА'!$L$8),'Данные ТНПА'!$N$8,
IF(AND(BT53&gt;'Данные ТНПА'!$K$9,BT53&lt;='Данные ТНПА'!$L$9),'Данные ТНПА'!$N$9,
IF(AND(BT53&gt;'Данные ТНПА'!$K$10,BT53&lt;='Данные ТНПА'!$L$10),'Данные ТНПА'!$N$10,
IF(AND(BT53&gt;'Данные ТНПА'!$K$11,BT53&lt;='Данные ТНПА'!$L$11),'Данные ТНПА'!$N$11,
IF(AND(BT53&gt;'Данные ТНПА'!$K$12,BT53&lt;='Данные ТНПА'!$L$12),'Данные ТНПА'!$N$12,
IF(AND(BT53&gt;'Данные ТНПА'!$K$13,BT53&lt;='Данные ТНПА'!$L$13),'Данные ТНПА'!$N$13,
IF(AND(BT53&gt;'Данные ТНПА'!$K$14,BT53&lt;='Данные ТНПА'!$L$14),'Данные ТНПА'!$N$14))))))))</f>
        <v>1.5</v>
      </c>
      <c r="BW53" s="493">
        <f t="shared" si="49"/>
        <v>13.0497</v>
      </c>
      <c r="BX53" s="457">
        <f t="shared" si="50"/>
        <v>0</v>
      </c>
      <c r="BY53" s="457">
        <f t="shared" si="51"/>
        <v>214.85352</v>
      </c>
      <c r="BZ53" s="457">
        <f t="shared" si="52"/>
        <v>41.188089497258055</v>
      </c>
      <c r="CA53" s="457" t="e">
        <f t="shared" si="53"/>
        <v>#REF!</v>
      </c>
      <c r="CB53" s="458">
        <f t="shared" si="54"/>
        <v>0</v>
      </c>
      <c r="CC53" s="457">
        <f t="shared" si="55"/>
        <v>0</v>
      </c>
      <c r="CD53" s="457">
        <f t="shared" si="56"/>
        <v>0</v>
      </c>
      <c r="CE53" s="457">
        <f t="shared" si="57"/>
        <v>0</v>
      </c>
      <c r="CF53" s="457">
        <f t="shared" si="58"/>
        <v>0</v>
      </c>
      <c r="CG53" s="458">
        <f t="shared" si="59"/>
        <v>0</v>
      </c>
      <c r="CH53" s="457">
        <f t="shared" si="60"/>
        <v>0</v>
      </c>
      <c r="CI53" s="457">
        <f t="shared" si="61"/>
        <v>0</v>
      </c>
      <c r="CJ53" s="458">
        <f t="shared" si="62"/>
        <v>0</v>
      </c>
      <c r="CK53" s="458">
        <f t="shared" si="63"/>
        <v>79.245244633826601</v>
      </c>
      <c r="CL53" s="457">
        <f t="shared" si="64"/>
        <v>335.28685413108462</v>
      </c>
      <c r="CM53" s="504"/>
      <c r="CN53" s="504"/>
    </row>
    <row r="54" spans="1:92" s="207" customFormat="1" ht="14.25" hidden="1" customHeight="1" x14ac:dyDescent="0.25">
      <c r="A54" s="389" t="str">
        <f>IF(D54="",CONCATENATE("Кабель ",IF(C54="а","А",""),$A$9),CONCATENATE("Кабель ",IF(C54="а","А",""),$A$9," ",D54,"*",F54,IF(G54="ок"," (ож)","")," - ",B54," ",IF(G54="мс"," фас. ",""),$A$2))</f>
        <v>Кабель ВВГ 4*10 (ож) - 0,66 ГОСТ 16442-80</v>
      </c>
      <c r="B54" s="450">
        <v>0.66</v>
      </c>
      <c r="C54" s="451" t="s">
        <v>163</v>
      </c>
      <c r="D54" s="439">
        <v>4</v>
      </c>
      <c r="E54" s="34" t="s">
        <v>40</v>
      </c>
      <c r="F54" s="289">
        <v>10</v>
      </c>
      <c r="G54" s="276" t="s">
        <v>153</v>
      </c>
      <c r="H54" s="460">
        <v>3.57</v>
      </c>
      <c r="I54" s="494">
        <v>1</v>
      </c>
      <c r="J54" s="495" t="s">
        <v>40</v>
      </c>
      <c r="K54" s="496">
        <f>ROUNDUP(SQRT(F54/PI()*4),2)</f>
        <v>3.57</v>
      </c>
      <c r="L54" s="501">
        <v>5.99</v>
      </c>
      <c r="M54" s="472"/>
      <c r="N54" s="472"/>
      <c r="O54" s="472"/>
      <c r="P54" s="472"/>
      <c r="Q54" s="483">
        <f t="shared" si="0"/>
        <v>0.71000000000000008</v>
      </c>
      <c r="R54" s="484">
        <f>IF(B54=0.66,VLOOKUP(F54,'Данные ТНПА'!$B$8:$C$16,2,0),
IF(B54=1,VLOOKUP(F54,'Данные ТНПА'!$B$17:$C$37,2,0),"ошибка"))</f>
        <v>0.9</v>
      </c>
      <c r="S54" s="485">
        <f t="shared" si="1"/>
        <v>4.99</v>
      </c>
      <c r="T54" s="486"/>
      <c r="U54" s="487"/>
      <c r="V54" s="485">
        <f t="shared" si="2"/>
        <v>5.37</v>
      </c>
      <c r="W54" s="486"/>
      <c r="X54" s="487"/>
      <c r="Y54" s="489">
        <f t="shared" si="3"/>
        <v>0</v>
      </c>
      <c r="Z54" s="491">
        <f t="shared" si="4"/>
        <v>12.941700000000001</v>
      </c>
      <c r="AA54" s="237">
        <f t="shared" si="5"/>
        <v>0</v>
      </c>
      <c r="AB54" s="452">
        <f t="shared" si="6"/>
        <v>12.941700000000001</v>
      </c>
      <c r="AC54" s="201">
        <f t="shared" si="7"/>
        <v>0</v>
      </c>
      <c r="AD54" s="203">
        <f t="shared" si="8"/>
        <v>0</v>
      </c>
      <c r="AE54" s="37" t="str">
        <f t="shared" si="9"/>
        <v/>
      </c>
      <c r="AF54" s="202">
        <f t="shared" si="10"/>
        <v>0</v>
      </c>
      <c r="AG54" s="201">
        <f t="shared" si="11"/>
        <v>0</v>
      </c>
      <c r="AH54" s="61">
        <f t="shared" si="12"/>
        <v>12.941700000000001</v>
      </c>
      <c r="AI54" s="443">
        <f t="shared" si="115"/>
        <v>0</v>
      </c>
      <c r="AJ54" s="444">
        <f t="shared" si="13"/>
        <v>0</v>
      </c>
      <c r="AK54" s="445">
        <f t="shared" si="14"/>
        <v>0</v>
      </c>
      <c r="AL54" s="446">
        <f t="shared" si="15"/>
        <v>0</v>
      </c>
      <c r="AM54" s="447">
        <f t="shared" si="16"/>
        <v>0</v>
      </c>
      <c r="AN54" s="24">
        <f t="shared" si="17"/>
        <v>12.941700000000001</v>
      </c>
      <c r="AO54" s="443">
        <f t="shared" si="18"/>
        <v>0</v>
      </c>
      <c r="AP54" s="444">
        <f t="shared" si="19"/>
        <v>0</v>
      </c>
      <c r="AQ54" s="445">
        <f t="shared" si="20"/>
        <v>0</v>
      </c>
      <c r="AR54" s="446">
        <f t="shared" si="21"/>
        <v>0</v>
      </c>
      <c r="AS54" s="447">
        <f t="shared" si="22"/>
        <v>0</v>
      </c>
      <c r="AT54" s="24">
        <f t="shared" si="23"/>
        <v>12.941700000000001</v>
      </c>
      <c r="AU54" s="443">
        <f t="shared" si="24"/>
        <v>0</v>
      </c>
      <c r="AV54" s="444">
        <f t="shared" si="25"/>
        <v>0</v>
      </c>
      <c r="AW54" s="445">
        <f t="shared" si="26"/>
        <v>0</v>
      </c>
      <c r="AX54" s="446">
        <f t="shared" si="27"/>
        <v>0</v>
      </c>
      <c r="AY54" s="447">
        <f t="shared" si="28"/>
        <v>0</v>
      </c>
      <c r="AZ54" s="24">
        <f t="shared" si="29"/>
        <v>12.941700000000001</v>
      </c>
      <c r="BA54" s="43">
        <f>IF(BB54=0,0,
IF(D54=1,
(IF(AND(AH54&gt;'Данные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"ошибка_1"))))))),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"ошибка_2"))))))))</f>
        <v>0</v>
      </c>
      <c r="BB54" s="43">
        <f>IF(OR($AI$9=0,AND(D54&gt;1,F54&gt;10)),0,
IF(D54=1,
(IF(AND(AH54&gt;'Данные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"ошибка_1"))))))),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IF(AND(AH54&gt;'Данные ТНПА'!#REF!,AH54&lt;='Данные ТНПА'!#REF!),'Данные ТНПА'!#REF!,
"ошибка_2"))))))))</f>
        <v>0</v>
      </c>
      <c r="BC54" s="43">
        <f t="shared" si="30"/>
        <v>12.941700000000001</v>
      </c>
      <c r="BD54" s="237">
        <f t="shared" si="31"/>
        <v>0</v>
      </c>
      <c r="BE54" s="43">
        <f t="shared" si="32"/>
        <v>0</v>
      </c>
      <c r="BF54" s="201">
        <f t="shared" si="33"/>
        <v>0</v>
      </c>
      <c r="BG54" s="201">
        <f t="shared" si="34"/>
        <v>0</v>
      </c>
      <c r="BH54" s="61">
        <f t="shared" si="35"/>
        <v>12.941700000000001</v>
      </c>
      <c r="BI54" s="237">
        <f t="shared" si="36"/>
        <v>0</v>
      </c>
      <c r="BJ54" s="247">
        <f t="shared" si="37"/>
        <v>0</v>
      </c>
      <c r="BK54" s="431">
        <f t="shared" si="38"/>
        <v>0</v>
      </c>
      <c r="BL54" s="250">
        <f t="shared" si="39"/>
        <v>0</v>
      </c>
      <c r="BM54" s="237">
        <f t="shared" si="40"/>
        <v>0</v>
      </c>
      <c r="BN54" s="452">
        <f t="shared" si="41"/>
        <v>12.941700000000001</v>
      </c>
      <c r="BO54" s="237">
        <f t="shared" si="42"/>
        <v>0</v>
      </c>
      <c r="BP54" s="432">
        <f t="shared" si="43"/>
        <v>0</v>
      </c>
      <c r="BQ54" s="22" t="str">
        <f t="shared" si="44"/>
        <v/>
      </c>
      <c r="BR54" s="250">
        <f t="shared" si="45"/>
        <v>0</v>
      </c>
      <c r="BS54" s="237">
        <f t="shared" si="46"/>
        <v>0</v>
      </c>
      <c r="BT54" s="452">
        <f t="shared" si="47"/>
        <v>12.941700000000001</v>
      </c>
      <c r="BU54" s="492">
        <f t="shared" si="48"/>
        <v>1.1749999999999998</v>
      </c>
      <c r="BV54" s="493">
        <f>IF(BT54="","",
IF(AND(BT54&gt;'Данные ТНПА'!$K$8,BT54&lt;='Данные ТНПА'!$L$8),'Данные ТНПА'!$N$8,
IF(AND(BT54&gt;'Данные ТНПА'!$K$9,BT54&lt;='Данные ТНПА'!$L$9),'Данные ТНПА'!$N$9,
IF(AND(BT54&gt;'Данные ТНПА'!$K$10,BT54&lt;='Данные ТНПА'!$L$10),'Данные ТНПА'!$N$10,
IF(AND(BT54&gt;'Данные ТНПА'!$K$11,BT54&lt;='Данные ТНПА'!$L$11),'Данные ТНПА'!$N$11,
IF(AND(BT54&gt;'Данные ТНПА'!$K$12,BT54&lt;='Данные ТНПА'!$L$12),'Данные ТНПА'!$N$12,
IF(AND(BT54&gt;'Данные ТНПА'!$K$13,BT54&lt;='Данные ТНПА'!$L$13),'Данные ТНПА'!$N$13,
IF(AND(BT54&gt;'Данные ТНПА'!$K$14,BT54&lt;='Данные ТНПА'!$L$14),'Данные ТНПА'!$N$14))))))))</f>
        <v>1.5</v>
      </c>
      <c r="BW54" s="493">
        <f t="shared" si="49"/>
        <v>15.941700000000001</v>
      </c>
      <c r="BX54" s="457">
        <f t="shared" si="50"/>
        <v>0</v>
      </c>
      <c r="BY54" s="457">
        <f t="shared" si="51"/>
        <v>358.08920000000001</v>
      </c>
      <c r="BZ54" s="457">
        <f t="shared" si="52"/>
        <v>68.217243329546804</v>
      </c>
      <c r="CA54" s="457" t="e">
        <f t="shared" si="53"/>
        <v>#REF!</v>
      </c>
      <c r="CB54" s="458">
        <f t="shared" si="54"/>
        <v>0</v>
      </c>
      <c r="CC54" s="457">
        <f t="shared" si="55"/>
        <v>0</v>
      </c>
      <c r="CD54" s="457">
        <f t="shared" si="56"/>
        <v>0</v>
      </c>
      <c r="CE54" s="457">
        <f t="shared" si="57"/>
        <v>0</v>
      </c>
      <c r="CF54" s="457">
        <f t="shared" si="58"/>
        <v>0</v>
      </c>
      <c r="CG54" s="458">
        <f t="shared" si="59"/>
        <v>0</v>
      </c>
      <c r="CH54" s="457">
        <f t="shared" si="60"/>
        <v>0</v>
      </c>
      <c r="CI54" s="457">
        <f t="shared" si="61"/>
        <v>0</v>
      </c>
      <c r="CJ54" s="458">
        <f t="shared" si="62"/>
        <v>0</v>
      </c>
      <c r="CK54" s="458">
        <f t="shared" si="63"/>
        <v>99.08794595775943</v>
      </c>
      <c r="CL54" s="457">
        <f t="shared" si="64"/>
        <v>525.39438928730624</v>
      </c>
      <c r="CM54" s="504"/>
      <c r="CN54" s="504"/>
    </row>
    <row r="55" spans="1:92" s="207" customFormat="1" ht="14.25" hidden="1" customHeight="1" x14ac:dyDescent="0.25">
      <c r="A55" s="389" t="str">
        <f>IF(D55="",CONCATENATE("Кабель ",IF(C55="а","А",""),$A$9),CONCATENATE("Кабель ",IF(C55="а","А",""),$A$9," ",D55,"*",F55,IF(G55="ок"," (ож)","")," - ",B55," ",IF(G55="мс"," фас. ",""),$A$2))</f>
        <v>Кабель ВВГ 4*16 (ож) - 0,66 ГОСТ 16442-80</v>
      </c>
      <c r="B55" s="450">
        <v>0.66</v>
      </c>
      <c r="C55" s="451" t="s">
        <v>163</v>
      </c>
      <c r="D55" s="439">
        <v>4</v>
      </c>
      <c r="E55" s="34" t="s">
        <v>40</v>
      </c>
      <c r="F55" s="289">
        <v>16</v>
      </c>
      <c r="G55" s="276" t="s">
        <v>153</v>
      </c>
      <c r="H55" s="460">
        <v>4.5199999999999996</v>
      </c>
      <c r="I55" s="494">
        <v>1</v>
      </c>
      <c r="J55" s="495" t="s">
        <v>40</v>
      </c>
      <c r="K55" s="496">
        <f>ROUNDUP(SQRT(F55/PI()*4),2)</f>
        <v>4.5199999999999996</v>
      </c>
      <c r="L55" s="501">
        <v>6.68</v>
      </c>
      <c r="M55" s="473"/>
      <c r="N55" s="473"/>
      <c r="O55" s="473"/>
      <c r="P55" s="473"/>
      <c r="Q55" s="483">
        <f t="shared" si="0"/>
        <v>0.71000000000000008</v>
      </c>
      <c r="R55" s="484">
        <f>IF(B55=0.66,VLOOKUP(F55,'Данные ТНПА'!$B$8:$C$16,2,0),
IF(B55=1,VLOOKUP(F55,'Данные ТНПА'!$B$17:$C$37,2,0),"ошибка"))</f>
        <v>0.9</v>
      </c>
      <c r="S55" s="485">
        <f t="shared" si="1"/>
        <v>5.9399999999999995</v>
      </c>
      <c r="T55" s="486"/>
      <c r="U55" s="487"/>
      <c r="V55" s="485">
        <f t="shared" si="2"/>
        <v>6.3199999999999994</v>
      </c>
      <c r="W55" s="486"/>
      <c r="X55" s="487"/>
      <c r="Y55" s="489">
        <f t="shared" si="3"/>
        <v>0</v>
      </c>
      <c r="Z55" s="491">
        <f t="shared" si="4"/>
        <v>15.231199999999999</v>
      </c>
      <c r="AA55" s="237">
        <f t="shared" si="5"/>
        <v>0</v>
      </c>
      <c r="AB55" s="452">
        <f t="shared" si="6"/>
        <v>15.231199999999999</v>
      </c>
      <c r="AC55" s="201">
        <f t="shared" si="7"/>
        <v>0</v>
      </c>
      <c r="AD55" s="203">
        <f t="shared" si="8"/>
        <v>0</v>
      </c>
      <c r="AE55" s="37" t="str">
        <f t="shared" si="9"/>
        <v/>
      </c>
      <c r="AF55" s="202">
        <f t="shared" si="10"/>
        <v>0</v>
      </c>
      <c r="AG55" s="201">
        <f t="shared" si="11"/>
        <v>0</v>
      </c>
      <c r="AH55" s="61">
        <f t="shared" si="12"/>
        <v>15.231199999999999</v>
      </c>
      <c r="AI55" s="443">
        <f t="shared" si="115"/>
        <v>0</v>
      </c>
      <c r="AJ55" s="444">
        <f t="shared" si="13"/>
        <v>0</v>
      </c>
      <c r="AK55" s="445">
        <f t="shared" si="14"/>
        <v>0</v>
      </c>
      <c r="AL55" s="446">
        <f t="shared" si="15"/>
        <v>0</v>
      </c>
      <c r="AM55" s="447">
        <f t="shared" si="16"/>
        <v>0</v>
      </c>
      <c r="AN55" s="24">
        <f t="shared" si="17"/>
        <v>15.231199999999999</v>
      </c>
      <c r="AO55" s="443">
        <f t="shared" si="18"/>
        <v>0</v>
      </c>
      <c r="AP55" s="444">
        <f t="shared" si="19"/>
        <v>0</v>
      </c>
      <c r="AQ55" s="445">
        <f t="shared" si="20"/>
        <v>0</v>
      </c>
      <c r="AR55" s="446">
        <f t="shared" si="21"/>
        <v>0</v>
      </c>
      <c r="AS55" s="447">
        <f t="shared" si="22"/>
        <v>0</v>
      </c>
      <c r="AT55" s="24">
        <f t="shared" si="23"/>
        <v>15.231199999999999</v>
      </c>
      <c r="AU55" s="443">
        <f t="shared" si="24"/>
        <v>0</v>
      </c>
      <c r="AV55" s="444">
        <f t="shared" si="25"/>
        <v>0</v>
      </c>
      <c r="AW55" s="445">
        <f t="shared" si="26"/>
        <v>0</v>
      </c>
      <c r="AX55" s="446">
        <f t="shared" si="27"/>
        <v>0</v>
      </c>
      <c r="AY55" s="447">
        <f t="shared" si="28"/>
        <v>0</v>
      </c>
      <c r="AZ55" s="24">
        <f t="shared" si="29"/>
        <v>15.231199999999999</v>
      </c>
      <c r="BA55" s="43">
        <f>IF(BB55=0,0,
IF(D55=1,
(IF(AND(AH55&gt;'Данные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"ошибка_1"))))))),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"ошибка_2"))))))))</f>
        <v>0</v>
      </c>
      <c r="BB55" s="43">
        <f>IF(OR($AI$9=0,AND(D55&gt;1,F55&gt;10)),0,
IF(D55=1,
(IF(AND(AH55&gt;'Данные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"ошибка_1"))))))),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IF(AND(AH55&gt;'Данные ТНПА'!#REF!,AH55&lt;='Данные ТНПА'!#REF!),'Данные ТНПА'!#REF!,
"ошибка_2"))))))))</f>
        <v>0</v>
      </c>
      <c r="BC55" s="43">
        <f t="shared" si="30"/>
        <v>15.231199999999999</v>
      </c>
      <c r="BD55" s="237">
        <f t="shared" si="31"/>
        <v>0</v>
      </c>
      <c r="BE55" s="43">
        <f t="shared" si="32"/>
        <v>0</v>
      </c>
      <c r="BF55" s="201">
        <f t="shared" si="33"/>
        <v>0</v>
      </c>
      <c r="BG55" s="201">
        <f t="shared" si="34"/>
        <v>0</v>
      </c>
      <c r="BH55" s="61">
        <f t="shared" si="35"/>
        <v>15.231199999999999</v>
      </c>
      <c r="BI55" s="237">
        <f t="shared" si="36"/>
        <v>0</v>
      </c>
      <c r="BJ55" s="247">
        <f t="shared" si="37"/>
        <v>0</v>
      </c>
      <c r="BK55" s="431">
        <f t="shared" si="38"/>
        <v>0</v>
      </c>
      <c r="BL55" s="250">
        <f t="shared" si="39"/>
        <v>0</v>
      </c>
      <c r="BM55" s="237">
        <f t="shared" si="40"/>
        <v>0</v>
      </c>
      <c r="BN55" s="452">
        <f t="shared" si="41"/>
        <v>15.231199999999999</v>
      </c>
      <c r="BO55" s="237">
        <f t="shared" si="42"/>
        <v>0</v>
      </c>
      <c r="BP55" s="432">
        <f t="shared" si="43"/>
        <v>0</v>
      </c>
      <c r="BQ55" s="22" t="str">
        <f t="shared" si="44"/>
        <v/>
      </c>
      <c r="BR55" s="250">
        <f t="shared" si="45"/>
        <v>0</v>
      </c>
      <c r="BS55" s="237">
        <f t="shared" si="46"/>
        <v>0</v>
      </c>
      <c r="BT55" s="452">
        <f t="shared" si="47"/>
        <v>15.231199999999999</v>
      </c>
      <c r="BU55" s="492">
        <f t="shared" si="48"/>
        <v>1.3449999999999998</v>
      </c>
      <c r="BV55" s="493">
        <f>IF(BT55="","",
IF(AND(BT55&gt;'Данные ТНПА'!$K$8,BT55&lt;='Данные ТНПА'!$L$8),'Данные ТНПА'!$N$8,
IF(AND(BT55&gt;'Данные ТНПА'!$K$9,BT55&lt;='Данные ТНПА'!$L$9),'Данные ТНПА'!$N$9,
IF(AND(BT55&gt;'Данные ТНПА'!$K$10,BT55&lt;='Данные ТНПА'!$L$10),'Данные ТНПА'!$N$10,
IF(AND(BT55&gt;'Данные ТНПА'!$K$11,BT55&lt;='Данные ТНПА'!$L$11),'Данные ТНПА'!$N$11,
IF(AND(BT55&gt;'Данные ТНПА'!$K$12,BT55&lt;='Данные ТНПА'!$L$12),'Данные ТНПА'!$N$12,
IF(AND(BT55&gt;'Данные ТНПА'!$K$13,BT55&lt;='Данные ТНПА'!$L$13),'Данные ТНПА'!$N$13,
IF(AND(BT55&gt;'Данные ТНПА'!$K$14,BT55&lt;='Данные ТНПА'!$L$14),'Данные ТНПА'!$N$14))))))))</f>
        <v>1.7</v>
      </c>
      <c r="BW55" s="493">
        <f t="shared" si="49"/>
        <v>18.6312</v>
      </c>
      <c r="BX55" s="457">
        <f t="shared" si="50"/>
        <v>0</v>
      </c>
      <c r="BY55" s="457">
        <f t="shared" si="51"/>
        <v>572.94272000000001</v>
      </c>
      <c r="BZ55" s="457">
        <f t="shared" si="52"/>
        <v>82.715315178108213</v>
      </c>
      <c r="CA55" s="457" t="e">
        <f t="shared" si="53"/>
        <v>#REF!</v>
      </c>
      <c r="CB55" s="458">
        <f t="shared" si="54"/>
        <v>0</v>
      </c>
      <c r="CC55" s="457">
        <f t="shared" si="55"/>
        <v>0</v>
      </c>
      <c r="CD55" s="457">
        <f t="shared" si="56"/>
        <v>0</v>
      </c>
      <c r="CE55" s="457">
        <f t="shared" si="57"/>
        <v>0</v>
      </c>
      <c r="CF55" s="457">
        <f t="shared" si="58"/>
        <v>0</v>
      </c>
      <c r="CG55" s="458">
        <f t="shared" si="59"/>
        <v>0</v>
      </c>
      <c r="CH55" s="457">
        <f t="shared" si="60"/>
        <v>0</v>
      </c>
      <c r="CI55" s="457">
        <f t="shared" si="61"/>
        <v>0</v>
      </c>
      <c r="CJ55" s="458">
        <f t="shared" si="62"/>
        <v>0</v>
      </c>
      <c r="CK55" s="458">
        <f t="shared" si="63"/>
        <v>131.65819868944456</v>
      </c>
      <c r="CL55" s="457">
        <f t="shared" si="64"/>
        <v>787.3162338675528</v>
      </c>
      <c r="CM55" s="504"/>
      <c r="CN55" s="504"/>
    </row>
    <row r="56" spans="1:92" s="207" customFormat="1" ht="14.25" hidden="1" customHeight="1" x14ac:dyDescent="0.25">
      <c r="A56" s="389" t="str">
        <f>IF(D56="",CONCATENATE("Кабель ",IF(C56="а","А",""),$A$9),CONCATENATE("Кабель ",IF(C56="а","А",""),$A$9," ",D56,"*",F56,IF(G56="ок"," (ож)","")," - ",B56," ",IF(G56="мс"," фас. ",""),$A$2))</f>
        <v>Кабель ВВГ 4*25 (ож) - 0,66 ГОСТ 16442-80</v>
      </c>
      <c r="B56" s="510">
        <v>0.66</v>
      </c>
      <c r="C56" s="415" t="s">
        <v>163</v>
      </c>
      <c r="D56" s="274">
        <v>4</v>
      </c>
      <c r="E56" s="34" t="s">
        <v>40</v>
      </c>
      <c r="F56" s="289">
        <v>25</v>
      </c>
      <c r="G56" s="276" t="s">
        <v>153</v>
      </c>
      <c r="H56" s="460">
        <v>5.6499999999999995</v>
      </c>
      <c r="I56" s="494">
        <v>1</v>
      </c>
      <c r="J56" s="495" t="s">
        <v>40</v>
      </c>
      <c r="K56" s="496">
        <f>ROUNDUP(SQRT(F56/PI()*4),2)</f>
        <v>5.6499999999999995</v>
      </c>
      <c r="L56" s="501">
        <v>7.1000000000000005</v>
      </c>
      <c r="M56" s="474"/>
      <c r="N56" s="474"/>
      <c r="O56" s="474"/>
      <c r="P56" s="474"/>
      <c r="Q56" s="483">
        <f t="shared" si="0"/>
        <v>0.89000000000000012</v>
      </c>
      <c r="R56" s="484">
        <f>IF(B56=0.66,VLOOKUP(F56,'Данные ТНПА'!$B$8:$C$16,2,0),
IF(B56=1,VLOOKUP(F56,'Данные ТНПА'!$B$17:$C$37,2,0),"ошибка"))</f>
        <v>1.1000000000000001</v>
      </c>
      <c r="S56" s="485">
        <f t="shared" si="1"/>
        <v>7.43</v>
      </c>
      <c r="T56" s="486"/>
      <c r="U56" s="487"/>
      <c r="V56" s="485">
        <f t="shared" si="2"/>
        <v>7.85</v>
      </c>
      <c r="W56" s="486"/>
      <c r="X56" s="487"/>
      <c r="Y56" s="489">
        <f t="shared" si="3"/>
        <v>3.2</v>
      </c>
      <c r="Z56" s="491">
        <f t="shared" si="4"/>
        <v>18.918500000000002</v>
      </c>
      <c r="AA56" s="237">
        <f t="shared" si="5"/>
        <v>0</v>
      </c>
      <c r="AB56" s="452">
        <f t="shared" si="6"/>
        <v>18.918500000000002</v>
      </c>
      <c r="AC56" s="201">
        <f t="shared" si="7"/>
        <v>0</v>
      </c>
      <c r="AD56" s="203">
        <f t="shared" si="8"/>
        <v>0</v>
      </c>
      <c r="AE56" s="37" t="str">
        <f t="shared" si="9"/>
        <v/>
      </c>
      <c r="AF56" s="202">
        <f t="shared" si="10"/>
        <v>0</v>
      </c>
      <c r="AG56" s="201">
        <f t="shared" si="11"/>
        <v>0</v>
      </c>
      <c r="AH56" s="61">
        <f t="shared" si="12"/>
        <v>18.918500000000002</v>
      </c>
      <c r="AI56" s="443">
        <f t="shared" si="115"/>
        <v>0</v>
      </c>
      <c r="AJ56" s="444">
        <f t="shared" si="13"/>
        <v>0</v>
      </c>
      <c r="AK56" s="445">
        <f t="shared" si="14"/>
        <v>0</v>
      </c>
      <c r="AL56" s="446">
        <f t="shared" si="15"/>
        <v>0</v>
      </c>
      <c r="AM56" s="447">
        <f t="shared" si="16"/>
        <v>0</v>
      </c>
      <c r="AN56" s="24">
        <f t="shared" si="17"/>
        <v>18.918500000000002</v>
      </c>
      <c r="AO56" s="443">
        <f t="shared" si="18"/>
        <v>0</v>
      </c>
      <c r="AP56" s="444">
        <f t="shared" si="19"/>
        <v>0</v>
      </c>
      <c r="AQ56" s="445">
        <f t="shared" si="20"/>
        <v>0</v>
      </c>
      <c r="AR56" s="446">
        <f t="shared" si="21"/>
        <v>0</v>
      </c>
      <c r="AS56" s="447">
        <f t="shared" si="22"/>
        <v>0</v>
      </c>
      <c r="AT56" s="24">
        <f t="shared" si="23"/>
        <v>18.918500000000002</v>
      </c>
      <c r="AU56" s="443">
        <f t="shared" si="24"/>
        <v>0</v>
      </c>
      <c r="AV56" s="444">
        <f t="shared" si="25"/>
        <v>0</v>
      </c>
      <c r="AW56" s="445">
        <f t="shared" si="26"/>
        <v>0</v>
      </c>
      <c r="AX56" s="446">
        <f t="shared" si="27"/>
        <v>0</v>
      </c>
      <c r="AY56" s="447">
        <f t="shared" si="28"/>
        <v>0</v>
      </c>
      <c r="AZ56" s="24">
        <f t="shared" si="29"/>
        <v>18.918500000000002</v>
      </c>
      <c r="BA56" s="43">
        <f>IF(BB56=0,0,
IF(D56=1,
(IF(AND(AH56&gt;'Данные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"ошибка_1"))))))),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"ошибка_2"))))))))</f>
        <v>0</v>
      </c>
      <c r="BB56" s="43">
        <f>IF(OR($AI$9=0,AND(D56&gt;1,F56&gt;10)),0,
IF(D56=1,
(IF(AND(AH56&gt;'Данные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"ошибка_1"))))))),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IF(AND(AH56&gt;'Данные ТНПА'!#REF!,AH56&lt;='Данные ТНПА'!#REF!),'Данные ТНПА'!#REF!,
"ошибка_2"))))))))</f>
        <v>0</v>
      </c>
      <c r="BC56" s="43">
        <f t="shared" si="30"/>
        <v>18.918500000000002</v>
      </c>
      <c r="BD56" s="237">
        <f t="shared" si="31"/>
        <v>0</v>
      </c>
      <c r="BE56" s="43">
        <f t="shared" si="32"/>
        <v>0</v>
      </c>
      <c r="BF56" s="201">
        <f t="shared" si="33"/>
        <v>0</v>
      </c>
      <c r="BG56" s="201">
        <f t="shared" si="34"/>
        <v>0</v>
      </c>
      <c r="BH56" s="61">
        <f t="shared" si="35"/>
        <v>18.918500000000002</v>
      </c>
      <c r="BI56" s="237">
        <f t="shared" si="36"/>
        <v>0</v>
      </c>
      <c r="BJ56" s="247">
        <f t="shared" si="37"/>
        <v>0</v>
      </c>
      <c r="BK56" s="431">
        <f t="shared" si="38"/>
        <v>0</v>
      </c>
      <c r="BL56" s="250">
        <f t="shared" si="39"/>
        <v>0</v>
      </c>
      <c r="BM56" s="237">
        <f t="shared" si="40"/>
        <v>0</v>
      </c>
      <c r="BN56" s="452">
        <f t="shared" si="41"/>
        <v>18.918500000000002</v>
      </c>
      <c r="BO56" s="237">
        <f t="shared" si="42"/>
        <v>0</v>
      </c>
      <c r="BP56" s="432">
        <f t="shared" si="43"/>
        <v>0</v>
      </c>
      <c r="BQ56" s="22" t="str">
        <f t="shared" si="44"/>
        <v/>
      </c>
      <c r="BR56" s="250">
        <f t="shared" si="45"/>
        <v>0</v>
      </c>
      <c r="BS56" s="237">
        <f t="shared" si="46"/>
        <v>0</v>
      </c>
      <c r="BT56" s="452">
        <f t="shared" si="47"/>
        <v>18.918500000000002</v>
      </c>
      <c r="BU56" s="492">
        <f t="shared" si="48"/>
        <v>1.3449999999999998</v>
      </c>
      <c r="BV56" s="493">
        <f>IF(BT56="","",
IF(AND(BT56&gt;'Данные ТНПА'!$K$8,BT56&lt;='Данные ТНПА'!$L$8),'Данные ТНПА'!$N$8,
IF(AND(BT56&gt;'Данные ТНПА'!$K$9,BT56&lt;='Данные ТНПА'!$L$9),'Данные ТНПА'!$N$9,
IF(AND(BT56&gt;'Данные ТНПА'!$K$10,BT56&lt;='Данные ТНПА'!$L$10),'Данные ТНПА'!$N$10,
IF(AND(BT56&gt;'Данные ТНПА'!$K$11,BT56&lt;='Данные ТНПА'!$L$11),'Данные ТНПА'!$N$11,
IF(AND(BT56&gt;'Данные ТНПА'!$K$12,BT56&lt;='Данные ТНПА'!$L$12),'Данные ТНПА'!$N$12,
IF(AND(BT56&gt;'Данные ТНПА'!$K$13,BT56&lt;='Данные ТНПА'!$L$13),'Данные ТНПА'!$N$13,
IF(AND(BT56&gt;'Данные ТНПА'!$K$14,BT56&lt;='Данные ТНПА'!$L$14),'Данные ТНПА'!$N$14))))))))</f>
        <v>1.7</v>
      </c>
      <c r="BW56" s="493">
        <f t="shared" si="49"/>
        <v>22.3185</v>
      </c>
      <c r="BX56" s="457">
        <f t="shared" si="50"/>
        <v>0</v>
      </c>
      <c r="BY56" s="457">
        <f t="shared" si="51"/>
        <v>895.22299999999996</v>
      </c>
      <c r="BZ56" s="457">
        <f t="shared" si="52"/>
        <v>125.90430815855954</v>
      </c>
      <c r="CA56" s="457" t="e">
        <f t="shared" si="53"/>
        <v>#REF!</v>
      </c>
      <c r="CB56" s="458">
        <f t="shared" si="54"/>
        <v>0</v>
      </c>
      <c r="CC56" s="457">
        <f t="shared" si="55"/>
        <v>0</v>
      </c>
      <c r="CD56" s="457">
        <f t="shared" si="56"/>
        <v>0</v>
      </c>
      <c r="CE56" s="457">
        <f t="shared" si="57"/>
        <v>0</v>
      </c>
      <c r="CF56" s="457">
        <f t="shared" si="58"/>
        <v>0</v>
      </c>
      <c r="CG56" s="458">
        <f t="shared" si="59"/>
        <v>0</v>
      </c>
      <c r="CH56" s="457">
        <f t="shared" si="60"/>
        <v>0</v>
      </c>
      <c r="CI56" s="457">
        <f t="shared" si="61"/>
        <v>0</v>
      </c>
      <c r="CJ56" s="458">
        <f t="shared" si="62"/>
        <v>0</v>
      </c>
      <c r="CK56" s="458">
        <f t="shared" si="63"/>
        <v>160.33090210252746</v>
      </c>
      <c r="CL56" s="457">
        <f t="shared" si="64"/>
        <v>1181.4582102610868</v>
      </c>
      <c r="CM56" s="504"/>
      <c r="CN56" s="504"/>
    </row>
    <row r="57" spans="1:92" s="207" customFormat="1" ht="14.25" hidden="1" customHeight="1" x14ac:dyDescent="0.25">
      <c r="A57" s="389" t="str">
        <f>IF(D57="",CONCATENATE("Кабель ",IF(C57="а","А",""),$A$9),CONCATENATE("Кабель ",IF(C57="а","А",""),$A$9," ",D57,"*",F57,IF(G57="ок"," (ож)","")," - ",B57," ",IF(G57="мс"," фас. ",""),$A$2))</f>
        <v>Кабель ВВГ 4*35 (ож) - 0,66 ГОСТ 16442-80</v>
      </c>
      <c r="B57" s="449">
        <v>0.66</v>
      </c>
      <c r="C57" s="415" t="s">
        <v>163</v>
      </c>
      <c r="D57" s="274">
        <v>4</v>
      </c>
      <c r="E57" s="34" t="s">
        <v>40</v>
      </c>
      <c r="F57" s="289">
        <v>35</v>
      </c>
      <c r="G57" s="276" t="s">
        <v>153</v>
      </c>
      <c r="H57" s="460">
        <v>6.68</v>
      </c>
      <c r="I57" s="494">
        <v>1</v>
      </c>
      <c r="J57" s="495" t="s">
        <v>40</v>
      </c>
      <c r="K57" s="496">
        <f>ROUNDUP(SQRT(F57/PI()*4),2)</f>
        <v>6.68</v>
      </c>
      <c r="L57" s="501">
        <v>8.15</v>
      </c>
      <c r="M57" s="474"/>
      <c r="N57" s="474"/>
      <c r="O57" s="474"/>
      <c r="P57" s="474"/>
      <c r="Q57" s="483">
        <f t="shared" si="0"/>
        <v>0.89000000000000012</v>
      </c>
      <c r="R57" s="484">
        <f>IF(B57=0.66,VLOOKUP(F57,'Данные ТНПА'!$B$8:$C$16,2,0),
IF(B57=1,VLOOKUP(F57,'Данные ТНПА'!$B$17:$C$37,2,0),"ошибка"))</f>
        <v>1.1000000000000001</v>
      </c>
      <c r="S57" s="485">
        <f t="shared" si="1"/>
        <v>8.4600000000000009</v>
      </c>
      <c r="T57" s="486"/>
      <c r="U57" s="487"/>
      <c r="V57" s="485">
        <f t="shared" si="2"/>
        <v>8.879999999999999</v>
      </c>
      <c r="W57" s="486"/>
      <c r="X57" s="487"/>
      <c r="Y57" s="489">
        <f t="shared" si="3"/>
        <v>3.7</v>
      </c>
      <c r="Z57" s="491">
        <f t="shared" si="4"/>
        <v>21.4008</v>
      </c>
      <c r="AA57" s="237">
        <f t="shared" si="5"/>
        <v>0</v>
      </c>
      <c r="AB57" s="452">
        <f t="shared" si="6"/>
        <v>21.4008</v>
      </c>
      <c r="AC57" s="201">
        <f t="shared" si="7"/>
        <v>0</v>
      </c>
      <c r="AD57" s="203">
        <f t="shared" si="8"/>
        <v>0</v>
      </c>
      <c r="AE57" s="37" t="str">
        <f t="shared" si="9"/>
        <v/>
      </c>
      <c r="AF57" s="202">
        <f t="shared" si="10"/>
        <v>0</v>
      </c>
      <c r="AG57" s="201">
        <f t="shared" si="11"/>
        <v>0</v>
      </c>
      <c r="AH57" s="61">
        <f t="shared" si="12"/>
        <v>21.4008</v>
      </c>
      <c r="AI57" s="443">
        <f t="shared" si="115"/>
        <v>0</v>
      </c>
      <c r="AJ57" s="444">
        <f t="shared" si="13"/>
        <v>0</v>
      </c>
      <c r="AK57" s="445">
        <f t="shared" si="14"/>
        <v>0</v>
      </c>
      <c r="AL57" s="446">
        <f t="shared" si="15"/>
        <v>0</v>
      </c>
      <c r="AM57" s="447">
        <f t="shared" si="16"/>
        <v>0</v>
      </c>
      <c r="AN57" s="24">
        <f t="shared" si="17"/>
        <v>21.4008</v>
      </c>
      <c r="AO57" s="443">
        <f t="shared" si="18"/>
        <v>0</v>
      </c>
      <c r="AP57" s="444">
        <f t="shared" si="19"/>
        <v>0</v>
      </c>
      <c r="AQ57" s="445">
        <f t="shared" si="20"/>
        <v>0</v>
      </c>
      <c r="AR57" s="446">
        <f t="shared" si="21"/>
        <v>0</v>
      </c>
      <c r="AS57" s="447">
        <f t="shared" si="22"/>
        <v>0</v>
      </c>
      <c r="AT57" s="24">
        <f t="shared" si="23"/>
        <v>21.4008</v>
      </c>
      <c r="AU57" s="443">
        <f t="shared" si="24"/>
        <v>0</v>
      </c>
      <c r="AV57" s="444">
        <f t="shared" si="25"/>
        <v>0</v>
      </c>
      <c r="AW57" s="445">
        <f t="shared" si="26"/>
        <v>0</v>
      </c>
      <c r="AX57" s="446">
        <f t="shared" si="27"/>
        <v>0</v>
      </c>
      <c r="AY57" s="447">
        <f t="shared" si="28"/>
        <v>0</v>
      </c>
      <c r="AZ57" s="24">
        <f t="shared" si="29"/>
        <v>21.4008</v>
      </c>
      <c r="BA57" s="43">
        <f>IF(BB57=0,0,
IF(D57=1,
(IF(AND(AH57&gt;'Данные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"ошибка_1"))))))),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"ошибка_2"))))))))</f>
        <v>0</v>
      </c>
      <c r="BB57" s="43">
        <f>IF(OR($AI$9=0,AND(D57&gt;1,F57&gt;10)),0,
IF(D57=1,
(IF(AND(AH57&gt;'Данные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"ошибка_1"))))))),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IF(AND(AH57&gt;'Данные ТНПА'!#REF!,AH57&lt;='Данные ТНПА'!#REF!),'Данные ТНПА'!#REF!,
"ошибка_2"))))))))</f>
        <v>0</v>
      </c>
      <c r="BC57" s="43">
        <f t="shared" si="30"/>
        <v>21.4008</v>
      </c>
      <c r="BD57" s="237">
        <f t="shared" si="31"/>
        <v>0</v>
      </c>
      <c r="BE57" s="43">
        <f t="shared" si="32"/>
        <v>0</v>
      </c>
      <c r="BF57" s="201">
        <f t="shared" si="33"/>
        <v>0</v>
      </c>
      <c r="BG57" s="201">
        <f t="shared" si="34"/>
        <v>0</v>
      </c>
      <c r="BH57" s="61">
        <f t="shared" si="35"/>
        <v>21.4008</v>
      </c>
      <c r="BI57" s="237">
        <f t="shared" si="36"/>
        <v>0</v>
      </c>
      <c r="BJ57" s="247">
        <f t="shared" si="37"/>
        <v>0</v>
      </c>
      <c r="BK57" s="431">
        <f t="shared" si="38"/>
        <v>0</v>
      </c>
      <c r="BL57" s="250">
        <f t="shared" si="39"/>
        <v>0</v>
      </c>
      <c r="BM57" s="237">
        <f t="shared" si="40"/>
        <v>0</v>
      </c>
      <c r="BN57" s="452">
        <f t="shared" si="41"/>
        <v>21.4008</v>
      </c>
      <c r="BO57" s="237">
        <f t="shared" si="42"/>
        <v>0</v>
      </c>
      <c r="BP57" s="432">
        <f t="shared" si="43"/>
        <v>0</v>
      </c>
      <c r="BQ57" s="22" t="str">
        <f t="shared" si="44"/>
        <v/>
      </c>
      <c r="BR57" s="250">
        <f t="shared" si="45"/>
        <v>0</v>
      </c>
      <c r="BS57" s="237">
        <f t="shared" si="46"/>
        <v>0</v>
      </c>
      <c r="BT57" s="452">
        <f t="shared" si="47"/>
        <v>21.4008</v>
      </c>
      <c r="BU57" s="492">
        <f t="shared" si="48"/>
        <v>1.5149999999999999</v>
      </c>
      <c r="BV57" s="493">
        <f>IF(BT57="","",
IF(AND(BT57&gt;'Данные ТНПА'!$K$8,BT57&lt;='Данные ТНПА'!$L$8),'Данные ТНПА'!$N$8,
IF(AND(BT57&gt;'Данные ТНПА'!$K$9,BT57&lt;='Данные ТНПА'!$L$9),'Данные ТНПА'!$N$9,
IF(AND(BT57&gt;'Данные ТНПА'!$K$10,BT57&lt;='Данные ТНПА'!$L$10),'Данные ТНПА'!$N$10,
IF(AND(BT57&gt;'Данные ТНПА'!$K$11,BT57&lt;='Данные ТНПА'!$L$11),'Данные ТНПА'!$N$11,
IF(AND(BT57&gt;'Данные ТНПА'!$K$12,BT57&lt;='Данные ТНПА'!$L$12),'Данные ТНПА'!$N$12,
IF(AND(BT57&gt;'Данные ТНПА'!$K$13,BT57&lt;='Данные ТНПА'!$L$13),'Данные ТНПА'!$N$13,
IF(AND(BT57&gt;'Данные ТНПА'!$K$14,BT57&lt;='Данные ТНПА'!$L$14),'Данные ТНПА'!$N$14))))))))</f>
        <v>1.9</v>
      </c>
      <c r="BW57" s="493">
        <f t="shared" si="49"/>
        <v>25.200800000000001</v>
      </c>
      <c r="BX57" s="457">
        <f t="shared" si="50"/>
        <v>0</v>
      </c>
      <c r="BY57" s="457">
        <f t="shared" si="51"/>
        <v>1253.3122000000001</v>
      </c>
      <c r="BZ57" s="457">
        <f t="shared" si="52"/>
        <v>145.11637295905086</v>
      </c>
      <c r="CA57" s="457" t="e">
        <f t="shared" si="53"/>
        <v>#REF!</v>
      </c>
      <c r="CB57" s="458">
        <f t="shared" si="54"/>
        <v>0</v>
      </c>
      <c r="CC57" s="457">
        <f t="shared" si="55"/>
        <v>0</v>
      </c>
      <c r="CD57" s="457">
        <f t="shared" si="56"/>
        <v>0</v>
      </c>
      <c r="CE57" s="457">
        <f t="shared" si="57"/>
        <v>0</v>
      </c>
      <c r="CF57" s="457">
        <f t="shared" si="58"/>
        <v>0</v>
      </c>
      <c r="CG57" s="458">
        <f t="shared" si="59"/>
        <v>0</v>
      </c>
      <c r="CH57" s="457">
        <f t="shared" si="60"/>
        <v>0</v>
      </c>
      <c r="CI57" s="457">
        <f t="shared" si="61"/>
        <v>0</v>
      </c>
      <c r="CJ57" s="458">
        <f t="shared" si="62"/>
        <v>0</v>
      </c>
      <c r="CK57" s="458">
        <f t="shared" si="63"/>
        <v>202.50496738508917</v>
      </c>
      <c r="CL57" s="457">
        <f t="shared" si="64"/>
        <v>1600.9335403441403</v>
      </c>
      <c r="CM57" s="504"/>
      <c r="CN57" s="504"/>
    </row>
    <row r="58" spans="1:92" s="207" customFormat="1" ht="14.25" hidden="1" customHeight="1" x14ac:dyDescent="0.25">
      <c r="A58" s="389" t="str">
        <f>IF(D58="",CONCATENATE("Кабель ",IF(C58="а","А",""),$A$9),CONCATENATE("Кабель ",IF(C58="а","А",""),$A$9," ",D58,"*",F58,IF(G58="ок"," (ож)","")," - ",B58," ",IF(G58="мс"," фас. ",""),$A$2))</f>
        <v>Кабель ВВГ 5*16 - 0,66 ГОСТ 16442-80</v>
      </c>
      <c r="B58" s="511">
        <v>0.66</v>
      </c>
      <c r="C58" s="451" t="s">
        <v>163</v>
      </c>
      <c r="D58" s="274">
        <v>5</v>
      </c>
      <c r="E58" s="34" t="s">
        <v>40</v>
      </c>
      <c r="F58" s="289">
        <v>16</v>
      </c>
      <c r="G58" s="276" t="s">
        <v>154</v>
      </c>
      <c r="H58" s="460">
        <v>1.77</v>
      </c>
      <c r="I58" s="468">
        <v>7</v>
      </c>
      <c r="J58" s="469" t="s">
        <v>40</v>
      </c>
      <c r="K58" s="470">
        <f>ROUNDUP(SQRT(F58/I58/PI()*4*1.07),2)</f>
        <v>1.77</v>
      </c>
      <c r="L58" s="501">
        <v>1.39</v>
      </c>
      <c r="M58" s="466"/>
      <c r="N58" s="466"/>
      <c r="O58" s="466"/>
      <c r="P58" s="466"/>
      <c r="Q58" s="483">
        <f t="shared" si="0"/>
        <v>0.71000000000000008</v>
      </c>
      <c r="R58" s="484">
        <f>IF(B58=0.66,VLOOKUP(F58,'Данные ТНПА'!$B$8:$C$16,2,0),
IF(B58=1,VLOOKUP(F58,'Данные ТНПА'!$B$17:$C$37,2,0),"ошибка"))</f>
        <v>0.9</v>
      </c>
      <c r="S58" s="485">
        <f t="shared" si="1"/>
        <v>2.81</v>
      </c>
      <c r="T58" s="486"/>
      <c r="U58" s="487"/>
      <c r="V58" s="485">
        <f t="shared" si="2"/>
        <v>3.19</v>
      </c>
      <c r="W58" s="486"/>
      <c r="X58" s="487"/>
      <c r="Y58" s="489">
        <f t="shared" si="3"/>
        <v>2.2000000000000002</v>
      </c>
      <c r="Z58" s="491">
        <f t="shared" si="4"/>
        <v>8.6129999999999995</v>
      </c>
      <c r="AA58" s="237">
        <f t="shared" si="5"/>
        <v>0</v>
      </c>
      <c r="AB58" s="452">
        <f t="shared" si="6"/>
        <v>8.6129999999999995</v>
      </c>
      <c r="AC58" s="201">
        <f t="shared" si="7"/>
        <v>0</v>
      </c>
      <c r="AD58" s="203">
        <f t="shared" si="8"/>
        <v>0</v>
      </c>
      <c r="AE58" s="37" t="str">
        <f t="shared" si="9"/>
        <v/>
      </c>
      <c r="AF58" s="202">
        <f t="shared" si="10"/>
        <v>0</v>
      </c>
      <c r="AG58" s="201">
        <f t="shared" si="11"/>
        <v>0</v>
      </c>
      <c r="AH58" s="61">
        <f t="shared" si="12"/>
        <v>8.6129999999999995</v>
      </c>
      <c r="AI58" s="443">
        <f t="shared" si="115"/>
        <v>0</v>
      </c>
      <c r="AJ58" s="444">
        <f t="shared" si="13"/>
        <v>0</v>
      </c>
      <c r="AK58" s="445">
        <f t="shared" si="14"/>
        <v>0</v>
      </c>
      <c r="AL58" s="446">
        <f t="shared" si="15"/>
        <v>0</v>
      </c>
      <c r="AM58" s="447">
        <f t="shared" si="16"/>
        <v>0</v>
      </c>
      <c r="AN58" s="24">
        <f t="shared" si="17"/>
        <v>8.6129999999999995</v>
      </c>
      <c r="AO58" s="443">
        <f t="shared" si="18"/>
        <v>0</v>
      </c>
      <c r="AP58" s="444">
        <f t="shared" si="19"/>
        <v>0</v>
      </c>
      <c r="AQ58" s="445">
        <f t="shared" si="20"/>
        <v>0</v>
      </c>
      <c r="AR58" s="446">
        <f t="shared" si="21"/>
        <v>0</v>
      </c>
      <c r="AS58" s="447">
        <f t="shared" si="22"/>
        <v>0</v>
      </c>
      <c r="AT58" s="24">
        <f t="shared" si="23"/>
        <v>8.6129999999999995</v>
      </c>
      <c r="AU58" s="443">
        <f t="shared" si="24"/>
        <v>0</v>
      </c>
      <c r="AV58" s="444">
        <f t="shared" si="25"/>
        <v>0</v>
      </c>
      <c r="AW58" s="445">
        <f t="shared" si="26"/>
        <v>0</v>
      </c>
      <c r="AX58" s="446">
        <f t="shared" si="27"/>
        <v>0</v>
      </c>
      <c r="AY58" s="447">
        <f t="shared" si="28"/>
        <v>0</v>
      </c>
      <c r="AZ58" s="24">
        <f t="shared" si="29"/>
        <v>8.6129999999999995</v>
      </c>
      <c r="BA58" s="43">
        <f>IF(BB58=0,0,
IF(D58=1,
(IF(AND(AH58&gt;'Данные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"ошибка_1"))))))),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"ошибка_2"))))))))</f>
        <v>0</v>
      </c>
      <c r="BB58" s="43">
        <f>IF(OR($AI$9=0,AND(D58&gt;1,F58&gt;10)),0,
IF(D58=1,
(IF(AND(AH58&gt;'Данные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"ошибка_1"))))))),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IF(AND(AH58&gt;'Данные ТНПА'!#REF!,AH58&lt;='Данные ТНПА'!#REF!),'Данные ТНПА'!#REF!,
"ошибка_2"))))))))</f>
        <v>0</v>
      </c>
      <c r="BC58" s="43">
        <f t="shared" si="30"/>
        <v>8.6129999999999995</v>
      </c>
      <c r="BD58" s="237">
        <f t="shared" si="31"/>
        <v>0</v>
      </c>
      <c r="BE58" s="43">
        <f t="shared" si="32"/>
        <v>0</v>
      </c>
      <c r="BF58" s="201">
        <f t="shared" si="33"/>
        <v>0</v>
      </c>
      <c r="BG58" s="201">
        <f t="shared" si="34"/>
        <v>0</v>
      </c>
      <c r="BH58" s="61">
        <f t="shared" si="35"/>
        <v>8.6129999999999995</v>
      </c>
      <c r="BI58" s="237">
        <f t="shared" si="36"/>
        <v>0</v>
      </c>
      <c r="BJ58" s="247">
        <f t="shared" si="37"/>
        <v>0</v>
      </c>
      <c r="BK58" s="431">
        <f t="shared" si="38"/>
        <v>0</v>
      </c>
      <c r="BL58" s="250">
        <f t="shared" si="39"/>
        <v>0</v>
      </c>
      <c r="BM58" s="237">
        <f t="shared" si="40"/>
        <v>0</v>
      </c>
      <c r="BN58" s="452">
        <f t="shared" si="41"/>
        <v>8.6129999999999995</v>
      </c>
      <c r="BO58" s="237">
        <f t="shared" si="42"/>
        <v>0</v>
      </c>
      <c r="BP58" s="432">
        <f t="shared" si="43"/>
        <v>0</v>
      </c>
      <c r="BQ58" s="22" t="str">
        <f t="shared" si="44"/>
        <v/>
      </c>
      <c r="BR58" s="250">
        <f t="shared" si="45"/>
        <v>0</v>
      </c>
      <c r="BS58" s="237">
        <f t="shared" si="46"/>
        <v>0</v>
      </c>
      <c r="BT58" s="452">
        <f t="shared" si="47"/>
        <v>8.6129999999999995</v>
      </c>
      <c r="BU58" s="492">
        <f t="shared" si="48"/>
        <v>1.1749999999999998</v>
      </c>
      <c r="BV58" s="493">
        <f>IF(BT58="","",
IF(AND(BT58&gt;'Данные ТНПА'!$K$8,BT58&lt;='Данные ТНПА'!$L$8),'Данные ТНПА'!$N$8,
IF(AND(BT58&gt;'Данные ТНПА'!$K$9,BT58&lt;='Данные ТНПА'!$L$9),'Данные ТНПА'!$N$9,
IF(AND(BT58&gt;'Данные ТНПА'!$K$10,BT58&lt;='Данные ТНПА'!$L$10),'Данные ТНПА'!$N$10,
IF(AND(BT58&gt;'Данные ТНПА'!$K$11,BT58&lt;='Данные ТНПА'!$L$11),'Данные ТНПА'!$N$11,
IF(AND(BT58&gt;'Данные ТНПА'!$K$12,BT58&lt;='Данные ТНПА'!$L$12),'Данные ТНПА'!$N$12,
IF(AND(BT58&gt;'Данные ТНПА'!$K$13,BT58&lt;='Данные ТНПА'!$L$13),'Данные ТНПА'!$N$13,
IF(AND(BT58&gt;'Данные ТНПА'!$K$14,BT58&lt;='Данные ТНПА'!$L$14),'Данные ТНПА'!$N$14))))))))</f>
        <v>1.5</v>
      </c>
      <c r="BW58" s="493">
        <f t="shared" si="49"/>
        <v>11.613</v>
      </c>
      <c r="BX58" s="457">
        <f t="shared" si="50"/>
        <v>0</v>
      </c>
      <c r="BY58" s="457">
        <f t="shared" si="51"/>
        <v>716.17840000000001</v>
      </c>
      <c r="BZ58" s="457">
        <f t="shared" si="52"/>
        <v>48.053477613850241</v>
      </c>
      <c r="CA58" s="457" t="e">
        <f t="shared" si="53"/>
        <v>#REF!</v>
      </c>
      <c r="CB58" s="458">
        <f t="shared" si="54"/>
        <v>0</v>
      </c>
      <c r="CC58" s="457">
        <f t="shared" si="55"/>
        <v>0</v>
      </c>
      <c r="CD58" s="457">
        <f t="shared" si="56"/>
        <v>0</v>
      </c>
      <c r="CE58" s="457">
        <f t="shared" si="57"/>
        <v>0</v>
      </c>
      <c r="CF58" s="457">
        <f t="shared" si="58"/>
        <v>0</v>
      </c>
      <c r="CG58" s="458">
        <f t="shared" si="59"/>
        <v>0</v>
      </c>
      <c r="CH58" s="457">
        <f t="shared" si="60"/>
        <v>0</v>
      </c>
      <c r="CI58" s="457">
        <f t="shared" si="61"/>
        <v>0</v>
      </c>
      <c r="CJ58" s="458">
        <f t="shared" si="62"/>
        <v>0</v>
      </c>
      <c r="CK58" s="458">
        <f t="shared" si="63"/>
        <v>69.387703488565805</v>
      </c>
      <c r="CL58" s="457">
        <f t="shared" si="64"/>
        <v>833.61958110241596</v>
      </c>
      <c r="CM58" s="504"/>
      <c r="CN58" s="504"/>
    </row>
    <row r="59" spans="1:92" s="207" customFormat="1" ht="14.25" hidden="1" customHeight="1" x14ac:dyDescent="0.25">
      <c r="A59" s="389" t="str">
        <f>IF(D59="",CONCATENATE("Кабель ",IF(C59="а","А",""),$A$9),CONCATENATE("Кабель ",IF(C59="а","А",""),$A$9," ",D59,"*",F59,IF(G59="ок"," (ож)","")," - ",B59," ",IF(G59="мс"," фас. ",""),$A$2))</f>
        <v>Кабель ВВГ 5*25 - 0,66 ГОСТ 16442-80</v>
      </c>
      <c r="B59" s="450">
        <v>0.66</v>
      </c>
      <c r="C59" s="451" t="s">
        <v>163</v>
      </c>
      <c r="D59" s="439">
        <v>5</v>
      </c>
      <c r="E59" s="34" t="s">
        <v>40</v>
      </c>
      <c r="F59" s="289">
        <v>25</v>
      </c>
      <c r="G59" s="276" t="s">
        <v>154</v>
      </c>
      <c r="H59" s="460">
        <v>2.21</v>
      </c>
      <c r="I59" s="468">
        <v>7</v>
      </c>
      <c r="J59" s="469" t="s">
        <v>40</v>
      </c>
      <c r="K59" s="470">
        <f>ROUNDUP(SQRT(F59/I59/PI()*4*1.07),2)</f>
        <v>2.21</v>
      </c>
      <c r="L59" s="501">
        <v>1.79</v>
      </c>
      <c r="M59" s="467"/>
      <c r="N59" s="467"/>
      <c r="O59" s="467"/>
      <c r="P59" s="467"/>
      <c r="Q59" s="483">
        <f t="shared" si="0"/>
        <v>0.89000000000000012</v>
      </c>
      <c r="R59" s="484">
        <f>IF(B59=0.66,VLOOKUP(F59,'Данные ТНПА'!$B$8:$C$16,2,0),
IF(B59=1,VLOOKUP(F59,'Данные ТНПА'!$B$17:$C$37,2,0),"ошибка"))</f>
        <v>1.1000000000000001</v>
      </c>
      <c r="S59" s="485">
        <f t="shared" si="1"/>
        <v>3.5700000000000003</v>
      </c>
      <c r="T59" s="486"/>
      <c r="U59" s="487"/>
      <c r="V59" s="485">
        <f t="shared" si="2"/>
        <v>3.99</v>
      </c>
      <c r="W59" s="486"/>
      <c r="X59" s="487"/>
      <c r="Y59" s="489">
        <f t="shared" si="3"/>
        <v>2.8</v>
      </c>
      <c r="Z59" s="491">
        <f t="shared" si="4"/>
        <v>10.773000000000001</v>
      </c>
      <c r="AA59" s="237">
        <f t="shared" si="5"/>
        <v>0</v>
      </c>
      <c r="AB59" s="452">
        <f t="shared" si="6"/>
        <v>10.773000000000001</v>
      </c>
      <c r="AC59" s="201">
        <f t="shared" si="7"/>
        <v>0</v>
      </c>
      <c r="AD59" s="203">
        <f t="shared" si="8"/>
        <v>0</v>
      </c>
      <c r="AE59" s="37" t="str">
        <f t="shared" si="9"/>
        <v/>
      </c>
      <c r="AF59" s="202">
        <f t="shared" si="10"/>
        <v>0</v>
      </c>
      <c r="AG59" s="201">
        <f t="shared" si="11"/>
        <v>0</v>
      </c>
      <c r="AH59" s="61">
        <f t="shared" si="12"/>
        <v>10.773000000000001</v>
      </c>
      <c r="AI59" s="443">
        <f t="shared" si="115"/>
        <v>0</v>
      </c>
      <c r="AJ59" s="444">
        <f t="shared" si="13"/>
        <v>0</v>
      </c>
      <c r="AK59" s="445">
        <f t="shared" si="14"/>
        <v>0</v>
      </c>
      <c r="AL59" s="446">
        <f t="shared" si="15"/>
        <v>0</v>
      </c>
      <c r="AM59" s="447">
        <f t="shared" si="16"/>
        <v>0</v>
      </c>
      <c r="AN59" s="24">
        <f t="shared" si="17"/>
        <v>10.773000000000001</v>
      </c>
      <c r="AO59" s="443">
        <f t="shared" si="18"/>
        <v>0</v>
      </c>
      <c r="AP59" s="444">
        <f t="shared" si="19"/>
        <v>0</v>
      </c>
      <c r="AQ59" s="445">
        <f t="shared" si="20"/>
        <v>0</v>
      </c>
      <c r="AR59" s="446">
        <f t="shared" si="21"/>
        <v>0</v>
      </c>
      <c r="AS59" s="447">
        <f t="shared" si="22"/>
        <v>0</v>
      </c>
      <c r="AT59" s="24">
        <f t="shared" si="23"/>
        <v>10.773000000000001</v>
      </c>
      <c r="AU59" s="443">
        <f t="shared" si="24"/>
        <v>0</v>
      </c>
      <c r="AV59" s="444">
        <f t="shared" si="25"/>
        <v>0</v>
      </c>
      <c r="AW59" s="445">
        <f t="shared" si="26"/>
        <v>0</v>
      </c>
      <c r="AX59" s="446">
        <f t="shared" si="27"/>
        <v>0</v>
      </c>
      <c r="AY59" s="447">
        <f t="shared" si="28"/>
        <v>0</v>
      </c>
      <c r="AZ59" s="24">
        <f t="shared" si="29"/>
        <v>10.773000000000001</v>
      </c>
      <c r="BA59" s="43">
        <f>IF(BB59=0,0,
IF(D59=1,
(IF(AND(AH59&gt;'Данные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"ошибка_1"))))))),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"ошибка_2"))))))))</f>
        <v>0</v>
      </c>
      <c r="BB59" s="43">
        <f>IF(OR($AI$9=0,AND(D59&gt;1,F59&gt;10)),0,
IF(D59=1,
(IF(AND(AH59&gt;'Данные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"ошибка_1"))))))),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IF(AND(AH59&gt;'Данные ТНПА'!#REF!,AH59&lt;='Данные ТНПА'!#REF!),'Данные ТНПА'!#REF!,
"ошибка_2"))))))))</f>
        <v>0</v>
      </c>
      <c r="BC59" s="43">
        <f t="shared" si="30"/>
        <v>10.773000000000001</v>
      </c>
      <c r="BD59" s="237">
        <f t="shared" si="31"/>
        <v>0</v>
      </c>
      <c r="BE59" s="43">
        <f t="shared" si="32"/>
        <v>0</v>
      </c>
      <c r="BF59" s="201">
        <f t="shared" si="33"/>
        <v>0</v>
      </c>
      <c r="BG59" s="201">
        <f t="shared" si="34"/>
        <v>0</v>
      </c>
      <c r="BH59" s="61">
        <f t="shared" si="35"/>
        <v>10.773000000000001</v>
      </c>
      <c r="BI59" s="237">
        <f t="shared" si="36"/>
        <v>0</v>
      </c>
      <c r="BJ59" s="247">
        <f t="shared" si="37"/>
        <v>0</v>
      </c>
      <c r="BK59" s="431">
        <f t="shared" si="38"/>
        <v>0</v>
      </c>
      <c r="BL59" s="250">
        <f t="shared" si="39"/>
        <v>0</v>
      </c>
      <c r="BM59" s="237">
        <f t="shared" si="40"/>
        <v>0</v>
      </c>
      <c r="BN59" s="452">
        <f t="shared" si="41"/>
        <v>10.773000000000001</v>
      </c>
      <c r="BO59" s="237">
        <f t="shared" si="42"/>
        <v>0</v>
      </c>
      <c r="BP59" s="432">
        <f t="shared" si="43"/>
        <v>0</v>
      </c>
      <c r="BQ59" s="22" t="str">
        <f t="shared" si="44"/>
        <v/>
      </c>
      <c r="BR59" s="250">
        <f t="shared" si="45"/>
        <v>0</v>
      </c>
      <c r="BS59" s="237">
        <f t="shared" si="46"/>
        <v>0</v>
      </c>
      <c r="BT59" s="452">
        <f t="shared" si="47"/>
        <v>10.773000000000001</v>
      </c>
      <c r="BU59" s="492">
        <f t="shared" si="48"/>
        <v>1.1749999999999998</v>
      </c>
      <c r="BV59" s="493">
        <f>IF(BT59="","",
IF(AND(BT59&gt;'Данные ТНПА'!$K$8,BT59&lt;='Данные ТНПА'!$L$8),'Данные ТНПА'!$N$8,
IF(AND(BT59&gt;'Данные ТНПА'!$K$9,BT59&lt;='Данные ТНПА'!$L$9),'Данные ТНПА'!$N$9,
IF(AND(BT59&gt;'Данные ТНПА'!$K$10,BT59&lt;='Данные ТНПА'!$L$10),'Данные ТНПА'!$N$10,
IF(AND(BT59&gt;'Данные ТНПА'!$K$11,BT59&lt;='Данные ТНПА'!$L$11),'Данные ТНПА'!$N$11,
IF(AND(BT59&gt;'Данные ТНПА'!$K$12,BT59&lt;='Данные ТНПА'!$L$12),'Данные ТНПА'!$N$12,
IF(AND(BT59&gt;'Данные ТНПА'!$K$13,BT59&lt;='Данные ТНПА'!$L$13),'Данные ТНПА'!$N$13,
IF(AND(BT59&gt;'Данные ТНПА'!$K$14,BT59&lt;='Данные ТНПА'!$L$14),'Данные ТНПА'!$N$14))))))))</f>
        <v>1.5</v>
      </c>
      <c r="BW59" s="493">
        <f t="shared" si="49"/>
        <v>13.773000000000001</v>
      </c>
      <c r="BX59" s="457">
        <f t="shared" si="50"/>
        <v>0</v>
      </c>
      <c r="BY59" s="457">
        <f t="shared" si="51"/>
        <v>1119.0287499999999</v>
      </c>
      <c r="BZ59" s="457">
        <f t="shared" si="52"/>
        <v>74.120332525196446</v>
      </c>
      <c r="CA59" s="457" t="e">
        <f t="shared" si="53"/>
        <v>#REF!</v>
      </c>
      <c r="CB59" s="458">
        <f t="shared" si="54"/>
        <v>0</v>
      </c>
      <c r="CC59" s="457">
        <f t="shared" si="55"/>
        <v>0</v>
      </c>
      <c r="CD59" s="457">
        <f t="shared" si="56"/>
        <v>0</v>
      </c>
      <c r="CE59" s="457">
        <f t="shared" si="57"/>
        <v>0</v>
      </c>
      <c r="CF59" s="457">
        <f t="shared" si="58"/>
        <v>0</v>
      </c>
      <c r="CG59" s="458">
        <f t="shared" si="59"/>
        <v>0</v>
      </c>
      <c r="CH59" s="457">
        <f t="shared" si="60"/>
        <v>0</v>
      </c>
      <c r="CI59" s="457">
        <f t="shared" si="61"/>
        <v>0</v>
      </c>
      <c r="CJ59" s="458">
        <f t="shared" si="62"/>
        <v>0</v>
      </c>
      <c r="CK59" s="458">
        <f t="shared" si="63"/>
        <v>84.207978336316458</v>
      </c>
      <c r="CL59" s="457">
        <f t="shared" si="64"/>
        <v>1277.357060861513</v>
      </c>
      <c r="CM59" s="504"/>
      <c r="CN59" s="504"/>
    </row>
    <row r="60" spans="1:92" s="207" customFormat="1" ht="14.25" hidden="1" customHeight="1" x14ac:dyDescent="0.25">
      <c r="A60" s="389" t="str">
        <f>IF(D60="",CONCATENATE("Кабель ",IF(C60="а","А",""),$A$9),CONCATENATE("Кабель ",IF(C60="а","А",""),$A$9," ",D60,"*",F60,IF(G60="ок"," (ож)","")," - ",B60," ",IF(G60="мс"," фас. ",""),$A$2))</f>
        <v>Кабель ВВГ 5*35 - 0,66 ГОСТ 16442-80</v>
      </c>
      <c r="B60" s="450">
        <v>0.66</v>
      </c>
      <c r="C60" s="451" t="s">
        <v>163</v>
      </c>
      <c r="D60" s="439">
        <v>5</v>
      </c>
      <c r="E60" s="34" t="s">
        <v>40</v>
      </c>
      <c r="F60" s="289">
        <v>35</v>
      </c>
      <c r="G60" s="276" t="s">
        <v>154</v>
      </c>
      <c r="H60" s="460">
        <v>2.61</v>
      </c>
      <c r="I60" s="468">
        <v>7</v>
      </c>
      <c r="J60" s="469" t="s">
        <v>40</v>
      </c>
      <c r="K60" s="470">
        <f>ROUNDUP(SQRT(F60/I60/PI()*4*1.07),2)</f>
        <v>2.61</v>
      </c>
      <c r="L60" s="501">
        <v>2.2599999999999998</v>
      </c>
      <c r="M60" s="467"/>
      <c r="N60" s="467"/>
      <c r="O60" s="467"/>
      <c r="P60" s="467"/>
      <c r="Q60" s="483">
        <f t="shared" si="0"/>
        <v>0.89000000000000012</v>
      </c>
      <c r="R60" s="484">
        <f>IF(B60=0.66,VLOOKUP(F60,'Данные ТНПА'!$B$8:$C$16,2,0),
IF(B60=1,VLOOKUP(F60,'Данные ТНПА'!$B$17:$C$37,2,0),"ошибка"))</f>
        <v>1.1000000000000001</v>
      </c>
      <c r="S60" s="485">
        <f t="shared" si="1"/>
        <v>4.04</v>
      </c>
      <c r="T60" s="486"/>
      <c r="U60" s="487"/>
      <c r="V60" s="485">
        <f t="shared" si="2"/>
        <v>4.46</v>
      </c>
      <c r="W60" s="486"/>
      <c r="X60" s="487"/>
      <c r="Y60" s="489">
        <f t="shared" si="3"/>
        <v>3.1</v>
      </c>
      <c r="Z60" s="491">
        <f t="shared" si="4"/>
        <v>12.042</v>
      </c>
      <c r="AA60" s="237">
        <f t="shared" si="5"/>
        <v>0</v>
      </c>
      <c r="AB60" s="452">
        <f t="shared" si="6"/>
        <v>12.042</v>
      </c>
      <c r="AC60" s="201">
        <f t="shared" si="7"/>
        <v>0</v>
      </c>
      <c r="AD60" s="203">
        <f t="shared" si="8"/>
        <v>0</v>
      </c>
      <c r="AE60" s="37" t="str">
        <f t="shared" si="9"/>
        <v/>
      </c>
      <c r="AF60" s="202">
        <f t="shared" si="10"/>
        <v>0</v>
      </c>
      <c r="AG60" s="201">
        <f t="shared" si="11"/>
        <v>0</v>
      </c>
      <c r="AH60" s="61">
        <f t="shared" si="12"/>
        <v>12.042</v>
      </c>
      <c r="AI60" s="443">
        <f t="shared" si="115"/>
        <v>0</v>
      </c>
      <c r="AJ60" s="444">
        <f t="shared" si="13"/>
        <v>0</v>
      </c>
      <c r="AK60" s="445">
        <f t="shared" si="14"/>
        <v>0</v>
      </c>
      <c r="AL60" s="446">
        <f t="shared" si="15"/>
        <v>0</v>
      </c>
      <c r="AM60" s="447">
        <f t="shared" si="16"/>
        <v>0</v>
      </c>
      <c r="AN60" s="24">
        <f t="shared" si="17"/>
        <v>12.042</v>
      </c>
      <c r="AO60" s="443">
        <f t="shared" si="18"/>
        <v>0</v>
      </c>
      <c r="AP60" s="444">
        <f t="shared" si="19"/>
        <v>0</v>
      </c>
      <c r="AQ60" s="445">
        <f t="shared" si="20"/>
        <v>0</v>
      </c>
      <c r="AR60" s="446">
        <f t="shared" si="21"/>
        <v>0</v>
      </c>
      <c r="AS60" s="447">
        <f t="shared" si="22"/>
        <v>0</v>
      </c>
      <c r="AT60" s="24">
        <f t="shared" si="23"/>
        <v>12.042</v>
      </c>
      <c r="AU60" s="443">
        <f t="shared" si="24"/>
        <v>0</v>
      </c>
      <c r="AV60" s="444">
        <f t="shared" si="25"/>
        <v>0</v>
      </c>
      <c r="AW60" s="445">
        <f t="shared" si="26"/>
        <v>0</v>
      </c>
      <c r="AX60" s="446">
        <f t="shared" si="27"/>
        <v>0</v>
      </c>
      <c r="AY60" s="447">
        <f t="shared" si="28"/>
        <v>0</v>
      </c>
      <c r="AZ60" s="24">
        <f t="shared" si="29"/>
        <v>12.042</v>
      </c>
      <c r="BA60" s="43">
        <f>IF(BB60=0,0,
IF(D60=1,
(IF(AND(AH60&gt;'Данные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"ошибка_1"))))))),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"ошибка_2"))))))))</f>
        <v>0</v>
      </c>
      <c r="BB60" s="43">
        <f>IF(OR($AI$9=0,AND(D60&gt;1,F60&gt;10)),0,
IF(D60=1,
(IF(AND(AH60&gt;'Данные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"ошибка_1"))))))),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IF(AND(AH60&gt;'Данные ТНПА'!#REF!,AH60&lt;='Данные ТНПА'!#REF!),'Данные ТНПА'!#REF!,
"ошибка_2"))))))))</f>
        <v>0</v>
      </c>
      <c r="BC60" s="43">
        <f t="shared" si="30"/>
        <v>12.042</v>
      </c>
      <c r="BD60" s="237">
        <f t="shared" si="31"/>
        <v>0</v>
      </c>
      <c r="BE60" s="43">
        <f t="shared" si="32"/>
        <v>0</v>
      </c>
      <c r="BF60" s="201">
        <f t="shared" si="33"/>
        <v>0</v>
      </c>
      <c r="BG60" s="201">
        <f t="shared" si="34"/>
        <v>0</v>
      </c>
      <c r="BH60" s="61">
        <f t="shared" si="35"/>
        <v>12.042</v>
      </c>
      <c r="BI60" s="237">
        <f t="shared" si="36"/>
        <v>0</v>
      </c>
      <c r="BJ60" s="247">
        <f t="shared" si="37"/>
        <v>0</v>
      </c>
      <c r="BK60" s="431">
        <f t="shared" si="38"/>
        <v>0</v>
      </c>
      <c r="BL60" s="250">
        <f t="shared" si="39"/>
        <v>0</v>
      </c>
      <c r="BM60" s="237">
        <f t="shared" si="40"/>
        <v>0</v>
      </c>
      <c r="BN60" s="452">
        <f t="shared" si="41"/>
        <v>12.042</v>
      </c>
      <c r="BO60" s="237">
        <f t="shared" si="42"/>
        <v>0</v>
      </c>
      <c r="BP60" s="432">
        <f t="shared" si="43"/>
        <v>0</v>
      </c>
      <c r="BQ60" s="22" t="str">
        <f t="shared" si="44"/>
        <v/>
      </c>
      <c r="BR60" s="250">
        <f t="shared" si="45"/>
        <v>0</v>
      </c>
      <c r="BS60" s="237">
        <f t="shared" si="46"/>
        <v>0</v>
      </c>
      <c r="BT60" s="452">
        <f t="shared" si="47"/>
        <v>12.042</v>
      </c>
      <c r="BU60" s="492">
        <f t="shared" si="48"/>
        <v>1.1749999999999998</v>
      </c>
      <c r="BV60" s="493">
        <f>IF(BT60="","",
IF(AND(BT60&gt;'Данные ТНПА'!$K$8,BT60&lt;='Данные ТНПА'!$L$8),'Данные ТНПА'!$N$8,
IF(AND(BT60&gt;'Данные ТНПА'!$K$9,BT60&lt;='Данные ТНПА'!$L$9),'Данные ТНПА'!$N$9,
IF(AND(BT60&gt;'Данные ТНПА'!$K$10,BT60&lt;='Данные ТНПА'!$L$10),'Данные ТНПА'!$N$10,
IF(AND(BT60&gt;'Данные ТНПА'!$K$11,BT60&lt;='Данные ТНПА'!$L$11),'Данные ТНПА'!$N$11,
IF(AND(BT60&gt;'Данные ТНПА'!$K$12,BT60&lt;='Данные ТНПА'!$L$12),'Данные ТНПА'!$N$12,
IF(AND(BT60&gt;'Данные ТНПА'!$K$13,BT60&lt;='Данные ТНПА'!$L$13),'Данные ТНПА'!$N$13,
IF(AND(BT60&gt;'Данные ТНПА'!$K$14,BT60&lt;='Данные ТНПА'!$L$14),'Данные ТНПА'!$N$14))))))))</f>
        <v>1.5</v>
      </c>
      <c r="BW60" s="493">
        <f t="shared" si="49"/>
        <v>15.042</v>
      </c>
      <c r="BX60" s="457">
        <f t="shared" si="50"/>
        <v>0</v>
      </c>
      <c r="BY60" s="457">
        <f t="shared" si="51"/>
        <v>1566.6402500000002</v>
      </c>
      <c r="BZ60" s="457">
        <f t="shared" si="52"/>
        <v>86.174504250747418</v>
      </c>
      <c r="CA60" s="457" t="e">
        <f t="shared" si="53"/>
        <v>#REF!</v>
      </c>
      <c r="CB60" s="458">
        <f t="shared" si="54"/>
        <v>0</v>
      </c>
      <c r="CC60" s="457">
        <f t="shared" si="55"/>
        <v>0</v>
      </c>
      <c r="CD60" s="457">
        <f t="shared" si="56"/>
        <v>0</v>
      </c>
      <c r="CE60" s="457">
        <f t="shared" si="57"/>
        <v>0</v>
      </c>
      <c r="CF60" s="457">
        <f t="shared" si="58"/>
        <v>0</v>
      </c>
      <c r="CG60" s="458">
        <f t="shared" si="59"/>
        <v>0</v>
      </c>
      <c r="CH60" s="457">
        <f t="shared" si="60"/>
        <v>0</v>
      </c>
      <c r="CI60" s="457">
        <f t="shared" si="61"/>
        <v>0</v>
      </c>
      <c r="CJ60" s="458">
        <f t="shared" si="62"/>
        <v>0</v>
      </c>
      <c r="CK60" s="458">
        <f t="shared" si="63"/>
        <v>92.914889809369939</v>
      </c>
      <c r="CL60" s="457">
        <f t="shared" si="64"/>
        <v>1745.7296440601176</v>
      </c>
      <c r="CM60" s="504"/>
      <c r="CN60" s="504"/>
    </row>
    <row r="61" spans="1:92" s="207" customFormat="1" ht="14.25" hidden="1" customHeight="1" x14ac:dyDescent="0.25">
      <c r="A61" s="389" t="str">
        <f>IF(D61="",CONCATENATE("Кабель ",IF(C61="а","А",""),$A$9),CONCATENATE("Кабель ",IF(C61="а","А",""),$A$9," ",D61,"*",F61,IF(G61="ок"," (ож)","")," - ",B61," ",IF(G61="мс"," фас. ",""),$A$2))</f>
        <v>Кабель ВВГ 5*50 - 0,66 ГОСТ 16442-80</v>
      </c>
      <c r="B61" s="450">
        <v>0.66</v>
      </c>
      <c r="C61" s="451" t="s">
        <v>163</v>
      </c>
      <c r="D61" s="439">
        <v>5</v>
      </c>
      <c r="E61" s="34" t="s">
        <v>40</v>
      </c>
      <c r="F61" s="289">
        <v>50</v>
      </c>
      <c r="G61" s="276" t="s">
        <v>154</v>
      </c>
      <c r="H61" s="460">
        <v>3.1199999999999997</v>
      </c>
      <c r="I61" s="468">
        <v>7</v>
      </c>
      <c r="J61" s="469" t="s">
        <v>40</v>
      </c>
      <c r="K61" s="470">
        <f>ROUNDUP(SQRT(F61/I61/PI()*4*1.07),2)</f>
        <v>3.1199999999999997</v>
      </c>
      <c r="L61" s="501">
        <v>2.7699999999999996</v>
      </c>
      <c r="M61" s="467"/>
      <c r="N61" s="467"/>
      <c r="O61" s="467"/>
      <c r="P61" s="467"/>
      <c r="Q61" s="483">
        <f t="shared" si="0"/>
        <v>1.07</v>
      </c>
      <c r="R61" s="484">
        <f>IF(B61=0.66,VLOOKUP(F61,'Данные ТНПА'!$B$8:$C$16,2,0),
IF(B61=1,VLOOKUP(F61,'Данные ТНПА'!$B$17:$C$37,2,0),"ошибка"))</f>
        <v>1.3</v>
      </c>
      <c r="S61" s="485">
        <f t="shared" si="1"/>
        <v>4.91</v>
      </c>
      <c r="T61" s="486"/>
      <c r="U61" s="487"/>
      <c r="V61" s="485">
        <f t="shared" si="2"/>
        <v>5.3699999999999992</v>
      </c>
      <c r="W61" s="486"/>
      <c r="X61" s="487"/>
      <c r="Y61" s="489">
        <f t="shared" si="3"/>
        <v>3.8</v>
      </c>
      <c r="Z61" s="491">
        <f t="shared" si="4"/>
        <v>14.498999999999999</v>
      </c>
      <c r="AA61" s="237">
        <f t="shared" si="5"/>
        <v>0</v>
      </c>
      <c r="AB61" s="452">
        <f t="shared" si="6"/>
        <v>14.498999999999999</v>
      </c>
      <c r="AC61" s="201">
        <f t="shared" si="7"/>
        <v>0</v>
      </c>
      <c r="AD61" s="203">
        <f t="shared" si="8"/>
        <v>0</v>
      </c>
      <c r="AE61" s="37" t="str">
        <f t="shared" si="9"/>
        <v/>
      </c>
      <c r="AF61" s="202">
        <f t="shared" si="10"/>
        <v>0</v>
      </c>
      <c r="AG61" s="201">
        <f t="shared" si="11"/>
        <v>0</v>
      </c>
      <c r="AH61" s="61">
        <f t="shared" si="12"/>
        <v>14.498999999999999</v>
      </c>
      <c r="AI61" s="443">
        <f t="shared" si="115"/>
        <v>0</v>
      </c>
      <c r="AJ61" s="444">
        <f t="shared" si="13"/>
        <v>0</v>
      </c>
      <c r="AK61" s="445">
        <f t="shared" si="14"/>
        <v>0</v>
      </c>
      <c r="AL61" s="446">
        <f t="shared" si="15"/>
        <v>0</v>
      </c>
      <c r="AM61" s="447">
        <f t="shared" si="16"/>
        <v>0</v>
      </c>
      <c r="AN61" s="24">
        <f t="shared" si="17"/>
        <v>14.498999999999999</v>
      </c>
      <c r="AO61" s="443">
        <f t="shared" si="18"/>
        <v>0</v>
      </c>
      <c r="AP61" s="444">
        <f t="shared" si="19"/>
        <v>0</v>
      </c>
      <c r="AQ61" s="445">
        <f t="shared" si="20"/>
        <v>0</v>
      </c>
      <c r="AR61" s="446">
        <f t="shared" si="21"/>
        <v>0</v>
      </c>
      <c r="AS61" s="447">
        <f t="shared" si="22"/>
        <v>0</v>
      </c>
      <c r="AT61" s="24">
        <f t="shared" si="23"/>
        <v>14.498999999999999</v>
      </c>
      <c r="AU61" s="443">
        <f t="shared" si="24"/>
        <v>0</v>
      </c>
      <c r="AV61" s="444">
        <f t="shared" si="25"/>
        <v>0</v>
      </c>
      <c r="AW61" s="445">
        <f t="shared" si="26"/>
        <v>0</v>
      </c>
      <c r="AX61" s="446">
        <f t="shared" si="27"/>
        <v>0</v>
      </c>
      <c r="AY61" s="447">
        <f t="shared" si="28"/>
        <v>0</v>
      </c>
      <c r="AZ61" s="24">
        <f t="shared" si="29"/>
        <v>14.498999999999999</v>
      </c>
      <c r="BA61" s="43">
        <f>IF(BB61=0,0,
IF(D61=1,
(IF(AND(AH61&gt;'Данные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"ошибка_1"))))))),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"ошибка_2"))))))))</f>
        <v>0</v>
      </c>
      <c r="BB61" s="43">
        <f>IF(OR($AI$9=0,AND(D61&gt;1,F61&gt;10)),0,
IF(D61=1,
(IF(AND(AH61&gt;'Данные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"ошибка_1"))))))),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IF(AND(AH61&gt;'Данные ТНПА'!#REF!,AH61&lt;='Данные ТНПА'!#REF!),'Данные ТНПА'!#REF!,
"ошибка_2"))))))))</f>
        <v>0</v>
      </c>
      <c r="BC61" s="43">
        <f t="shared" si="30"/>
        <v>14.498999999999999</v>
      </c>
      <c r="BD61" s="237">
        <f t="shared" si="31"/>
        <v>0</v>
      </c>
      <c r="BE61" s="43">
        <f t="shared" si="32"/>
        <v>0</v>
      </c>
      <c r="BF61" s="201">
        <f t="shared" si="33"/>
        <v>0</v>
      </c>
      <c r="BG61" s="201">
        <f t="shared" si="34"/>
        <v>0</v>
      </c>
      <c r="BH61" s="61">
        <f t="shared" si="35"/>
        <v>14.498999999999999</v>
      </c>
      <c r="BI61" s="237">
        <f t="shared" si="36"/>
        <v>0</v>
      </c>
      <c r="BJ61" s="247">
        <f t="shared" si="37"/>
        <v>0</v>
      </c>
      <c r="BK61" s="431">
        <f t="shared" si="38"/>
        <v>0</v>
      </c>
      <c r="BL61" s="250">
        <f t="shared" si="39"/>
        <v>0</v>
      </c>
      <c r="BM61" s="237">
        <f t="shared" si="40"/>
        <v>0</v>
      </c>
      <c r="BN61" s="452">
        <f t="shared" si="41"/>
        <v>14.498999999999999</v>
      </c>
      <c r="BO61" s="237">
        <f t="shared" si="42"/>
        <v>0</v>
      </c>
      <c r="BP61" s="432">
        <f t="shared" si="43"/>
        <v>0</v>
      </c>
      <c r="BQ61" s="22" t="str">
        <f t="shared" si="44"/>
        <v/>
      </c>
      <c r="BR61" s="250">
        <f t="shared" si="45"/>
        <v>0</v>
      </c>
      <c r="BS61" s="237">
        <f t="shared" si="46"/>
        <v>0</v>
      </c>
      <c r="BT61" s="452">
        <f t="shared" si="47"/>
        <v>14.498999999999999</v>
      </c>
      <c r="BU61" s="492">
        <f t="shared" si="48"/>
        <v>1.1749999999999998</v>
      </c>
      <c r="BV61" s="493">
        <f>IF(BT61="","",
IF(AND(BT61&gt;'Данные ТНПА'!$K$8,BT61&lt;='Данные ТНПА'!$L$8),'Данные ТНПА'!$N$8,
IF(AND(BT61&gt;'Данные ТНПА'!$K$9,BT61&lt;='Данные ТНПА'!$L$9),'Данные ТНПА'!$N$9,
IF(AND(BT61&gt;'Данные ТНПА'!$K$10,BT61&lt;='Данные ТНПА'!$L$10),'Данные ТНПА'!$N$10,
IF(AND(BT61&gt;'Данные ТНПА'!$K$11,BT61&lt;='Данные ТНПА'!$L$11),'Данные ТНПА'!$N$11,
IF(AND(BT61&gt;'Данные ТНПА'!$K$12,BT61&lt;='Данные ТНПА'!$L$12),'Данные ТНПА'!$N$12,
IF(AND(BT61&gt;'Данные ТНПА'!$K$13,BT61&lt;='Данные ТНПА'!$L$13),'Данные ТНПА'!$N$13,
IF(AND(BT61&gt;'Данные ТНПА'!$K$14,BT61&lt;='Данные ТНПА'!$L$14),'Данные ТНПА'!$N$14))))))))</f>
        <v>1.5</v>
      </c>
      <c r="BW61" s="493">
        <f t="shared" si="49"/>
        <v>17.498999999999999</v>
      </c>
      <c r="BX61" s="457">
        <f t="shared" si="50"/>
        <v>0</v>
      </c>
      <c r="BY61" s="457">
        <f t="shared" si="51"/>
        <v>2238.0574999999999</v>
      </c>
      <c r="BZ61" s="457">
        <f t="shared" si="52"/>
        <v>123.3629063827664</v>
      </c>
      <c r="CA61" s="457" t="e">
        <f t="shared" si="53"/>
        <v>#REF!</v>
      </c>
      <c r="CB61" s="458">
        <f t="shared" si="54"/>
        <v>0</v>
      </c>
      <c r="CC61" s="457">
        <f t="shared" si="55"/>
        <v>0</v>
      </c>
      <c r="CD61" s="457">
        <f t="shared" si="56"/>
        <v>0</v>
      </c>
      <c r="CE61" s="457">
        <f t="shared" si="57"/>
        <v>0</v>
      </c>
      <c r="CF61" s="457">
        <f t="shared" si="58"/>
        <v>0</v>
      </c>
      <c r="CG61" s="458">
        <f t="shared" si="59"/>
        <v>0</v>
      </c>
      <c r="CH61" s="457">
        <f t="shared" si="60"/>
        <v>0</v>
      </c>
      <c r="CI61" s="457">
        <f t="shared" si="61"/>
        <v>0</v>
      </c>
      <c r="CJ61" s="458">
        <f t="shared" si="62"/>
        <v>0</v>
      </c>
      <c r="CK61" s="458">
        <f t="shared" si="63"/>
        <v>109.77295244868628</v>
      </c>
      <c r="CL61" s="457">
        <f t="shared" si="64"/>
        <v>2471.1933588314528</v>
      </c>
      <c r="CM61" s="504"/>
      <c r="CN61" s="504"/>
    </row>
    <row r="62" spans="1:92" s="207" customFormat="1" ht="14.25" hidden="1" customHeight="1" x14ac:dyDescent="0.25">
      <c r="A62" s="389" t="str">
        <f>IF(D62="",CONCATENATE("Кабель ",IF(C62="а","А",""),$A$9),CONCATENATE("Кабель ",IF(C62="а","А",""),$A$9," ",D62,"*",F62,IF(G62="ок"," (ож)","")," - ",B62," ",IF(G62="мс"," фас. ",""),$A$2))</f>
        <v>Кабель ВВГ 5*1,5 (ож) - 0,66 ГОСТ 16442-80</v>
      </c>
      <c r="B62" s="450">
        <v>0.66</v>
      </c>
      <c r="C62" s="451" t="s">
        <v>163</v>
      </c>
      <c r="D62" s="439">
        <v>5</v>
      </c>
      <c r="E62" s="34" t="s">
        <v>40</v>
      </c>
      <c r="F62" s="289">
        <v>1.5</v>
      </c>
      <c r="G62" s="276" t="s">
        <v>153</v>
      </c>
      <c r="H62" s="460">
        <v>1.39</v>
      </c>
      <c r="I62" s="494">
        <v>1</v>
      </c>
      <c r="J62" s="495" t="s">
        <v>40</v>
      </c>
      <c r="K62" s="496">
        <f>ROUNDUP(SQRT(F62/PI()*4),2)</f>
        <v>1.39</v>
      </c>
      <c r="L62" s="501">
        <v>3.57</v>
      </c>
      <c r="M62" s="467"/>
      <c r="N62" s="467"/>
      <c r="O62" s="467"/>
      <c r="P62" s="467"/>
      <c r="Q62" s="483">
        <f t="shared" si="0"/>
        <v>0.44000000000000006</v>
      </c>
      <c r="R62" s="484">
        <f>IF(B62=0.66,VLOOKUP(F62,'Данные ТНПА'!$B$8:$C$16,2,0),
IF(B62=1,VLOOKUP(F62,'Данные ТНПА'!$B$17:$C$37,2,0),"ошибка"))</f>
        <v>0.6</v>
      </c>
      <c r="S62" s="485">
        <f t="shared" si="1"/>
        <v>2.27</v>
      </c>
      <c r="T62" s="486"/>
      <c r="U62" s="487"/>
      <c r="V62" s="485">
        <f t="shared" si="2"/>
        <v>2.59</v>
      </c>
      <c r="W62" s="486"/>
      <c r="X62" s="487"/>
      <c r="Y62" s="489">
        <f t="shared" si="3"/>
        <v>1.8</v>
      </c>
      <c r="Z62" s="491">
        <f t="shared" si="4"/>
        <v>6.9930000000000003</v>
      </c>
      <c r="AA62" s="237">
        <f t="shared" si="5"/>
        <v>0</v>
      </c>
      <c r="AB62" s="452">
        <f t="shared" si="6"/>
        <v>6.9930000000000003</v>
      </c>
      <c r="AC62" s="201">
        <f t="shared" si="7"/>
        <v>0</v>
      </c>
      <c r="AD62" s="203">
        <f t="shared" si="8"/>
        <v>0</v>
      </c>
      <c r="AE62" s="37" t="str">
        <f t="shared" si="9"/>
        <v/>
      </c>
      <c r="AF62" s="202">
        <f t="shared" si="10"/>
        <v>0</v>
      </c>
      <c r="AG62" s="201">
        <f t="shared" si="11"/>
        <v>0</v>
      </c>
      <c r="AH62" s="61">
        <f t="shared" si="12"/>
        <v>6.9930000000000003</v>
      </c>
      <c r="AI62" s="443">
        <f t="shared" si="115"/>
        <v>0</v>
      </c>
      <c r="AJ62" s="444">
        <f t="shared" si="13"/>
        <v>0</v>
      </c>
      <c r="AK62" s="445">
        <f t="shared" si="14"/>
        <v>0</v>
      </c>
      <c r="AL62" s="446">
        <f t="shared" si="15"/>
        <v>0</v>
      </c>
      <c r="AM62" s="447">
        <f t="shared" si="16"/>
        <v>0</v>
      </c>
      <c r="AN62" s="24">
        <f t="shared" si="17"/>
        <v>6.9930000000000003</v>
      </c>
      <c r="AO62" s="443">
        <f t="shared" si="18"/>
        <v>0</v>
      </c>
      <c r="AP62" s="444">
        <f t="shared" si="19"/>
        <v>0</v>
      </c>
      <c r="AQ62" s="445">
        <f t="shared" si="20"/>
        <v>0</v>
      </c>
      <c r="AR62" s="446">
        <f t="shared" si="21"/>
        <v>0</v>
      </c>
      <c r="AS62" s="447">
        <f t="shared" si="22"/>
        <v>0</v>
      </c>
      <c r="AT62" s="24">
        <f t="shared" si="23"/>
        <v>6.9930000000000003</v>
      </c>
      <c r="AU62" s="443">
        <f t="shared" si="24"/>
        <v>0</v>
      </c>
      <c r="AV62" s="444">
        <f t="shared" si="25"/>
        <v>0</v>
      </c>
      <c r="AW62" s="445">
        <f t="shared" si="26"/>
        <v>0</v>
      </c>
      <c r="AX62" s="446">
        <f t="shared" si="27"/>
        <v>0</v>
      </c>
      <c r="AY62" s="447">
        <f t="shared" si="28"/>
        <v>0</v>
      </c>
      <c r="AZ62" s="24">
        <f t="shared" si="29"/>
        <v>6.9930000000000003</v>
      </c>
      <c r="BA62" s="43">
        <f>IF(BB62=0,0,
IF(D62=1,
(IF(AND(AH62&gt;'Данные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"ошибка_1"))))))),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"ошибка_2"))))))))</f>
        <v>0</v>
      </c>
      <c r="BB62" s="43">
        <f>IF(OR($AI$9=0,AND(D62&gt;1,F62&gt;10)),0,
IF(D62=1,
(IF(AND(AH62&gt;'Данные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"ошибка_1"))))))),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IF(AND(AH62&gt;'Данные ТНПА'!#REF!,AH62&lt;='Данные ТНПА'!#REF!),'Данные ТНПА'!#REF!,
"ошибка_2"))))))))</f>
        <v>0</v>
      </c>
      <c r="BC62" s="43">
        <f t="shared" si="30"/>
        <v>6.9930000000000003</v>
      </c>
      <c r="BD62" s="237">
        <f t="shared" si="31"/>
        <v>0</v>
      </c>
      <c r="BE62" s="43">
        <f t="shared" si="32"/>
        <v>0</v>
      </c>
      <c r="BF62" s="201">
        <f t="shared" si="33"/>
        <v>0</v>
      </c>
      <c r="BG62" s="201">
        <f t="shared" si="34"/>
        <v>0</v>
      </c>
      <c r="BH62" s="61">
        <f t="shared" si="35"/>
        <v>6.9930000000000003</v>
      </c>
      <c r="BI62" s="237">
        <f t="shared" si="36"/>
        <v>0</v>
      </c>
      <c r="BJ62" s="247">
        <f t="shared" si="37"/>
        <v>0</v>
      </c>
      <c r="BK62" s="431">
        <f t="shared" si="38"/>
        <v>0</v>
      </c>
      <c r="BL62" s="250">
        <f t="shared" si="39"/>
        <v>0</v>
      </c>
      <c r="BM62" s="237">
        <f t="shared" si="40"/>
        <v>0</v>
      </c>
      <c r="BN62" s="452">
        <f t="shared" si="41"/>
        <v>6.9930000000000003</v>
      </c>
      <c r="BO62" s="237">
        <f t="shared" si="42"/>
        <v>0</v>
      </c>
      <c r="BP62" s="432">
        <f t="shared" si="43"/>
        <v>0</v>
      </c>
      <c r="BQ62" s="22" t="str">
        <f t="shared" si="44"/>
        <v/>
      </c>
      <c r="BR62" s="250">
        <f t="shared" si="45"/>
        <v>0</v>
      </c>
      <c r="BS62" s="237">
        <f t="shared" si="46"/>
        <v>0</v>
      </c>
      <c r="BT62" s="452">
        <f t="shared" si="47"/>
        <v>6.9930000000000003</v>
      </c>
      <c r="BU62" s="492">
        <f t="shared" si="48"/>
        <v>1.1749999999999998</v>
      </c>
      <c r="BV62" s="493">
        <f>IF(BT62="","",
IF(AND(BT62&gt;'Данные ТНПА'!$K$8,BT62&lt;='Данные ТНПА'!$L$8),'Данные ТНПА'!$N$8,
IF(AND(BT62&gt;'Данные ТНПА'!$K$9,BT62&lt;='Данные ТНПА'!$L$9),'Данные ТНПА'!$N$9,
IF(AND(BT62&gt;'Данные ТНПА'!$K$10,BT62&lt;='Данные ТНПА'!$L$10),'Данные ТНПА'!$N$10,
IF(AND(BT62&gt;'Данные ТНПА'!$K$11,BT62&lt;='Данные ТНПА'!$L$11),'Данные ТНПА'!$N$11,
IF(AND(BT62&gt;'Данные ТНПА'!$K$12,BT62&lt;='Данные ТНПА'!$L$12),'Данные ТНПА'!$N$12,
IF(AND(BT62&gt;'Данные ТНПА'!$K$13,BT62&lt;='Данные ТНПА'!$L$13),'Данные ТНПА'!$N$13,
IF(AND(BT62&gt;'Данные ТНПА'!$K$14,BT62&lt;='Данные ТНПА'!$L$14),'Данные ТНПА'!$N$14))))))))</f>
        <v>1.5</v>
      </c>
      <c r="BW62" s="493">
        <f t="shared" si="49"/>
        <v>9.9930000000000003</v>
      </c>
      <c r="BX62" s="457">
        <f t="shared" si="50"/>
        <v>0</v>
      </c>
      <c r="BY62" s="457">
        <f t="shared" si="51"/>
        <v>67.141725000000008</v>
      </c>
      <c r="BZ62" s="457">
        <f t="shared" si="52"/>
        <v>25.308037700558938</v>
      </c>
      <c r="CA62" s="457" t="e">
        <f t="shared" si="53"/>
        <v>#REF!</v>
      </c>
      <c r="CB62" s="458">
        <f t="shared" si="54"/>
        <v>0</v>
      </c>
      <c r="CC62" s="457">
        <f t="shared" si="55"/>
        <v>0</v>
      </c>
      <c r="CD62" s="457">
        <f t="shared" si="56"/>
        <v>0</v>
      </c>
      <c r="CE62" s="457">
        <f t="shared" si="57"/>
        <v>0</v>
      </c>
      <c r="CF62" s="457">
        <f t="shared" si="58"/>
        <v>0</v>
      </c>
      <c r="CG62" s="458">
        <f t="shared" si="59"/>
        <v>0</v>
      </c>
      <c r="CH62" s="457">
        <f t="shared" si="60"/>
        <v>0</v>
      </c>
      <c r="CI62" s="457">
        <f t="shared" si="61"/>
        <v>0</v>
      </c>
      <c r="CJ62" s="458">
        <f t="shared" si="62"/>
        <v>0</v>
      </c>
      <c r="CK62" s="458">
        <f t="shared" si="63"/>
        <v>58.272497352752843</v>
      </c>
      <c r="CL62" s="457">
        <f t="shared" si="64"/>
        <v>150.7222600533118</v>
      </c>
      <c r="CM62" s="504"/>
      <c r="CN62" s="504"/>
    </row>
    <row r="63" spans="1:92" s="207" customFormat="1" ht="14.25" hidden="1" customHeight="1" x14ac:dyDescent="0.25">
      <c r="A63" s="389" t="str">
        <f>IF(D63="",CONCATENATE("Кабель ",IF(C63="а","А",""),$A$9),CONCATENATE("Кабель ",IF(C63="а","А",""),$A$9," ",D63,"*",F63,IF(G63="ок"," (ож)","")," - ",B63," ",IF(G63="мс"," фас. ",""),$A$2))</f>
        <v>Кабель ВВГ 5*2,5 (ож) - 0,66 ГОСТ 16442-80</v>
      </c>
      <c r="B63" s="450">
        <v>0.66</v>
      </c>
      <c r="C63" s="451" t="s">
        <v>163</v>
      </c>
      <c r="D63" s="439">
        <v>5</v>
      </c>
      <c r="E63" s="34" t="s">
        <v>40</v>
      </c>
      <c r="F63" s="289">
        <v>2.5</v>
      </c>
      <c r="G63" s="276" t="s">
        <v>153</v>
      </c>
      <c r="H63" s="460">
        <v>1.79</v>
      </c>
      <c r="I63" s="494">
        <v>1</v>
      </c>
      <c r="J63" s="495" t="s">
        <v>40</v>
      </c>
      <c r="K63" s="496">
        <f>ROUNDUP(SQRT(F63/PI()*4),2)</f>
        <v>1.79</v>
      </c>
      <c r="L63" s="501">
        <v>4.5199999999999996</v>
      </c>
      <c r="M63" s="467"/>
      <c r="N63" s="467"/>
      <c r="O63" s="467"/>
      <c r="P63" s="467"/>
      <c r="Q63" s="483">
        <f t="shared" si="0"/>
        <v>0.44000000000000006</v>
      </c>
      <c r="R63" s="484">
        <f>IF(B63=0.66,VLOOKUP(F63,'Данные ТНПА'!$B$8:$C$16,2,0),
IF(B63=1,VLOOKUP(F63,'Данные ТНПА'!$B$17:$C$37,2,0),"ошибка"))</f>
        <v>0.6</v>
      </c>
      <c r="S63" s="485">
        <f t="shared" si="1"/>
        <v>2.67</v>
      </c>
      <c r="T63" s="486"/>
      <c r="U63" s="487"/>
      <c r="V63" s="485">
        <f t="shared" si="2"/>
        <v>2.99</v>
      </c>
      <c r="W63" s="486"/>
      <c r="X63" s="487"/>
      <c r="Y63" s="489">
        <f t="shared" si="3"/>
        <v>2.1</v>
      </c>
      <c r="Z63" s="491">
        <f t="shared" si="4"/>
        <v>8.0730000000000004</v>
      </c>
      <c r="AA63" s="237">
        <f t="shared" si="5"/>
        <v>0</v>
      </c>
      <c r="AB63" s="452">
        <f t="shared" si="6"/>
        <v>8.0730000000000004</v>
      </c>
      <c r="AC63" s="201">
        <f t="shared" si="7"/>
        <v>0</v>
      </c>
      <c r="AD63" s="203">
        <f t="shared" si="8"/>
        <v>0</v>
      </c>
      <c r="AE63" s="37" t="str">
        <f t="shared" si="9"/>
        <v/>
      </c>
      <c r="AF63" s="202">
        <f t="shared" si="10"/>
        <v>0</v>
      </c>
      <c r="AG63" s="201">
        <f t="shared" si="11"/>
        <v>0</v>
      </c>
      <c r="AH63" s="61">
        <f t="shared" si="12"/>
        <v>8.0730000000000004</v>
      </c>
      <c r="AI63" s="443">
        <f t="shared" si="115"/>
        <v>0</v>
      </c>
      <c r="AJ63" s="444">
        <f t="shared" si="13"/>
        <v>0</v>
      </c>
      <c r="AK63" s="445">
        <f t="shared" si="14"/>
        <v>0</v>
      </c>
      <c r="AL63" s="446">
        <f t="shared" si="15"/>
        <v>0</v>
      </c>
      <c r="AM63" s="447">
        <f t="shared" si="16"/>
        <v>0</v>
      </c>
      <c r="AN63" s="24">
        <f t="shared" si="17"/>
        <v>8.0730000000000004</v>
      </c>
      <c r="AO63" s="443">
        <f t="shared" si="18"/>
        <v>0</v>
      </c>
      <c r="AP63" s="444">
        <f t="shared" si="19"/>
        <v>0</v>
      </c>
      <c r="AQ63" s="445">
        <f t="shared" si="20"/>
        <v>0</v>
      </c>
      <c r="AR63" s="446">
        <f t="shared" si="21"/>
        <v>0</v>
      </c>
      <c r="AS63" s="447">
        <f t="shared" si="22"/>
        <v>0</v>
      </c>
      <c r="AT63" s="24">
        <f t="shared" si="23"/>
        <v>8.0730000000000004</v>
      </c>
      <c r="AU63" s="443">
        <f t="shared" si="24"/>
        <v>0</v>
      </c>
      <c r="AV63" s="444">
        <f t="shared" si="25"/>
        <v>0</v>
      </c>
      <c r="AW63" s="445">
        <f t="shared" si="26"/>
        <v>0</v>
      </c>
      <c r="AX63" s="446">
        <f t="shared" si="27"/>
        <v>0</v>
      </c>
      <c r="AY63" s="447">
        <f t="shared" si="28"/>
        <v>0</v>
      </c>
      <c r="AZ63" s="24">
        <f t="shared" si="29"/>
        <v>8.0730000000000004</v>
      </c>
      <c r="BA63" s="43">
        <f>IF(BB63=0,0,
IF(D63=1,
(IF(AND(AH63&gt;'Данные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"ошибка_1"))))))),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"ошибка_2"))))))))</f>
        <v>0</v>
      </c>
      <c r="BB63" s="43">
        <f>IF(OR($AI$9=0,AND(D63&gt;1,F63&gt;10)),0,
IF(D63=1,
(IF(AND(AH63&gt;'Данные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"ошибка_1"))))))),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IF(AND(AH63&gt;'Данные ТНПА'!#REF!,AH63&lt;='Данные ТНПА'!#REF!),'Данные ТНПА'!#REF!,
"ошибка_2"))))))))</f>
        <v>0</v>
      </c>
      <c r="BC63" s="43">
        <f t="shared" si="30"/>
        <v>8.0730000000000004</v>
      </c>
      <c r="BD63" s="237">
        <f t="shared" si="31"/>
        <v>0</v>
      </c>
      <c r="BE63" s="43">
        <f t="shared" si="32"/>
        <v>0</v>
      </c>
      <c r="BF63" s="201">
        <f t="shared" si="33"/>
        <v>0</v>
      </c>
      <c r="BG63" s="201">
        <f t="shared" si="34"/>
        <v>0</v>
      </c>
      <c r="BH63" s="61">
        <f t="shared" si="35"/>
        <v>8.0730000000000004</v>
      </c>
      <c r="BI63" s="237">
        <f t="shared" si="36"/>
        <v>0</v>
      </c>
      <c r="BJ63" s="247">
        <f t="shared" si="37"/>
        <v>0</v>
      </c>
      <c r="BK63" s="431">
        <f t="shared" si="38"/>
        <v>0</v>
      </c>
      <c r="BL63" s="250">
        <f t="shared" si="39"/>
        <v>0</v>
      </c>
      <c r="BM63" s="237">
        <f t="shared" si="40"/>
        <v>0</v>
      </c>
      <c r="BN63" s="452">
        <f t="shared" si="41"/>
        <v>8.0730000000000004</v>
      </c>
      <c r="BO63" s="237">
        <f t="shared" si="42"/>
        <v>0</v>
      </c>
      <c r="BP63" s="432">
        <f t="shared" si="43"/>
        <v>0</v>
      </c>
      <c r="BQ63" s="22" t="str">
        <f t="shared" si="44"/>
        <v/>
      </c>
      <c r="BR63" s="250">
        <f t="shared" si="45"/>
        <v>0</v>
      </c>
      <c r="BS63" s="237">
        <f t="shared" si="46"/>
        <v>0</v>
      </c>
      <c r="BT63" s="452">
        <f t="shared" si="47"/>
        <v>8.0730000000000004</v>
      </c>
      <c r="BU63" s="492">
        <f t="shared" si="48"/>
        <v>1.1749999999999998</v>
      </c>
      <c r="BV63" s="493">
        <f>IF(BT63="","",
IF(AND(BT63&gt;'Данные ТНПА'!$K$8,BT63&lt;='Данные ТНПА'!$L$8),'Данные ТНПА'!$N$8,
IF(AND(BT63&gt;'Данные ТНПА'!$K$9,BT63&lt;='Данные ТНПА'!$L$9),'Данные ТНПА'!$N$9,
IF(AND(BT63&gt;'Данные ТНПА'!$K$10,BT63&lt;='Данные ТНПА'!$L$10),'Данные ТНПА'!$N$10,
IF(AND(BT63&gt;'Данные ТНПА'!$K$11,BT63&lt;='Данные ТНПА'!$L$11),'Данные ТНПА'!$N$11,
IF(AND(BT63&gt;'Данные ТНПА'!$K$12,BT63&lt;='Данные ТНПА'!$L$12),'Данные ТНПА'!$N$12,
IF(AND(BT63&gt;'Данные ТНПА'!$K$13,BT63&lt;='Данные ТНПА'!$L$13),'Данные ТНПА'!$N$13,
IF(AND(BT63&gt;'Данные ТНПА'!$K$14,BT63&lt;='Данные ТНПА'!$L$14),'Данные ТНПА'!$N$14))))))))</f>
        <v>1.5</v>
      </c>
      <c r="BW63" s="493">
        <f t="shared" si="49"/>
        <v>11.073</v>
      </c>
      <c r="BX63" s="457">
        <f t="shared" si="50"/>
        <v>0</v>
      </c>
      <c r="BY63" s="457">
        <f t="shared" si="51"/>
        <v>111.90287499999999</v>
      </c>
      <c r="BZ63" s="457">
        <f t="shared" si="52"/>
        <v>30.39508045444013</v>
      </c>
      <c r="CA63" s="457" t="e">
        <f t="shared" si="53"/>
        <v>#REF!</v>
      </c>
      <c r="CB63" s="458">
        <f t="shared" si="54"/>
        <v>0</v>
      </c>
      <c r="CC63" s="457">
        <f t="shared" si="55"/>
        <v>0</v>
      </c>
      <c r="CD63" s="457">
        <f t="shared" si="56"/>
        <v>0</v>
      </c>
      <c r="CE63" s="457">
        <f t="shared" si="57"/>
        <v>0</v>
      </c>
      <c r="CF63" s="457">
        <f t="shared" si="58"/>
        <v>0</v>
      </c>
      <c r="CG63" s="458">
        <f t="shared" si="59"/>
        <v>0</v>
      </c>
      <c r="CH63" s="457">
        <f t="shared" si="60"/>
        <v>0</v>
      </c>
      <c r="CI63" s="457">
        <f t="shared" si="61"/>
        <v>0</v>
      </c>
      <c r="CJ63" s="458">
        <f t="shared" si="62"/>
        <v>0</v>
      </c>
      <c r="CK63" s="458">
        <f t="shared" si="63"/>
        <v>65.682634776628149</v>
      </c>
      <c r="CL63" s="457">
        <f t="shared" si="64"/>
        <v>207.98059023106828</v>
      </c>
      <c r="CM63" s="504"/>
      <c r="CN63" s="504"/>
    </row>
    <row r="64" spans="1:92" s="207" customFormat="1" ht="14.25" hidden="1" customHeight="1" x14ac:dyDescent="0.25">
      <c r="A64" s="389" t="str">
        <f>IF(D64="",CONCATENATE("Кабель ",IF(C64="а","А",""),$A$9),CONCATENATE("Кабель ",IF(C64="а","А",""),$A$9," ",D64,"*",F64,IF(G64="ок"," (ож)","")," - ",B64," ",IF(G64="мс"," фас. ",""),$A$2))</f>
        <v>Кабель ВВГ 5*4 (ож) - 0,66 ГОСТ 16442-80</v>
      </c>
      <c r="B64" s="450">
        <v>0.66</v>
      </c>
      <c r="C64" s="451" t="s">
        <v>163</v>
      </c>
      <c r="D64" s="439">
        <v>5</v>
      </c>
      <c r="E64" s="34" t="s">
        <v>40</v>
      </c>
      <c r="F64" s="289">
        <v>4</v>
      </c>
      <c r="G64" s="276" t="s">
        <v>153</v>
      </c>
      <c r="H64" s="460">
        <v>2.2599999999999998</v>
      </c>
      <c r="I64" s="494">
        <v>1</v>
      </c>
      <c r="J64" s="495" t="s">
        <v>40</v>
      </c>
      <c r="K64" s="496">
        <f>ROUNDUP(SQRT(F64/PI()*4),2)</f>
        <v>2.2599999999999998</v>
      </c>
      <c r="L64" s="501">
        <v>4.79</v>
      </c>
      <c r="M64" s="471"/>
      <c r="N64" s="471"/>
      <c r="O64" s="471"/>
      <c r="P64" s="471"/>
      <c r="Q64" s="483">
        <f t="shared" si="0"/>
        <v>0.53</v>
      </c>
      <c r="R64" s="484">
        <f>IF(B64=0.66,VLOOKUP(F64,'Данные ТНПА'!$B$8:$C$16,2,0),
IF(B64=1,VLOOKUP(F64,'Данные ТНПА'!$B$17:$C$37,2,0),"ошибка"))</f>
        <v>0.7</v>
      </c>
      <c r="S64" s="485">
        <f t="shared" si="1"/>
        <v>3.32</v>
      </c>
      <c r="T64" s="486"/>
      <c r="U64" s="487"/>
      <c r="V64" s="485">
        <f t="shared" si="2"/>
        <v>3.6599999999999997</v>
      </c>
      <c r="W64" s="486"/>
      <c r="X64" s="487"/>
      <c r="Y64" s="489">
        <f t="shared" si="3"/>
        <v>2.6</v>
      </c>
      <c r="Z64" s="491">
        <f t="shared" si="4"/>
        <v>9.8819999999999997</v>
      </c>
      <c r="AA64" s="237">
        <f t="shared" si="5"/>
        <v>0</v>
      </c>
      <c r="AB64" s="452">
        <f t="shared" si="6"/>
        <v>9.8819999999999997</v>
      </c>
      <c r="AC64" s="201">
        <f t="shared" si="7"/>
        <v>0</v>
      </c>
      <c r="AD64" s="203">
        <f t="shared" si="8"/>
        <v>0</v>
      </c>
      <c r="AE64" s="37" t="str">
        <f t="shared" si="9"/>
        <v/>
      </c>
      <c r="AF64" s="202">
        <f t="shared" si="10"/>
        <v>0</v>
      </c>
      <c r="AG64" s="201">
        <f t="shared" si="11"/>
        <v>0</v>
      </c>
      <c r="AH64" s="61">
        <f t="shared" si="12"/>
        <v>9.8819999999999997</v>
      </c>
      <c r="AI64" s="443">
        <f t="shared" si="115"/>
        <v>0</v>
      </c>
      <c r="AJ64" s="444">
        <f t="shared" si="13"/>
        <v>0</v>
      </c>
      <c r="AK64" s="445">
        <f t="shared" si="14"/>
        <v>0</v>
      </c>
      <c r="AL64" s="446">
        <f t="shared" si="15"/>
        <v>0</v>
      </c>
      <c r="AM64" s="447">
        <f t="shared" si="16"/>
        <v>0</v>
      </c>
      <c r="AN64" s="24">
        <f t="shared" si="17"/>
        <v>9.8819999999999997</v>
      </c>
      <c r="AO64" s="443">
        <f t="shared" si="18"/>
        <v>0</v>
      </c>
      <c r="AP64" s="444">
        <f t="shared" si="19"/>
        <v>0</v>
      </c>
      <c r="AQ64" s="445">
        <f t="shared" si="20"/>
        <v>0</v>
      </c>
      <c r="AR64" s="446">
        <f t="shared" si="21"/>
        <v>0</v>
      </c>
      <c r="AS64" s="447">
        <f t="shared" si="22"/>
        <v>0</v>
      </c>
      <c r="AT64" s="24">
        <f t="shared" si="23"/>
        <v>9.8819999999999997</v>
      </c>
      <c r="AU64" s="443">
        <f t="shared" si="24"/>
        <v>0</v>
      </c>
      <c r="AV64" s="444">
        <f t="shared" si="25"/>
        <v>0</v>
      </c>
      <c r="AW64" s="445">
        <f t="shared" si="26"/>
        <v>0</v>
      </c>
      <c r="AX64" s="446">
        <f t="shared" si="27"/>
        <v>0</v>
      </c>
      <c r="AY64" s="447">
        <f t="shared" si="28"/>
        <v>0</v>
      </c>
      <c r="AZ64" s="24">
        <f t="shared" si="29"/>
        <v>9.8819999999999997</v>
      </c>
      <c r="BA64" s="43">
        <f>IF(BB64=0,0,
IF(D64=1,
(IF(AND(AH64&gt;'Данные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"ошибка_1"))))))),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"ошибка_2"))))))))</f>
        <v>0</v>
      </c>
      <c r="BB64" s="43">
        <f>IF(OR($AI$9=0,AND(D64&gt;1,F64&gt;10)),0,
IF(D64=1,
(IF(AND(AH64&gt;'Данные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"ошибка_1"))))))),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IF(AND(AH64&gt;'Данные ТНПА'!#REF!,AH64&lt;='Данные ТНПА'!#REF!),'Данные ТНПА'!#REF!,
"ошибка_2"))))))))</f>
        <v>0</v>
      </c>
      <c r="BC64" s="43">
        <f t="shared" si="30"/>
        <v>9.8819999999999997</v>
      </c>
      <c r="BD64" s="237">
        <f t="shared" si="31"/>
        <v>0</v>
      </c>
      <c r="BE64" s="43">
        <f t="shared" si="32"/>
        <v>0</v>
      </c>
      <c r="BF64" s="201">
        <f t="shared" si="33"/>
        <v>0</v>
      </c>
      <c r="BG64" s="201">
        <f t="shared" si="34"/>
        <v>0</v>
      </c>
      <c r="BH64" s="61">
        <f t="shared" si="35"/>
        <v>9.8819999999999997</v>
      </c>
      <c r="BI64" s="237">
        <f t="shared" si="36"/>
        <v>0</v>
      </c>
      <c r="BJ64" s="247">
        <f t="shared" si="37"/>
        <v>0</v>
      </c>
      <c r="BK64" s="431">
        <f t="shared" si="38"/>
        <v>0</v>
      </c>
      <c r="BL64" s="250">
        <f t="shared" si="39"/>
        <v>0</v>
      </c>
      <c r="BM64" s="237">
        <f t="shared" si="40"/>
        <v>0</v>
      </c>
      <c r="BN64" s="452">
        <f t="shared" si="41"/>
        <v>9.8819999999999997</v>
      </c>
      <c r="BO64" s="237">
        <f t="shared" si="42"/>
        <v>0</v>
      </c>
      <c r="BP64" s="432">
        <f t="shared" si="43"/>
        <v>0</v>
      </c>
      <c r="BQ64" s="22" t="str">
        <f t="shared" si="44"/>
        <v/>
      </c>
      <c r="BR64" s="250">
        <f t="shared" si="45"/>
        <v>0</v>
      </c>
      <c r="BS64" s="237">
        <f t="shared" si="46"/>
        <v>0</v>
      </c>
      <c r="BT64" s="452">
        <f t="shared" si="47"/>
        <v>9.8819999999999997</v>
      </c>
      <c r="BU64" s="492">
        <f t="shared" si="48"/>
        <v>1.1749999999999998</v>
      </c>
      <c r="BV64" s="493">
        <f>IF(BT64="","",
IF(AND(BT64&gt;'Данные ТНПА'!$K$8,BT64&lt;='Данные ТНПА'!$L$8),'Данные ТНПА'!$N$8,
IF(AND(BT64&gt;'Данные ТНПА'!$K$9,BT64&lt;='Данные ТНПА'!$L$9),'Данные ТНПА'!$N$9,
IF(AND(BT64&gt;'Данные ТНПА'!$K$10,BT64&lt;='Данные ТНПА'!$L$10),'Данные ТНПА'!$N$10,
IF(AND(BT64&gt;'Данные ТНПА'!$K$11,BT64&lt;='Данные ТНПА'!$L$11),'Данные ТНПА'!$N$11,
IF(AND(BT64&gt;'Данные ТНПА'!$K$12,BT64&lt;='Данные ТНПА'!$L$12),'Данные ТНПА'!$N$12,
IF(AND(BT64&gt;'Данные ТНПА'!$K$13,BT64&lt;='Данные ТНПА'!$L$13),'Данные ТНПА'!$N$13,
IF(AND(BT64&gt;'Данные ТНПА'!$K$14,BT64&lt;='Данные ТНПА'!$L$14),'Данные ТНПА'!$N$14))))))))</f>
        <v>1.5</v>
      </c>
      <c r="BW64" s="493">
        <f t="shared" si="49"/>
        <v>12.882</v>
      </c>
      <c r="BX64" s="457">
        <f t="shared" si="50"/>
        <v>0</v>
      </c>
      <c r="BY64" s="457">
        <f t="shared" si="51"/>
        <v>179.0446</v>
      </c>
      <c r="BZ64" s="457">
        <f t="shared" si="52"/>
        <v>43.918135775174306</v>
      </c>
      <c r="CA64" s="457" t="e">
        <f t="shared" si="53"/>
        <v>#REF!</v>
      </c>
      <c r="CB64" s="458">
        <f t="shared" si="54"/>
        <v>0</v>
      </c>
      <c r="CC64" s="457">
        <f t="shared" si="55"/>
        <v>0</v>
      </c>
      <c r="CD64" s="457">
        <f t="shared" si="56"/>
        <v>0</v>
      </c>
      <c r="CE64" s="457">
        <f t="shared" si="57"/>
        <v>0</v>
      </c>
      <c r="CF64" s="457">
        <f t="shared" si="58"/>
        <v>0</v>
      </c>
      <c r="CG64" s="458">
        <f t="shared" si="59"/>
        <v>0</v>
      </c>
      <c r="CH64" s="457">
        <f t="shared" si="60"/>
        <v>0</v>
      </c>
      <c r="CI64" s="457">
        <f t="shared" si="61"/>
        <v>0</v>
      </c>
      <c r="CJ64" s="458">
        <f t="shared" si="62"/>
        <v>0</v>
      </c>
      <c r="CK64" s="458">
        <f t="shared" si="63"/>
        <v>78.0946149616193</v>
      </c>
      <c r="CL64" s="457">
        <f t="shared" si="64"/>
        <v>301.05735073679364</v>
      </c>
      <c r="CM64" s="504"/>
      <c r="CN64" s="504"/>
    </row>
    <row r="65" spans="1:92" s="207" customFormat="1" ht="14.25" hidden="1" customHeight="1" x14ac:dyDescent="0.25">
      <c r="A65" s="389" t="str">
        <f>IF(D65="",CONCATENATE("Кабель ",IF(C65="а","А",""),$A$9),CONCATENATE("Кабель ",IF(C65="а","А",""),$A$9," ",D65,"*",F65,IF(G65="ок"," (ож)","")," - ",B65," ",IF(G65="мс"," фас. ",""),$A$2))</f>
        <v>Кабель ВВГ 5*6 (ож) - 0,66 ГОСТ 16442-80</v>
      </c>
      <c r="B65" s="450">
        <v>0.66</v>
      </c>
      <c r="C65" s="451" t="s">
        <v>163</v>
      </c>
      <c r="D65" s="439">
        <v>5</v>
      </c>
      <c r="E65" s="34" t="s">
        <v>40</v>
      </c>
      <c r="F65" s="289">
        <v>6</v>
      </c>
      <c r="G65" s="276" t="s">
        <v>153</v>
      </c>
      <c r="H65" s="460">
        <v>2.7699999999999996</v>
      </c>
      <c r="I65" s="494">
        <v>1</v>
      </c>
      <c r="J65" s="495" t="s">
        <v>40</v>
      </c>
      <c r="K65" s="496">
        <f>ROUNDUP(SQRT(F65/PI()*4),2)</f>
        <v>2.7699999999999996</v>
      </c>
      <c r="L65" s="501">
        <v>5.6499999999999995</v>
      </c>
      <c r="M65" s="467"/>
      <c r="N65" s="467"/>
      <c r="O65" s="467"/>
      <c r="P65" s="467"/>
      <c r="Q65" s="483">
        <f t="shared" si="0"/>
        <v>0.53</v>
      </c>
      <c r="R65" s="484">
        <f>IF(B65=0.66,VLOOKUP(F65,'Данные ТНПА'!$B$8:$C$16,2,0),
IF(B65=1,VLOOKUP(F65,'Данные ТНПА'!$B$17:$C$37,2,0),"ошибка"))</f>
        <v>0.7</v>
      </c>
      <c r="S65" s="485">
        <f t="shared" si="1"/>
        <v>3.8299999999999996</v>
      </c>
      <c r="T65" s="486"/>
      <c r="U65" s="487"/>
      <c r="V65" s="485">
        <f t="shared" si="2"/>
        <v>4.17</v>
      </c>
      <c r="W65" s="486"/>
      <c r="X65" s="487"/>
      <c r="Y65" s="489">
        <f t="shared" si="3"/>
        <v>2.9</v>
      </c>
      <c r="Z65" s="491">
        <f t="shared" si="4"/>
        <v>11.259</v>
      </c>
      <c r="AA65" s="237">
        <f t="shared" si="5"/>
        <v>0</v>
      </c>
      <c r="AB65" s="452">
        <f t="shared" si="6"/>
        <v>11.259</v>
      </c>
      <c r="AC65" s="201">
        <f t="shared" si="7"/>
        <v>0</v>
      </c>
      <c r="AD65" s="203">
        <f t="shared" si="8"/>
        <v>0</v>
      </c>
      <c r="AE65" s="37" t="str">
        <f t="shared" si="9"/>
        <v/>
      </c>
      <c r="AF65" s="202">
        <f t="shared" si="10"/>
        <v>0</v>
      </c>
      <c r="AG65" s="201">
        <f t="shared" si="11"/>
        <v>0</v>
      </c>
      <c r="AH65" s="61">
        <f t="shared" si="12"/>
        <v>11.259</v>
      </c>
      <c r="AI65" s="443">
        <f t="shared" si="115"/>
        <v>0</v>
      </c>
      <c r="AJ65" s="444">
        <f t="shared" si="13"/>
        <v>0</v>
      </c>
      <c r="AK65" s="445">
        <f t="shared" si="14"/>
        <v>0</v>
      </c>
      <c r="AL65" s="446">
        <f t="shared" si="15"/>
        <v>0</v>
      </c>
      <c r="AM65" s="447">
        <f t="shared" si="16"/>
        <v>0</v>
      </c>
      <c r="AN65" s="24">
        <f t="shared" si="17"/>
        <v>11.259</v>
      </c>
      <c r="AO65" s="443">
        <f t="shared" si="18"/>
        <v>0</v>
      </c>
      <c r="AP65" s="444">
        <f t="shared" si="19"/>
        <v>0</v>
      </c>
      <c r="AQ65" s="445">
        <f t="shared" si="20"/>
        <v>0</v>
      </c>
      <c r="AR65" s="446">
        <f t="shared" si="21"/>
        <v>0</v>
      </c>
      <c r="AS65" s="447">
        <f t="shared" si="22"/>
        <v>0</v>
      </c>
      <c r="AT65" s="24">
        <f t="shared" si="23"/>
        <v>11.259</v>
      </c>
      <c r="AU65" s="443">
        <f t="shared" si="24"/>
        <v>0</v>
      </c>
      <c r="AV65" s="444">
        <f t="shared" si="25"/>
        <v>0</v>
      </c>
      <c r="AW65" s="445">
        <f t="shared" si="26"/>
        <v>0</v>
      </c>
      <c r="AX65" s="446">
        <f t="shared" si="27"/>
        <v>0</v>
      </c>
      <c r="AY65" s="447">
        <f t="shared" si="28"/>
        <v>0</v>
      </c>
      <c r="AZ65" s="24">
        <f t="shared" si="29"/>
        <v>11.259</v>
      </c>
      <c r="BA65" s="43">
        <f>IF(BB65=0,0,
IF(D65=1,
(IF(AND(AH65&gt;'Данные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"ошибка_1"))))))),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"ошибка_2"))))))))</f>
        <v>0</v>
      </c>
      <c r="BB65" s="43">
        <f>IF(OR($AI$9=0,AND(D65&gt;1,F65&gt;10)),0,
IF(D65=1,
(IF(AND(AH65&gt;'Данные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"ошибка_1"))))))),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IF(AND(AH65&gt;'Данные ТНПА'!#REF!,AH65&lt;='Данные ТНПА'!#REF!),'Данные ТНПА'!#REF!,
"ошибка_2"))))))))</f>
        <v>0</v>
      </c>
      <c r="BC65" s="43">
        <f t="shared" si="30"/>
        <v>11.259</v>
      </c>
      <c r="BD65" s="237">
        <f t="shared" si="31"/>
        <v>0</v>
      </c>
      <c r="BE65" s="43">
        <f t="shared" si="32"/>
        <v>0</v>
      </c>
      <c r="BF65" s="201">
        <f t="shared" si="33"/>
        <v>0</v>
      </c>
      <c r="BG65" s="201">
        <f t="shared" si="34"/>
        <v>0</v>
      </c>
      <c r="BH65" s="61">
        <f t="shared" si="35"/>
        <v>11.259</v>
      </c>
      <c r="BI65" s="237">
        <f t="shared" si="36"/>
        <v>0</v>
      </c>
      <c r="BJ65" s="247">
        <f t="shared" si="37"/>
        <v>0</v>
      </c>
      <c r="BK65" s="431">
        <f t="shared" si="38"/>
        <v>0</v>
      </c>
      <c r="BL65" s="250">
        <f t="shared" si="39"/>
        <v>0</v>
      </c>
      <c r="BM65" s="237">
        <f t="shared" si="40"/>
        <v>0</v>
      </c>
      <c r="BN65" s="452">
        <f t="shared" si="41"/>
        <v>11.259</v>
      </c>
      <c r="BO65" s="237">
        <f t="shared" si="42"/>
        <v>0</v>
      </c>
      <c r="BP65" s="432">
        <f t="shared" si="43"/>
        <v>0</v>
      </c>
      <c r="BQ65" s="22" t="str">
        <f t="shared" si="44"/>
        <v/>
      </c>
      <c r="BR65" s="250">
        <f t="shared" si="45"/>
        <v>0</v>
      </c>
      <c r="BS65" s="237">
        <f t="shared" si="46"/>
        <v>0</v>
      </c>
      <c r="BT65" s="452">
        <f t="shared" si="47"/>
        <v>11.259</v>
      </c>
      <c r="BU65" s="492">
        <f t="shared" si="48"/>
        <v>1.1749999999999998</v>
      </c>
      <c r="BV65" s="493">
        <f>IF(BT65="","",
IF(AND(BT65&gt;'Данные ТНПА'!$K$8,BT65&lt;='Данные ТНПА'!$L$8),'Данные ТНПА'!$N$8,
IF(AND(BT65&gt;'Данные ТНПА'!$K$9,BT65&lt;='Данные ТНПА'!$L$9),'Данные ТНПА'!$N$9,
IF(AND(BT65&gt;'Данные ТНПА'!$K$10,BT65&lt;='Данные ТНПА'!$L$10),'Данные ТНПА'!$N$10,
IF(AND(BT65&gt;'Данные ТНПА'!$K$11,BT65&lt;='Данные ТНПА'!$L$11),'Данные ТНПА'!$N$11,
IF(AND(BT65&gt;'Данные ТНПА'!$K$12,BT65&lt;='Данные ТНПА'!$L$12),'Данные ТНПА'!$N$12,
IF(AND(BT65&gt;'Данные ТНПА'!$K$13,BT65&lt;='Данные ТНПА'!$L$13),'Данные ТНПА'!$N$13,
IF(AND(BT65&gt;'Данные ТНПА'!$K$14,BT65&lt;='Данные ТНПА'!$L$14),'Данные ТНПА'!$N$14))))))))</f>
        <v>1.5</v>
      </c>
      <c r="BW65" s="493">
        <f t="shared" si="49"/>
        <v>14.259</v>
      </c>
      <c r="BX65" s="457">
        <f t="shared" si="50"/>
        <v>0</v>
      </c>
      <c r="BY65" s="457">
        <f t="shared" si="51"/>
        <v>268.56690000000003</v>
      </c>
      <c r="BZ65" s="457">
        <f t="shared" si="52"/>
        <v>51.48511187157257</v>
      </c>
      <c r="CA65" s="457" t="e">
        <f t="shared" si="53"/>
        <v>#REF!</v>
      </c>
      <c r="CB65" s="458">
        <f t="shared" si="54"/>
        <v>0</v>
      </c>
      <c r="CC65" s="457">
        <f t="shared" si="55"/>
        <v>0</v>
      </c>
      <c r="CD65" s="457">
        <f t="shared" si="56"/>
        <v>0</v>
      </c>
      <c r="CE65" s="457">
        <f t="shared" si="57"/>
        <v>0</v>
      </c>
      <c r="CF65" s="457">
        <f t="shared" si="58"/>
        <v>0</v>
      </c>
      <c r="CG65" s="458">
        <f t="shared" si="59"/>
        <v>0</v>
      </c>
      <c r="CH65" s="457">
        <f t="shared" si="60"/>
        <v>0</v>
      </c>
      <c r="CI65" s="457">
        <f t="shared" si="61"/>
        <v>0</v>
      </c>
      <c r="CJ65" s="458">
        <f t="shared" si="62"/>
        <v>0</v>
      </c>
      <c r="CK65" s="458">
        <f t="shared" si="63"/>
        <v>87.542540177060332</v>
      </c>
      <c r="CL65" s="457">
        <f t="shared" si="64"/>
        <v>407.59455204863298</v>
      </c>
      <c r="CM65" s="504"/>
      <c r="CN65" s="504"/>
    </row>
    <row r="66" spans="1:92" s="207" customFormat="1" ht="14.25" hidden="1" customHeight="1" x14ac:dyDescent="0.25">
      <c r="A66" s="389" t="str">
        <f>IF(D66="",CONCATENATE("Кабель ",IF(C66="а","А",""),$A$9),CONCATENATE("Кабель ",IF(C66="а","А",""),$A$9," ",D66,"*",F66,IF(G66="ок"," (ож)","")," - ",B66," ",IF(G66="мс"," фас. ",""),$A$2))</f>
        <v>Кабель ВВГ 5*10 (ож) - 0,66 ГОСТ 16442-80</v>
      </c>
      <c r="B66" s="450">
        <v>0.66</v>
      </c>
      <c r="C66" s="451" t="s">
        <v>163</v>
      </c>
      <c r="D66" s="439">
        <v>5</v>
      </c>
      <c r="E66" s="34" t="s">
        <v>40</v>
      </c>
      <c r="F66" s="289">
        <v>10</v>
      </c>
      <c r="G66" s="276" t="s">
        <v>153</v>
      </c>
      <c r="H66" s="460">
        <v>3.57</v>
      </c>
      <c r="I66" s="494">
        <v>1</v>
      </c>
      <c r="J66" s="495" t="s">
        <v>40</v>
      </c>
      <c r="K66" s="496">
        <f>ROUNDUP(SQRT(F66/PI()*4),2)</f>
        <v>3.57</v>
      </c>
      <c r="L66" s="501">
        <v>5.99</v>
      </c>
      <c r="M66" s="472"/>
      <c r="N66" s="472"/>
      <c r="O66" s="472"/>
      <c r="P66" s="472"/>
      <c r="Q66" s="483">
        <f t="shared" si="0"/>
        <v>0.71000000000000008</v>
      </c>
      <c r="R66" s="484">
        <f>IF(B66=0.66,VLOOKUP(F66,'Данные ТНПА'!$B$8:$C$16,2,0),
IF(B66=1,VLOOKUP(F66,'Данные ТНПА'!$B$17:$C$37,2,0),"ошибка"))</f>
        <v>0.9</v>
      </c>
      <c r="S66" s="485">
        <f t="shared" si="1"/>
        <v>4.99</v>
      </c>
      <c r="T66" s="486"/>
      <c r="U66" s="487"/>
      <c r="V66" s="485">
        <f t="shared" si="2"/>
        <v>5.37</v>
      </c>
      <c r="W66" s="486"/>
      <c r="X66" s="487"/>
      <c r="Y66" s="489">
        <f t="shared" si="3"/>
        <v>3.8</v>
      </c>
      <c r="Z66" s="491">
        <f t="shared" si="4"/>
        <v>14.499000000000001</v>
      </c>
      <c r="AA66" s="237">
        <f t="shared" si="5"/>
        <v>0</v>
      </c>
      <c r="AB66" s="452">
        <f t="shared" si="6"/>
        <v>14.499000000000001</v>
      </c>
      <c r="AC66" s="201">
        <f t="shared" si="7"/>
        <v>0</v>
      </c>
      <c r="AD66" s="203">
        <f t="shared" si="8"/>
        <v>0</v>
      </c>
      <c r="AE66" s="37" t="str">
        <f t="shared" si="9"/>
        <v/>
      </c>
      <c r="AF66" s="202">
        <f t="shared" si="10"/>
        <v>0</v>
      </c>
      <c r="AG66" s="201">
        <f t="shared" si="11"/>
        <v>0</v>
      </c>
      <c r="AH66" s="61">
        <f t="shared" si="12"/>
        <v>14.499000000000001</v>
      </c>
      <c r="AI66" s="443">
        <f t="shared" si="115"/>
        <v>0</v>
      </c>
      <c r="AJ66" s="444">
        <f t="shared" si="13"/>
        <v>0</v>
      </c>
      <c r="AK66" s="445">
        <f t="shared" si="14"/>
        <v>0</v>
      </c>
      <c r="AL66" s="446">
        <f t="shared" si="15"/>
        <v>0</v>
      </c>
      <c r="AM66" s="447">
        <f t="shared" si="16"/>
        <v>0</v>
      </c>
      <c r="AN66" s="24">
        <f t="shared" si="17"/>
        <v>14.499000000000001</v>
      </c>
      <c r="AO66" s="443">
        <f t="shared" si="18"/>
        <v>0</v>
      </c>
      <c r="AP66" s="444">
        <f t="shared" si="19"/>
        <v>0</v>
      </c>
      <c r="AQ66" s="445">
        <f t="shared" si="20"/>
        <v>0</v>
      </c>
      <c r="AR66" s="446">
        <f t="shared" si="21"/>
        <v>0</v>
      </c>
      <c r="AS66" s="447">
        <f t="shared" si="22"/>
        <v>0</v>
      </c>
      <c r="AT66" s="24">
        <f t="shared" si="23"/>
        <v>14.499000000000001</v>
      </c>
      <c r="AU66" s="443">
        <f t="shared" si="24"/>
        <v>0</v>
      </c>
      <c r="AV66" s="444">
        <f t="shared" si="25"/>
        <v>0</v>
      </c>
      <c r="AW66" s="445">
        <f t="shared" si="26"/>
        <v>0</v>
      </c>
      <c r="AX66" s="446">
        <f t="shared" si="27"/>
        <v>0</v>
      </c>
      <c r="AY66" s="447">
        <f t="shared" si="28"/>
        <v>0</v>
      </c>
      <c r="AZ66" s="24">
        <f t="shared" si="29"/>
        <v>14.499000000000001</v>
      </c>
      <c r="BA66" s="43">
        <f>IF(BB66=0,0,
IF(D66=1,
(IF(AND(AH66&gt;'Данные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"ошибка_1"))))))),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"ошибка_2"))))))))</f>
        <v>0</v>
      </c>
      <c r="BB66" s="43">
        <f>IF(OR($AI$9=0,AND(D66&gt;1,F66&gt;10)),0,
IF(D66=1,
(IF(AND(AH66&gt;'Данные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"ошибка_1"))))))),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IF(AND(AH66&gt;'Данные ТНПА'!#REF!,AH66&lt;='Данные ТНПА'!#REF!),'Данные ТНПА'!#REF!,
"ошибка_2"))))))))</f>
        <v>0</v>
      </c>
      <c r="BC66" s="43">
        <f t="shared" si="30"/>
        <v>14.499000000000001</v>
      </c>
      <c r="BD66" s="237">
        <f t="shared" si="31"/>
        <v>0</v>
      </c>
      <c r="BE66" s="43">
        <f t="shared" si="32"/>
        <v>0</v>
      </c>
      <c r="BF66" s="201">
        <f t="shared" si="33"/>
        <v>0</v>
      </c>
      <c r="BG66" s="201">
        <f t="shared" si="34"/>
        <v>0</v>
      </c>
      <c r="BH66" s="61">
        <f t="shared" si="35"/>
        <v>14.499000000000001</v>
      </c>
      <c r="BI66" s="237">
        <f t="shared" si="36"/>
        <v>0</v>
      </c>
      <c r="BJ66" s="247">
        <f t="shared" si="37"/>
        <v>0</v>
      </c>
      <c r="BK66" s="431">
        <f t="shared" si="38"/>
        <v>0</v>
      </c>
      <c r="BL66" s="250">
        <f t="shared" si="39"/>
        <v>0</v>
      </c>
      <c r="BM66" s="237">
        <f t="shared" si="40"/>
        <v>0</v>
      </c>
      <c r="BN66" s="452">
        <f t="shared" si="41"/>
        <v>14.499000000000001</v>
      </c>
      <c r="BO66" s="237">
        <f t="shared" si="42"/>
        <v>0</v>
      </c>
      <c r="BP66" s="432">
        <f t="shared" si="43"/>
        <v>0</v>
      </c>
      <c r="BQ66" s="22" t="str">
        <f t="shared" si="44"/>
        <v/>
      </c>
      <c r="BR66" s="250">
        <f t="shared" si="45"/>
        <v>0</v>
      </c>
      <c r="BS66" s="237">
        <f t="shared" si="46"/>
        <v>0</v>
      </c>
      <c r="BT66" s="452">
        <f t="shared" si="47"/>
        <v>14.499000000000001</v>
      </c>
      <c r="BU66" s="492">
        <f t="shared" si="48"/>
        <v>1.1749999999999998</v>
      </c>
      <c r="BV66" s="493">
        <f>IF(BT66="","",
IF(AND(BT66&gt;'Данные ТНПА'!$K$8,BT66&lt;='Данные ТНПА'!$L$8),'Данные ТНПА'!$N$8,
IF(AND(BT66&gt;'Данные ТНПА'!$K$9,BT66&lt;='Данные ТНПА'!$L$9),'Данные ТНПА'!$N$9,
IF(AND(BT66&gt;'Данные ТНПА'!$K$10,BT66&lt;='Данные ТНПА'!$L$10),'Данные ТНПА'!$N$10,
IF(AND(BT66&gt;'Данные ТНПА'!$K$11,BT66&lt;='Данные ТНПА'!$L$11),'Данные ТНПА'!$N$11,
IF(AND(BT66&gt;'Данные ТНПА'!$K$12,BT66&lt;='Данные ТНПА'!$L$12),'Данные ТНПА'!$N$12,
IF(AND(BT66&gt;'Данные ТНПА'!$K$13,BT66&lt;='Данные ТНПА'!$L$13),'Данные ТНПА'!$N$13,
IF(AND(BT66&gt;'Данные ТНПА'!$K$14,BT66&lt;='Данные ТНПА'!$L$14),'Данные ТНПА'!$N$14))))))))</f>
        <v>1.5</v>
      </c>
      <c r="BW66" s="493">
        <f t="shared" si="49"/>
        <v>17.499000000000002</v>
      </c>
      <c r="BX66" s="457">
        <f t="shared" si="50"/>
        <v>0</v>
      </c>
      <c r="BY66" s="457">
        <f t="shared" si="51"/>
        <v>447.61149999999998</v>
      </c>
      <c r="BZ66" s="457">
        <f t="shared" si="52"/>
        <v>85.271554161933494</v>
      </c>
      <c r="CA66" s="457" t="e">
        <f t="shared" si="53"/>
        <v>#REF!</v>
      </c>
      <c r="CB66" s="458">
        <f t="shared" si="54"/>
        <v>0</v>
      </c>
      <c r="CC66" s="457">
        <f t="shared" si="55"/>
        <v>0</v>
      </c>
      <c r="CD66" s="457">
        <f t="shared" si="56"/>
        <v>0</v>
      </c>
      <c r="CE66" s="457">
        <f t="shared" si="57"/>
        <v>0</v>
      </c>
      <c r="CF66" s="457">
        <f t="shared" si="58"/>
        <v>0</v>
      </c>
      <c r="CG66" s="458">
        <f t="shared" si="59"/>
        <v>0</v>
      </c>
      <c r="CH66" s="457">
        <f t="shared" si="60"/>
        <v>0</v>
      </c>
      <c r="CI66" s="457">
        <f t="shared" si="61"/>
        <v>0</v>
      </c>
      <c r="CJ66" s="458">
        <f t="shared" si="62"/>
        <v>0</v>
      </c>
      <c r="CK66" s="458">
        <f t="shared" si="63"/>
        <v>109.77295244868628</v>
      </c>
      <c r="CL66" s="457">
        <f t="shared" si="64"/>
        <v>642.65600661061978</v>
      </c>
      <c r="CM66" s="504"/>
      <c r="CN66" s="504"/>
    </row>
    <row r="67" spans="1:92" s="207" customFormat="1" ht="14.25" hidden="1" customHeight="1" x14ac:dyDescent="0.25">
      <c r="A67" s="389" t="str">
        <f>IF(D67="",CONCATENATE("Кабель ",IF(C67="а","А",""),$A$9),CONCATENATE("Кабель ",IF(C67="а","А",""),$A$9," ",D67,"*",F67,IF(G67="ок"," (ож)","")," - ",B67," ",IF(G67="мс"," фас. ",""),$A$2))</f>
        <v>Кабель ВВГ 5*16 (ож) - 0,66 ГОСТ 16442-80</v>
      </c>
      <c r="B67" s="450">
        <v>0.66</v>
      </c>
      <c r="C67" s="451" t="s">
        <v>163</v>
      </c>
      <c r="D67" s="439">
        <v>5</v>
      </c>
      <c r="E67" s="34" t="s">
        <v>40</v>
      </c>
      <c r="F67" s="289">
        <v>16</v>
      </c>
      <c r="G67" s="276" t="s">
        <v>153</v>
      </c>
      <c r="H67" s="460">
        <v>4.5199999999999996</v>
      </c>
      <c r="I67" s="494">
        <v>1</v>
      </c>
      <c r="J67" s="495" t="s">
        <v>40</v>
      </c>
      <c r="K67" s="496">
        <f>ROUNDUP(SQRT(F67/PI()*4),2)</f>
        <v>4.5199999999999996</v>
      </c>
      <c r="L67" s="501">
        <v>6.68</v>
      </c>
      <c r="M67" s="473"/>
      <c r="N67" s="473"/>
      <c r="O67" s="473"/>
      <c r="P67" s="473"/>
      <c r="Q67" s="483">
        <f t="shared" si="0"/>
        <v>0.71000000000000008</v>
      </c>
      <c r="R67" s="484">
        <f>IF(B67=0.66,VLOOKUP(F67,'Данные ТНПА'!$B$8:$C$16,2,0),
IF(B67=1,VLOOKUP(F67,'Данные ТНПА'!$B$17:$C$37,2,0),"ошибка"))</f>
        <v>0.9</v>
      </c>
      <c r="S67" s="485">
        <f t="shared" si="1"/>
        <v>5.9399999999999995</v>
      </c>
      <c r="T67" s="486"/>
      <c r="U67" s="487"/>
      <c r="V67" s="485">
        <f t="shared" si="2"/>
        <v>6.3199999999999994</v>
      </c>
      <c r="W67" s="486"/>
      <c r="X67" s="487"/>
      <c r="Y67" s="489">
        <f t="shared" si="3"/>
        <v>4.4000000000000004</v>
      </c>
      <c r="Z67" s="491">
        <f t="shared" si="4"/>
        <v>17.064</v>
      </c>
      <c r="AA67" s="237">
        <f t="shared" si="5"/>
        <v>0</v>
      </c>
      <c r="AB67" s="452">
        <f t="shared" si="6"/>
        <v>17.064</v>
      </c>
      <c r="AC67" s="201">
        <f t="shared" si="7"/>
        <v>0</v>
      </c>
      <c r="AD67" s="203">
        <f t="shared" si="8"/>
        <v>0</v>
      </c>
      <c r="AE67" s="37" t="str">
        <f t="shared" si="9"/>
        <v/>
      </c>
      <c r="AF67" s="202">
        <f t="shared" si="10"/>
        <v>0</v>
      </c>
      <c r="AG67" s="201">
        <f t="shared" si="11"/>
        <v>0</v>
      </c>
      <c r="AH67" s="61">
        <f t="shared" si="12"/>
        <v>17.064</v>
      </c>
      <c r="AI67" s="443">
        <f t="shared" si="115"/>
        <v>0</v>
      </c>
      <c r="AJ67" s="444">
        <f t="shared" si="13"/>
        <v>0</v>
      </c>
      <c r="AK67" s="445">
        <f t="shared" si="14"/>
        <v>0</v>
      </c>
      <c r="AL67" s="446">
        <f t="shared" si="15"/>
        <v>0</v>
      </c>
      <c r="AM67" s="447">
        <f t="shared" si="16"/>
        <v>0</v>
      </c>
      <c r="AN67" s="24">
        <f t="shared" si="17"/>
        <v>17.064</v>
      </c>
      <c r="AO67" s="443">
        <f t="shared" si="18"/>
        <v>0</v>
      </c>
      <c r="AP67" s="444">
        <f t="shared" si="19"/>
        <v>0</v>
      </c>
      <c r="AQ67" s="445">
        <f t="shared" si="20"/>
        <v>0</v>
      </c>
      <c r="AR67" s="446">
        <f t="shared" si="21"/>
        <v>0</v>
      </c>
      <c r="AS67" s="447">
        <f t="shared" si="22"/>
        <v>0</v>
      </c>
      <c r="AT67" s="24">
        <f t="shared" si="23"/>
        <v>17.064</v>
      </c>
      <c r="AU67" s="443">
        <f t="shared" si="24"/>
        <v>0</v>
      </c>
      <c r="AV67" s="444">
        <f t="shared" si="25"/>
        <v>0</v>
      </c>
      <c r="AW67" s="445">
        <f t="shared" si="26"/>
        <v>0</v>
      </c>
      <c r="AX67" s="446">
        <f t="shared" si="27"/>
        <v>0</v>
      </c>
      <c r="AY67" s="447">
        <f t="shared" si="28"/>
        <v>0</v>
      </c>
      <c r="AZ67" s="24">
        <f t="shared" si="29"/>
        <v>17.064</v>
      </c>
      <c r="BA67" s="43">
        <f>IF(BB67=0,0,
IF(D67=1,
(IF(AND(AH67&gt;'Данные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"ошибка_1"))))))),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"ошибка_2"))))))))</f>
        <v>0</v>
      </c>
      <c r="BB67" s="43">
        <f>IF(OR($AI$9=0,AND(D67&gt;1,F67&gt;10)),0,
IF(D67=1,
(IF(AND(AH67&gt;'Данные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"ошибка_1"))))))),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IF(AND(AH67&gt;'Данные ТНПА'!#REF!,AH67&lt;='Данные ТНПА'!#REF!),'Данные ТНПА'!#REF!,
"ошибка_2"))))))))</f>
        <v>0</v>
      </c>
      <c r="BC67" s="43">
        <f t="shared" si="30"/>
        <v>17.064</v>
      </c>
      <c r="BD67" s="237">
        <f t="shared" si="31"/>
        <v>0</v>
      </c>
      <c r="BE67" s="43">
        <f t="shared" si="32"/>
        <v>0</v>
      </c>
      <c r="BF67" s="201">
        <f t="shared" si="33"/>
        <v>0</v>
      </c>
      <c r="BG67" s="201">
        <f t="shared" si="34"/>
        <v>0</v>
      </c>
      <c r="BH67" s="61">
        <f t="shared" si="35"/>
        <v>17.064</v>
      </c>
      <c r="BI67" s="237">
        <f t="shared" si="36"/>
        <v>0</v>
      </c>
      <c r="BJ67" s="247">
        <f t="shared" si="37"/>
        <v>0</v>
      </c>
      <c r="BK67" s="431">
        <f t="shared" si="38"/>
        <v>0</v>
      </c>
      <c r="BL67" s="250">
        <f t="shared" si="39"/>
        <v>0</v>
      </c>
      <c r="BM67" s="237">
        <f t="shared" si="40"/>
        <v>0</v>
      </c>
      <c r="BN67" s="452">
        <f t="shared" si="41"/>
        <v>17.064</v>
      </c>
      <c r="BO67" s="237">
        <f t="shared" si="42"/>
        <v>0</v>
      </c>
      <c r="BP67" s="432">
        <f t="shared" si="43"/>
        <v>0</v>
      </c>
      <c r="BQ67" s="22" t="str">
        <f t="shared" si="44"/>
        <v/>
      </c>
      <c r="BR67" s="250">
        <f t="shared" si="45"/>
        <v>0</v>
      </c>
      <c r="BS67" s="237">
        <f t="shared" si="46"/>
        <v>0</v>
      </c>
      <c r="BT67" s="452">
        <f t="shared" si="47"/>
        <v>17.064</v>
      </c>
      <c r="BU67" s="492">
        <f t="shared" si="48"/>
        <v>1.3449999999999998</v>
      </c>
      <c r="BV67" s="493">
        <f>IF(BT67="","",
IF(AND(BT67&gt;'Данные ТНПА'!$K$8,BT67&lt;='Данные ТНПА'!$L$8),'Данные ТНПА'!$N$8,
IF(AND(BT67&gt;'Данные ТНПА'!$K$9,BT67&lt;='Данные ТНПА'!$L$9),'Данные ТНПА'!$N$9,
IF(AND(BT67&gt;'Данные ТНПА'!$K$10,BT67&lt;='Данные ТНПА'!$L$10),'Данные ТНПА'!$N$10,
IF(AND(BT67&gt;'Данные ТНПА'!$K$11,BT67&lt;='Данные ТНПА'!$L$11),'Данные ТНПА'!$N$11,
IF(AND(BT67&gt;'Данные ТНПА'!$K$12,BT67&lt;='Данные ТНПА'!$L$12),'Данные ТНПА'!$N$12,
IF(AND(BT67&gt;'Данные ТНПА'!$K$13,BT67&lt;='Данные ТНПА'!$L$13),'Данные ТНПА'!$N$13,
IF(AND(BT67&gt;'Данные ТНПА'!$K$14,BT67&lt;='Данные ТНПА'!$L$14),'Данные ТНПА'!$N$14))))))))</f>
        <v>1.7</v>
      </c>
      <c r="BW67" s="493">
        <f t="shared" si="49"/>
        <v>20.463999999999999</v>
      </c>
      <c r="BX67" s="457">
        <f t="shared" si="50"/>
        <v>0</v>
      </c>
      <c r="BY67" s="457">
        <f t="shared" si="51"/>
        <v>716.17840000000001</v>
      </c>
      <c r="BZ67" s="457">
        <f t="shared" si="52"/>
        <v>103.39414397263528</v>
      </c>
      <c r="CA67" s="457" t="e">
        <f t="shared" si="53"/>
        <v>#REF!</v>
      </c>
      <c r="CB67" s="458">
        <f t="shared" si="54"/>
        <v>0</v>
      </c>
      <c r="CC67" s="457">
        <f t="shared" si="55"/>
        <v>0</v>
      </c>
      <c r="CD67" s="457">
        <f t="shared" si="56"/>
        <v>0</v>
      </c>
      <c r="CE67" s="457">
        <f t="shared" si="57"/>
        <v>0</v>
      </c>
      <c r="CF67" s="457">
        <f t="shared" si="58"/>
        <v>0</v>
      </c>
      <c r="CG67" s="458">
        <f t="shared" si="59"/>
        <v>0</v>
      </c>
      <c r="CH67" s="457">
        <f t="shared" si="60"/>
        <v>0</v>
      </c>
      <c r="CI67" s="457">
        <f t="shared" si="61"/>
        <v>0</v>
      </c>
      <c r="CJ67" s="458">
        <f t="shared" si="62"/>
        <v>0</v>
      </c>
      <c r="CK67" s="458">
        <f t="shared" si="63"/>
        <v>145.91018003500861</v>
      </c>
      <c r="CL67" s="457">
        <f t="shared" si="64"/>
        <v>965.48272400764381</v>
      </c>
      <c r="CM67" s="504"/>
      <c r="CN67" s="504"/>
    </row>
    <row r="68" spans="1:92" s="207" customFormat="1" ht="14.25" hidden="1" customHeight="1" x14ac:dyDescent="0.25">
      <c r="A68" s="389" t="str">
        <f>IF(D68="",CONCATENATE("Кабель ",IF(C68="а","А",""),$A$9),CONCATENATE("Кабель ",IF(C68="а","А",""),$A$9," ",D68,"*",F68,IF(G68="ок"," (ож)","")," - ",B68," ",IF(G68="мс"," фас. ",""),$A$2))</f>
        <v>Кабель ВВГ 5*25 (ож) - 0,66 ГОСТ 16442-80</v>
      </c>
      <c r="B68" s="510">
        <v>0.66</v>
      </c>
      <c r="C68" s="415" t="s">
        <v>163</v>
      </c>
      <c r="D68" s="274">
        <v>5</v>
      </c>
      <c r="E68" s="34" t="s">
        <v>40</v>
      </c>
      <c r="F68" s="289">
        <v>25</v>
      </c>
      <c r="G68" s="276" t="s">
        <v>153</v>
      </c>
      <c r="H68" s="460">
        <v>5.6499999999999995</v>
      </c>
      <c r="I68" s="494">
        <v>1</v>
      </c>
      <c r="J68" s="495" t="s">
        <v>40</v>
      </c>
      <c r="K68" s="496">
        <f>ROUNDUP(SQRT(F68/PI()*4),2)</f>
        <v>5.6499999999999995</v>
      </c>
      <c r="L68" s="501">
        <v>7.1000000000000005</v>
      </c>
      <c r="M68" s="474"/>
      <c r="N68" s="474"/>
      <c r="O68" s="474"/>
      <c r="P68" s="474"/>
      <c r="Q68" s="483">
        <f t="shared" si="0"/>
        <v>0.89000000000000012</v>
      </c>
      <c r="R68" s="484">
        <f>IF(B68=0.66,VLOOKUP(F68,'Данные ТНПА'!$B$8:$C$16,2,0),
IF(B68=1,VLOOKUP(F68,'Данные ТНПА'!$B$17:$C$37,2,0),"ошибка"))</f>
        <v>1.1000000000000001</v>
      </c>
      <c r="S68" s="485">
        <f t="shared" si="1"/>
        <v>7.43</v>
      </c>
      <c r="T68" s="486"/>
      <c r="U68" s="487"/>
      <c r="V68" s="485">
        <f t="shared" si="2"/>
        <v>7.85</v>
      </c>
      <c r="W68" s="486"/>
      <c r="X68" s="487"/>
      <c r="Y68" s="489">
        <f t="shared" si="3"/>
        <v>5.5</v>
      </c>
      <c r="Z68" s="491">
        <f t="shared" si="4"/>
        <v>21.195</v>
      </c>
      <c r="AA68" s="237">
        <f t="shared" si="5"/>
        <v>0</v>
      </c>
      <c r="AB68" s="452">
        <f t="shared" si="6"/>
        <v>21.195</v>
      </c>
      <c r="AC68" s="201">
        <f t="shared" si="7"/>
        <v>0</v>
      </c>
      <c r="AD68" s="203">
        <f t="shared" si="8"/>
        <v>0</v>
      </c>
      <c r="AE68" s="37" t="str">
        <f t="shared" si="9"/>
        <v/>
      </c>
      <c r="AF68" s="202">
        <f t="shared" si="10"/>
        <v>0</v>
      </c>
      <c r="AG68" s="201">
        <f t="shared" si="11"/>
        <v>0</v>
      </c>
      <c r="AH68" s="61">
        <f t="shared" si="12"/>
        <v>21.195</v>
      </c>
      <c r="AI68" s="443">
        <f t="shared" si="115"/>
        <v>0</v>
      </c>
      <c r="AJ68" s="444">
        <f t="shared" si="13"/>
        <v>0</v>
      </c>
      <c r="AK68" s="445">
        <f t="shared" si="14"/>
        <v>0</v>
      </c>
      <c r="AL68" s="446">
        <f t="shared" si="15"/>
        <v>0</v>
      </c>
      <c r="AM68" s="447">
        <f t="shared" si="16"/>
        <v>0</v>
      </c>
      <c r="AN68" s="24">
        <f t="shared" si="17"/>
        <v>21.195</v>
      </c>
      <c r="AO68" s="443">
        <f t="shared" si="18"/>
        <v>0</v>
      </c>
      <c r="AP68" s="444">
        <f t="shared" si="19"/>
        <v>0</v>
      </c>
      <c r="AQ68" s="445">
        <f t="shared" si="20"/>
        <v>0</v>
      </c>
      <c r="AR68" s="446">
        <f t="shared" si="21"/>
        <v>0</v>
      </c>
      <c r="AS68" s="447">
        <f t="shared" si="22"/>
        <v>0</v>
      </c>
      <c r="AT68" s="24">
        <f t="shared" si="23"/>
        <v>21.195</v>
      </c>
      <c r="AU68" s="443">
        <f t="shared" si="24"/>
        <v>0</v>
      </c>
      <c r="AV68" s="444">
        <f t="shared" si="25"/>
        <v>0</v>
      </c>
      <c r="AW68" s="445">
        <f t="shared" si="26"/>
        <v>0</v>
      </c>
      <c r="AX68" s="446">
        <f t="shared" si="27"/>
        <v>0</v>
      </c>
      <c r="AY68" s="447">
        <f t="shared" si="28"/>
        <v>0</v>
      </c>
      <c r="AZ68" s="24">
        <f t="shared" si="29"/>
        <v>21.195</v>
      </c>
      <c r="BA68" s="43">
        <f>IF(BB68=0,0,
IF(D68=1,
(IF(AND(AH68&gt;'Данные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"ошибка_1"))))))),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"ошибка_2"))))))))</f>
        <v>0</v>
      </c>
      <c r="BB68" s="43">
        <f>IF(OR($AI$9=0,AND(D68&gt;1,F68&gt;10)),0,
IF(D68=1,
(IF(AND(AH68&gt;'Данные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"ошибка_1"))))))),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IF(AND(AH68&gt;'Данные ТНПА'!#REF!,AH68&lt;='Данные ТНПА'!#REF!),'Данные ТНПА'!#REF!,
"ошибка_2"))))))))</f>
        <v>0</v>
      </c>
      <c r="BC68" s="43">
        <f t="shared" si="30"/>
        <v>21.195</v>
      </c>
      <c r="BD68" s="237">
        <f t="shared" si="31"/>
        <v>0</v>
      </c>
      <c r="BE68" s="43">
        <f t="shared" si="32"/>
        <v>0</v>
      </c>
      <c r="BF68" s="201">
        <f t="shared" si="33"/>
        <v>0</v>
      </c>
      <c r="BG68" s="201">
        <f t="shared" si="34"/>
        <v>0</v>
      </c>
      <c r="BH68" s="61">
        <f t="shared" si="35"/>
        <v>21.195</v>
      </c>
      <c r="BI68" s="237">
        <f t="shared" si="36"/>
        <v>0</v>
      </c>
      <c r="BJ68" s="247">
        <f t="shared" si="37"/>
        <v>0</v>
      </c>
      <c r="BK68" s="431">
        <f t="shared" si="38"/>
        <v>0</v>
      </c>
      <c r="BL68" s="250">
        <f t="shared" si="39"/>
        <v>0</v>
      </c>
      <c r="BM68" s="237">
        <f t="shared" si="40"/>
        <v>0</v>
      </c>
      <c r="BN68" s="452">
        <f t="shared" si="41"/>
        <v>21.195</v>
      </c>
      <c r="BO68" s="237">
        <f t="shared" si="42"/>
        <v>0</v>
      </c>
      <c r="BP68" s="432">
        <f t="shared" si="43"/>
        <v>0</v>
      </c>
      <c r="BQ68" s="22" t="str">
        <f t="shared" si="44"/>
        <v/>
      </c>
      <c r="BR68" s="250">
        <f t="shared" si="45"/>
        <v>0</v>
      </c>
      <c r="BS68" s="237">
        <f t="shared" si="46"/>
        <v>0</v>
      </c>
      <c r="BT68" s="452">
        <f t="shared" si="47"/>
        <v>21.195</v>
      </c>
      <c r="BU68" s="492">
        <f t="shared" si="48"/>
        <v>1.5149999999999999</v>
      </c>
      <c r="BV68" s="493">
        <f>IF(BT68="","",
IF(AND(BT68&gt;'Данные ТНПА'!$K$8,BT68&lt;='Данные ТНПА'!$L$8),'Данные ТНПА'!$N$8,
IF(AND(BT68&gt;'Данные ТНПА'!$K$9,BT68&lt;='Данные ТНПА'!$L$9),'Данные ТНПА'!$N$9,
IF(AND(BT68&gt;'Данные ТНПА'!$K$10,BT68&lt;='Данные ТНПА'!$L$10),'Данные ТНПА'!$N$10,
IF(AND(BT68&gt;'Данные ТНПА'!$K$11,BT68&lt;='Данные ТНПА'!$L$11),'Данные ТНПА'!$N$11,
IF(AND(BT68&gt;'Данные ТНПА'!$K$12,BT68&lt;='Данные ТНПА'!$L$12),'Данные ТНПА'!$N$12,
IF(AND(BT68&gt;'Данные ТНПА'!$K$13,BT68&lt;='Данные ТНПА'!$L$13),'Данные ТНПА'!$N$13,
IF(AND(BT68&gt;'Данные ТНПА'!$K$14,BT68&lt;='Данные ТНПА'!$L$14),'Данные ТНПА'!$N$14))))))))</f>
        <v>1.9</v>
      </c>
      <c r="BW68" s="493">
        <f t="shared" si="49"/>
        <v>24.995000000000001</v>
      </c>
      <c r="BX68" s="457">
        <f t="shared" si="50"/>
        <v>0</v>
      </c>
      <c r="BY68" s="457">
        <f t="shared" si="51"/>
        <v>1119.0287499999999</v>
      </c>
      <c r="BZ68" s="457">
        <f t="shared" si="52"/>
        <v>157.38038519819943</v>
      </c>
      <c r="CA68" s="457" t="e">
        <f t="shared" si="53"/>
        <v>#REF!</v>
      </c>
      <c r="CB68" s="458">
        <f t="shared" si="54"/>
        <v>0</v>
      </c>
      <c r="CC68" s="457">
        <f t="shared" si="55"/>
        <v>0</v>
      </c>
      <c r="CD68" s="457">
        <f t="shared" si="56"/>
        <v>0</v>
      </c>
      <c r="CE68" s="457">
        <f t="shared" si="57"/>
        <v>0</v>
      </c>
      <c r="CF68" s="457">
        <f t="shared" si="58"/>
        <v>0</v>
      </c>
      <c r="CG68" s="458">
        <f t="shared" si="59"/>
        <v>0</v>
      </c>
      <c r="CH68" s="457">
        <f t="shared" si="60"/>
        <v>0</v>
      </c>
      <c r="CI68" s="457">
        <f t="shared" si="61"/>
        <v>0</v>
      </c>
      <c r="CJ68" s="458">
        <f t="shared" si="62"/>
        <v>0</v>
      </c>
      <c r="CK68" s="458">
        <f t="shared" si="63"/>
        <v>200.71637977059308</v>
      </c>
      <c r="CL68" s="457">
        <f t="shared" si="64"/>
        <v>1477.1255149687925</v>
      </c>
      <c r="CM68" s="504"/>
      <c r="CN68" s="504"/>
    </row>
    <row r="69" spans="1:92" s="207" customFormat="1" ht="14.25" hidden="1" customHeight="1" x14ac:dyDescent="0.25">
      <c r="A69" s="389" t="str">
        <f>IF(D69="",CONCATENATE("Кабель ",IF(C69="а","А",""),$A$9),CONCATENATE("Кабель ",IF(C69="а","А",""),$A$9," ",D69,"*",F69,IF(G69="ок"," (ож)","")," - ",B69," ",IF(G69="мс"," фас. ",""),$A$2))</f>
        <v>Кабель ВВГ 5*35 (ож) - 0,66 ГОСТ 16442-80</v>
      </c>
      <c r="B69" s="449">
        <v>0.66</v>
      </c>
      <c r="C69" s="415" t="s">
        <v>163</v>
      </c>
      <c r="D69" s="274">
        <v>5</v>
      </c>
      <c r="E69" s="34" t="s">
        <v>40</v>
      </c>
      <c r="F69" s="289">
        <v>35</v>
      </c>
      <c r="G69" s="276" t="s">
        <v>153</v>
      </c>
      <c r="H69" s="460">
        <v>6.68</v>
      </c>
      <c r="I69" s="494">
        <v>1</v>
      </c>
      <c r="J69" s="495" t="s">
        <v>40</v>
      </c>
      <c r="K69" s="496">
        <f>ROUNDUP(SQRT(F69/PI()*4),2)</f>
        <v>6.68</v>
      </c>
      <c r="L69" s="501">
        <v>8.15</v>
      </c>
      <c r="M69" s="474"/>
      <c r="N69" s="474"/>
      <c r="O69" s="474"/>
      <c r="P69" s="474"/>
      <c r="Q69" s="483">
        <f t="shared" si="0"/>
        <v>0.89000000000000012</v>
      </c>
      <c r="R69" s="484">
        <f>IF(B69=0.66,VLOOKUP(F69,'Данные ТНПА'!$B$8:$C$16,2,0),
IF(B69=1,VLOOKUP(F69,'Данные ТНПА'!$B$17:$C$37,2,0),"ошибка"))</f>
        <v>1.1000000000000001</v>
      </c>
      <c r="S69" s="485">
        <f t="shared" si="1"/>
        <v>8.4600000000000009</v>
      </c>
      <c r="T69" s="486"/>
      <c r="U69" s="487"/>
      <c r="V69" s="485">
        <f t="shared" si="2"/>
        <v>8.879999999999999</v>
      </c>
      <c r="W69" s="486"/>
      <c r="X69" s="487"/>
      <c r="Y69" s="489">
        <f t="shared" si="3"/>
        <v>6.2</v>
      </c>
      <c r="Z69" s="491">
        <f t="shared" si="4"/>
        <v>23.975999999999999</v>
      </c>
      <c r="AA69" s="237">
        <f t="shared" si="5"/>
        <v>0</v>
      </c>
      <c r="AB69" s="452">
        <f t="shared" si="6"/>
        <v>23.975999999999999</v>
      </c>
      <c r="AC69" s="201">
        <f t="shared" si="7"/>
        <v>0</v>
      </c>
      <c r="AD69" s="203">
        <f t="shared" si="8"/>
        <v>0</v>
      </c>
      <c r="AE69" s="37" t="str">
        <f t="shared" si="9"/>
        <v/>
      </c>
      <c r="AF69" s="202">
        <f t="shared" si="10"/>
        <v>0</v>
      </c>
      <c r="AG69" s="201">
        <f t="shared" si="11"/>
        <v>0</v>
      </c>
      <c r="AH69" s="61">
        <f t="shared" si="12"/>
        <v>23.975999999999999</v>
      </c>
      <c r="AI69" s="443">
        <f t="shared" si="115"/>
        <v>0</v>
      </c>
      <c r="AJ69" s="444">
        <f t="shared" si="13"/>
        <v>0</v>
      </c>
      <c r="AK69" s="445">
        <f t="shared" si="14"/>
        <v>0</v>
      </c>
      <c r="AL69" s="446">
        <f t="shared" si="15"/>
        <v>0</v>
      </c>
      <c r="AM69" s="447">
        <f t="shared" si="16"/>
        <v>0</v>
      </c>
      <c r="AN69" s="24">
        <f t="shared" si="17"/>
        <v>23.975999999999999</v>
      </c>
      <c r="AO69" s="443">
        <f t="shared" si="18"/>
        <v>0</v>
      </c>
      <c r="AP69" s="444">
        <f t="shared" si="19"/>
        <v>0</v>
      </c>
      <c r="AQ69" s="445">
        <f t="shared" si="20"/>
        <v>0</v>
      </c>
      <c r="AR69" s="446">
        <f t="shared" si="21"/>
        <v>0</v>
      </c>
      <c r="AS69" s="447">
        <f t="shared" si="22"/>
        <v>0</v>
      </c>
      <c r="AT69" s="24">
        <f t="shared" si="23"/>
        <v>23.975999999999999</v>
      </c>
      <c r="AU69" s="443">
        <f t="shared" si="24"/>
        <v>0</v>
      </c>
      <c r="AV69" s="444">
        <f t="shared" si="25"/>
        <v>0</v>
      </c>
      <c r="AW69" s="445">
        <f t="shared" si="26"/>
        <v>0</v>
      </c>
      <c r="AX69" s="446">
        <f t="shared" si="27"/>
        <v>0</v>
      </c>
      <c r="AY69" s="447">
        <f t="shared" si="28"/>
        <v>0</v>
      </c>
      <c r="AZ69" s="24">
        <f t="shared" si="29"/>
        <v>23.975999999999999</v>
      </c>
      <c r="BA69" s="43">
        <f>IF(BB69=0,0,
IF(D69=1,
(IF(AND(AH69&gt;'Данные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"ошибка_1"))))))),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"ошибка_2"))))))))</f>
        <v>0</v>
      </c>
      <c r="BB69" s="43">
        <f>IF(OR($AI$9=0,AND(D69&gt;1,F69&gt;10)),0,
IF(D69=1,
(IF(AND(AH69&gt;'Данные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"ошибка_1"))))))),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IF(AND(AH69&gt;'Данные ТНПА'!#REF!,AH69&lt;='Данные ТНПА'!#REF!),'Данные ТНПА'!#REF!,
"ошибка_2"))))))))</f>
        <v>0</v>
      </c>
      <c r="BC69" s="43">
        <f t="shared" si="30"/>
        <v>23.975999999999999</v>
      </c>
      <c r="BD69" s="237">
        <f t="shared" si="31"/>
        <v>0</v>
      </c>
      <c r="BE69" s="43">
        <f t="shared" si="32"/>
        <v>0</v>
      </c>
      <c r="BF69" s="201">
        <f t="shared" si="33"/>
        <v>0</v>
      </c>
      <c r="BG69" s="201">
        <f t="shared" si="34"/>
        <v>0</v>
      </c>
      <c r="BH69" s="61">
        <f t="shared" si="35"/>
        <v>23.975999999999999</v>
      </c>
      <c r="BI69" s="237">
        <f t="shared" si="36"/>
        <v>0</v>
      </c>
      <c r="BJ69" s="247">
        <f t="shared" si="37"/>
        <v>0</v>
      </c>
      <c r="BK69" s="431">
        <f t="shared" si="38"/>
        <v>0</v>
      </c>
      <c r="BL69" s="250">
        <f t="shared" si="39"/>
        <v>0</v>
      </c>
      <c r="BM69" s="237">
        <f t="shared" si="40"/>
        <v>0</v>
      </c>
      <c r="BN69" s="452">
        <f t="shared" si="41"/>
        <v>23.975999999999999</v>
      </c>
      <c r="BO69" s="237">
        <f t="shared" si="42"/>
        <v>0</v>
      </c>
      <c r="BP69" s="432">
        <f t="shared" si="43"/>
        <v>0</v>
      </c>
      <c r="BQ69" s="22" t="str">
        <f t="shared" si="44"/>
        <v/>
      </c>
      <c r="BR69" s="250">
        <f t="shared" si="45"/>
        <v>0</v>
      </c>
      <c r="BS69" s="237">
        <f t="shared" si="46"/>
        <v>0</v>
      </c>
      <c r="BT69" s="452">
        <f t="shared" si="47"/>
        <v>23.975999999999999</v>
      </c>
      <c r="BU69" s="492">
        <f t="shared" si="48"/>
        <v>1.5149999999999999</v>
      </c>
      <c r="BV69" s="493">
        <f>IF(BT69="","",
IF(AND(BT69&gt;'Данные ТНПА'!$K$8,BT69&lt;='Данные ТНПА'!$L$8),'Данные ТНПА'!$N$8,
IF(AND(BT69&gt;'Данные ТНПА'!$K$9,BT69&lt;='Данные ТНПА'!$L$9),'Данные ТНПА'!$N$9,
IF(AND(BT69&gt;'Данные ТНПА'!$K$10,BT69&lt;='Данные ТНПА'!$L$10),'Данные ТНПА'!$N$10,
IF(AND(BT69&gt;'Данные ТНПА'!$K$11,BT69&lt;='Данные ТНПА'!$L$11),'Данные ТНПА'!$N$11,
IF(AND(BT69&gt;'Данные ТНПА'!$K$12,BT69&lt;='Данные ТНПА'!$L$12),'Данные ТНПА'!$N$12,
IF(AND(BT69&gt;'Данные ТНПА'!$K$13,BT69&lt;='Данные ТНПА'!$L$13),'Данные ТНПА'!$N$13,
IF(AND(BT69&gt;'Данные ТНПА'!$K$14,BT69&lt;='Данные ТНПА'!$L$14),'Данные ТНПА'!$N$14))))))))</f>
        <v>1.9</v>
      </c>
      <c r="BW69" s="493">
        <f t="shared" si="49"/>
        <v>27.776</v>
      </c>
      <c r="BX69" s="457">
        <f t="shared" si="50"/>
        <v>0</v>
      </c>
      <c r="BY69" s="457">
        <f t="shared" si="51"/>
        <v>1566.6402500000002</v>
      </c>
      <c r="BZ69" s="457">
        <f t="shared" si="52"/>
        <v>181.39546619881355</v>
      </c>
      <c r="CA69" s="457" t="e">
        <f t="shared" si="53"/>
        <v>#REF!</v>
      </c>
      <c r="CB69" s="458">
        <f t="shared" si="54"/>
        <v>0</v>
      </c>
      <c r="CC69" s="457">
        <f t="shared" si="55"/>
        <v>0</v>
      </c>
      <c r="CD69" s="457">
        <f t="shared" si="56"/>
        <v>0</v>
      </c>
      <c r="CE69" s="457">
        <f t="shared" si="57"/>
        <v>0</v>
      </c>
      <c r="CF69" s="457">
        <f t="shared" si="58"/>
        <v>0</v>
      </c>
      <c r="CG69" s="458">
        <f t="shared" si="59"/>
        <v>0</v>
      </c>
      <c r="CH69" s="457">
        <f t="shared" si="60"/>
        <v>0</v>
      </c>
      <c r="CI69" s="457">
        <f t="shared" si="61"/>
        <v>0</v>
      </c>
      <c r="CJ69" s="458">
        <f t="shared" si="62"/>
        <v>0</v>
      </c>
      <c r="CK69" s="458">
        <f t="shared" si="63"/>
        <v>224.88577800146641</v>
      </c>
      <c r="CL69" s="457">
        <f t="shared" si="64"/>
        <v>1972.92149420028</v>
      </c>
      <c r="CM69" s="504"/>
      <c r="CN69" s="504"/>
    </row>
    <row r="70" spans="1:92" s="207" customFormat="1" ht="14.25" hidden="1" customHeight="1" x14ac:dyDescent="0.25">
      <c r="A70" s="389" t="str">
        <f>IF(D70="",CONCATENATE("Кабель ",IF(C70="а","А",""),$A$9),CONCATENATE("Кабель ",IF(C70="а","А",""),$A$9," ",D70,"*",F70,IF(G70="ок"," (ож)","")," - ",B70," ",IF(G70="мс"," фас. ",""),$A$2))</f>
        <v>Кабель АВВГ 1*10 - 0,66 ГОСТ 16442-80</v>
      </c>
      <c r="B70" s="511">
        <v>0.66</v>
      </c>
      <c r="C70" s="451" t="s">
        <v>164</v>
      </c>
      <c r="D70" s="412">
        <v>1</v>
      </c>
      <c r="E70" s="413" t="s">
        <v>40</v>
      </c>
      <c r="F70" s="423">
        <v>10</v>
      </c>
      <c r="G70" s="414" t="s">
        <v>154</v>
      </c>
      <c r="H70" s="461">
        <v>1.4</v>
      </c>
      <c r="I70" s="476">
        <v>7</v>
      </c>
      <c r="J70" s="477" t="s">
        <v>40</v>
      </c>
      <c r="K70" s="470">
        <f>ROUNDUP(SQRT(F70/I70/PI()*4*1.07),2)</f>
        <v>1.4</v>
      </c>
      <c r="L70" s="501">
        <v>1.79</v>
      </c>
      <c r="M70" s="475"/>
      <c r="N70" s="475"/>
      <c r="O70" s="475"/>
      <c r="P70" s="475"/>
      <c r="Q70" s="483">
        <f t="shared" si="0"/>
        <v>0.71000000000000008</v>
      </c>
      <c r="R70" s="484">
        <f>IF(B70=0.66,VLOOKUP(F70,'Данные ТНПА'!$B$8:$C$16,2,0),
IF(B70=1,VLOOKUP(F70,'Данные ТНПА'!$B$17:$C$37,2,0),"ошибка"))</f>
        <v>0.9</v>
      </c>
      <c r="S70" s="485">
        <f t="shared" si="1"/>
        <v>3.21</v>
      </c>
      <c r="T70" s="486"/>
      <c r="U70" s="487"/>
      <c r="V70" s="485">
        <f t="shared" si="2"/>
        <v>3.59</v>
      </c>
      <c r="W70" s="486"/>
      <c r="X70" s="487"/>
      <c r="Y70" s="489">
        <f t="shared" si="3"/>
        <v>0</v>
      </c>
      <c r="Z70" s="491">
        <f t="shared" si="4"/>
        <v>3.59</v>
      </c>
      <c r="AA70" s="237">
        <f t="shared" si="5"/>
        <v>0</v>
      </c>
      <c r="AB70" s="452">
        <f t="shared" si="6"/>
        <v>3.59</v>
      </c>
      <c r="AC70" s="201">
        <f t="shared" si="7"/>
        <v>0</v>
      </c>
      <c r="AD70" s="203">
        <f t="shared" si="8"/>
        <v>0</v>
      </c>
      <c r="AE70" s="37" t="str">
        <f t="shared" si="9"/>
        <v/>
      </c>
      <c r="AF70" s="202">
        <f t="shared" si="10"/>
        <v>0</v>
      </c>
      <c r="AG70" s="201">
        <f t="shared" si="11"/>
        <v>0</v>
      </c>
      <c r="AH70" s="61">
        <f t="shared" si="12"/>
        <v>3.59</v>
      </c>
      <c r="AI70" s="443">
        <f t="shared" si="115"/>
        <v>0</v>
      </c>
      <c r="AJ70" s="444">
        <f t="shared" si="13"/>
        <v>0</v>
      </c>
      <c r="AK70" s="445">
        <f t="shared" si="14"/>
        <v>0</v>
      </c>
      <c r="AL70" s="446">
        <f t="shared" si="15"/>
        <v>0</v>
      </c>
      <c r="AM70" s="447">
        <f t="shared" si="16"/>
        <v>0</v>
      </c>
      <c r="AN70" s="24">
        <f t="shared" si="17"/>
        <v>3.59</v>
      </c>
      <c r="AO70" s="443">
        <f t="shared" si="18"/>
        <v>0</v>
      </c>
      <c r="AP70" s="444">
        <f t="shared" si="19"/>
        <v>0</v>
      </c>
      <c r="AQ70" s="445">
        <f t="shared" si="20"/>
        <v>0</v>
      </c>
      <c r="AR70" s="446">
        <f t="shared" si="21"/>
        <v>0</v>
      </c>
      <c r="AS70" s="447">
        <f t="shared" si="22"/>
        <v>0</v>
      </c>
      <c r="AT70" s="24">
        <f t="shared" si="23"/>
        <v>3.59</v>
      </c>
      <c r="AU70" s="443">
        <f t="shared" si="24"/>
        <v>0</v>
      </c>
      <c r="AV70" s="444">
        <f t="shared" si="25"/>
        <v>0</v>
      </c>
      <c r="AW70" s="445">
        <f t="shared" si="26"/>
        <v>0</v>
      </c>
      <c r="AX70" s="446">
        <f t="shared" si="27"/>
        <v>0</v>
      </c>
      <c r="AY70" s="447">
        <f t="shared" si="28"/>
        <v>0</v>
      </c>
      <c r="AZ70" s="24">
        <f t="shared" si="29"/>
        <v>3.59</v>
      </c>
      <c r="BA70" s="43">
        <f>IF(BB70=0,0,
IF(D70=1,
(IF(AND(AH70&gt;'Данные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"ошибка_1"))))))),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"ошибка_2"))))))))</f>
        <v>0</v>
      </c>
      <c r="BB70" s="43">
        <f>IF(OR($AI$9=0,AND(D70&gt;1,F70&gt;10)),0,
IF(D70=1,
(IF(AND(AH70&gt;'Данные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"ошибка_1"))))))),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IF(AND(AH70&gt;'Данные ТНПА'!#REF!,AH70&lt;='Данные ТНПА'!#REF!),'Данные ТНПА'!#REF!,
"ошибка_2"))))))))</f>
        <v>0</v>
      </c>
      <c r="BC70" s="43">
        <f t="shared" si="30"/>
        <v>3.59</v>
      </c>
      <c r="BD70" s="237">
        <f t="shared" si="31"/>
        <v>0</v>
      </c>
      <c r="BE70" s="43">
        <f t="shared" si="32"/>
        <v>0</v>
      </c>
      <c r="BF70" s="201">
        <f t="shared" si="33"/>
        <v>0</v>
      </c>
      <c r="BG70" s="201">
        <f t="shared" si="34"/>
        <v>0</v>
      </c>
      <c r="BH70" s="61">
        <f t="shared" si="35"/>
        <v>3.59</v>
      </c>
      <c r="BI70" s="237">
        <f t="shared" si="36"/>
        <v>0</v>
      </c>
      <c r="BJ70" s="247">
        <f t="shared" si="37"/>
        <v>0</v>
      </c>
      <c r="BK70" s="431">
        <f t="shared" si="38"/>
        <v>0</v>
      </c>
      <c r="BL70" s="250">
        <f t="shared" si="39"/>
        <v>0</v>
      </c>
      <c r="BM70" s="237">
        <f t="shared" si="40"/>
        <v>0</v>
      </c>
      <c r="BN70" s="452">
        <f t="shared" si="41"/>
        <v>3.59</v>
      </c>
      <c r="BO70" s="237">
        <f t="shared" si="42"/>
        <v>0</v>
      </c>
      <c r="BP70" s="432">
        <f t="shared" si="43"/>
        <v>0</v>
      </c>
      <c r="BQ70" s="22" t="str">
        <f t="shared" si="44"/>
        <v/>
      </c>
      <c r="BR70" s="250">
        <f t="shared" si="45"/>
        <v>0</v>
      </c>
      <c r="BS70" s="237">
        <f t="shared" si="46"/>
        <v>0</v>
      </c>
      <c r="BT70" s="452">
        <f t="shared" si="47"/>
        <v>3.59</v>
      </c>
      <c r="BU70" s="492">
        <f t="shared" si="48"/>
        <v>0.92</v>
      </c>
      <c r="BV70" s="493">
        <f>IF(BT70="","",
IF(AND(BT70&gt;'Данные ТНПА'!$K$8,BT70&lt;='Данные ТНПА'!$L$8),'Данные ТНПА'!$N$8,
IF(AND(BT70&gt;'Данные ТНПА'!$K$9,BT70&lt;='Данные ТНПА'!$L$9),'Данные ТНПА'!$N$9,
IF(AND(BT70&gt;'Данные ТНПА'!$K$10,BT70&lt;='Данные ТНПА'!$L$10),'Данные ТНПА'!$N$10,
IF(AND(BT70&gt;'Данные ТНПА'!$K$11,BT70&lt;='Данные ТНПА'!$L$11),'Данные ТНПА'!$N$11,
IF(AND(BT70&gt;'Данные ТНПА'!$K$12,BT70&lt;='Данные ТНПА'!$L$12),'Данные ТНПА'!$N$12,
IF(AND(BT70&gt;'Данные ТНПА'!$K$13,BT70&lt;='Данные ТНПА'!$L$13),'Данные ТНПА'!$N$13,
IF(AND(BT70&gt;'Данные ТНПА'!$K$14,BT70&lt;='Данные ТНПА'!$L$14),'Данные ТНПА'!$N$14))))))))</f>
        <v>1.2</v>
      </c>
      <c r="BW70" s="493">
        <f t="shared" si="49"/>
        <v>5.99</v>
      </c>
      <c r="BX70" s="457">
        <f t="shared" si="50"/>
        <v>27</v>
      </c>
      <c r="BY70" s="457">
        <f t="shared" si="51"/>
        <v>0</v>
      </c>
      <c r="BZ70" s="457">
        <f t="shared" si="52"/>
        <v>11.210943030338472</v>
      </c>
      <c r="CA70" s="457" t="e">
        <f t="shared" si="53"/>
        <v>#REF!</v>
      </c>
      <c r="CB70" s="458">
        <f t="shared" si="54"/>
        <v>0</v>
      </c>
      <c r="CC70" s="457">
        <f t="shared" si="55"/>
        <v>0</v>
      </c>
      <c r="CD70" s="457">
        <f t="shared" si="56"/>
        <v>0</v>
      </c>
      <c r="CE70" s="457">
        <f t="shared" si="57"/>
        <v>0</v>
      </c>
      <c r="CF70" s="457">
        <f t="shared" si="58"/>
        <v>0</v>
      </c>
      <c r="CG70" s="458">
        <f t="shared" si="59"/>
        <v>0</v>
      </c>
      <c r="CH70" s="457">
        <f t="shared" si="60"/>
        <v>0</v>
      </c>
      <c r="CI70" s="457">
        <f t="shared" si="61"/>
        <v>0</v>
      </c>
      <c r="CJ70" s="458">
        <f t="shared" si="62"/>
        <v>0</v>
      </c>
      <c r="CK70" s="458">
        <f t="shared" si="63"/>
        <v>26.292265378046494</v>
      </c>
      <c r="CL70" s="457">
        <f t="shared" si="64"/>
        <v>64.503208408384964</v>
      </c>
      <c r="CM70" s="504"/>
      <c r="CN70" s="504"/>
    </row>
    <row r="71" spans="1:92" s="207" customFormat="1" ht="14.25" hidden="1" customHeight="1" x14ac:dyDescent="0.25">
      <c r="A71" s="389" t="str">
        <f>IF(D71="",CONCATENATE("Кабель ",IF(C71="а","А",""),$A$9),CONCATENATE("Кабель ",IF(C71="а","А",""),$A$9," ",D71,"*",F71,IF(G71="ок"," (ож)","")," - ",B71," ",IF(G71="мс"," фас. ",""),$A$2))</f>
        <v>Кабель АВВГ 1*16 - 0,66 ГОСТ 16442-80</v>
      </c>
      <c r="B71" s="450">
        <v>0.66</v>
      </c>
      <c r="C71" s="451" t="s">
        <v>164</v>
      </c>
      <c r="D71" s="412">
        <v>1</v>
      </c>
      <c r="E71" s="413" t="s">
        <v>40</v>
      </c>
      <c r="F71" s="423">
        <v>16</v>
      </c>
      <c r="G71" s="414" t="s">
        <v>154</v>
      </c>
      <c r="H71" s="461">
        <v>1.77</v>
      </c>
      <c r="I71" s="476">
        <v>7</v>
      </c>
      <c r="J71" s="477" t="s">
        <v>40</v>
      </c>
      <c r="K71" s="470">
        <f>ROUNDUP(SQRT(F71/I71/PI()*4*1.07),2)</f>
        <v>1.77</v>
      </c>
      <c r="L71" s="501">
        <v>2.2599999999999998</v>
      </c>
      <c r="M71" s="475"/>
      <c r="N71" s="475"/>
      <c r="O71" s="475"/>
      <c r="P71" s="475"/>
      <c r="Q71" s="483">
        <f t="shared" si="0"/>
        <v>0.71000000000000008</v>
      </c>
      <c r="R71" s="484">
        <f>IF(B71=0.66,VLOOKUP(F71,'Данные ТНПА'!$B$8:$C$16,2,0),
IF(B71=1,VLOOKUP(F71,'Данные ТНПА'!$B$17:$C$37,2,0),"ошибка"))</f>
        <v>0.9</v>
      </c>
      <c r="S71" s="485">
        <f t="shared" si="1"/>
        <v>3.6799999999999997</v>
      </c>
      <c r="T71" s="486"/>
      <c r="U71" s="487"/>
      <c r="V71" s="485">
        <f t="shared" si="2"/>
        <v>4.0599999999999996</v>
      </c>
      <c r="W71" s="486"/>
      <c r="X71" s="487"/>
      <c r="Y71" s="489">
        <f t="shared" si="3"/>
        <v>0</v>
      </c>
      <c r="Z71" s="491">
        <f t="shared" si="4"/>
        <v>4.0599999999999996</v>
      </c>
      <c r="AA71" s="237">
        <f t="shared" si="5"/>
        <v>0</v>
      </c>
      <c r="AB71" s="452">
        <f t="shared" si="6"/>
        <v>4.0599999999999996</v>
      </c>
      <c r="AC71" s="201">
        <f t="shared" si="7"/>
        <v>0</v>
      </c>
      <c r="AD71" s="203">
        <f t="shared" si="8"/>
        <v>0</v>
      </c>
      <c r="AE71" s="37" t="str">
        <f t="shared" si="9"/>
        <v/>
      </c>
      <c r="AF71" s="202">
        <f t="shared" si="10"/>
        <v>0</v>
      </c>
      <c r="AG71" s="201">
        <f t="shared" si="11"/>
        <v>0</v>
      </c>
      <c r="AH71" s="61">
        <f t="shared" si="12"/>
        <v>4.0599999999999996</v>
      </c>
      <c r="AI71" s="443">
        <f t="shared" si="115"/>
        <v>0</v>
      </c>
      <c r="AJ71" s="444">
        <f t="shared" si="13"/>
        <v>0</v>
      </c>
      <c r="AK71" s="445">
        <f t="shared" si="14"/>
        <v>0</v>
      </c>
      <c r="AL71" s="446">
        <f t="shared" si="15"/>
        <v>0</v>
      </c>
      <c r="AM71" s="447">
        <f t="shared" si="16"/>
        <v>0</v>
      </c>
      <c r="AN71" s="24">
        <f t="shared" si="17"/>
        <v>4.0599999999999996</v>
      </c>
      <c r="AO71" s="443">
        <f t="shared" si="18"/>
        <v>0</v>
      </c>
      <c r="AP71" s="444">
        <f t="shared" si="19"/>
        <v>0</v>
      </c>
      <c r="AQ71" s="445">
        <f t="shared" si="20"/>
        <v>0</v>
      </c>
      <c r="AR71" s="446">
        <f t="shared" si="21"/>
        <v>0</v>
      </c>
      <c r="AS71" s="447">
        <f t="shared" si="22"/>
        <v>0</v>
      </c>
      <c r="AT71" s="24">
        <f t="shared" si="23"/>
        <v>4.0599999999999996</v>
      </c>
      <c r="AU71" s="443">
        <f t="shared" si="24"/>
        <v>0</v>
      </c>
      <c r="AV71" s="444">
        <f t="shared" si="25"/>
        <v>0</v>
      </c>
      <c r="AW71" s="445">
        <f t="shared" si="26"/>
        <v>0</v>
      </c>
      <c r="AX71" s="446">
        <f t="shared" si="27"/>
        <v>0</v>
      </c>
      <c r="AY71" s="447">
        <f t="shared" si="28"/>
        <v>0</v>
      </c>
      <c r="AZ71" s="24">
        <f t="shared" si="29"/>
        <v>4.0599999999999996</v>
      </c>
      <c r="BA71" s="43">
        <f>IF(BB71=0,0,
IF(D71=1,
(IF(AND(AH71&gt;'Данные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"ошибка_1"))))))),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"ошибка_2"))))))))</f>
        <v>0</v>
      </c>
      <c r="BB71" s="43">
        <f>IF(OR($AI$9=0,AND(D71&gt;1,F71&gt;10)),0,
IF(D71=1,
(IF(AND(AH71&gt;'Данные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"ошибка_1"))))))),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IF(AND(AH71&gt;'Данные ТНПА'!#REF!,AH71&lt;='Данные ТНПА'!#REF!),'Данные ТНПА'!#REF!,
"ошибка_2"))))))))</f>
        <v>0</v>
      </c>
      <c r="BC71" s="43">
        <f t="shared" si="30"/>
        <v>4.0599999999999996</v>
      </c>
      <c r="BD71" s="237">
        <f t="shared" si="31"/>
        <v>0</v>
      </c>
      <c r="BE71" s="43">
        <f t="shared" si="32"/>
        <v>0</v>
      </c>
      <c r="BF71" s="201">
        <f t="shared" si="33"/>
        <v>0</v>
      </c>
      <c r="BG71" s="201">
        <f t="shared" si="34"/>
        <v>0</v>
      </c>
      <c r="BH71" s="61">
        <f t="shared" si="35"/>
        <v>4.0599999999999996</v>
      </c>
      <c r="BI71" s="237">
        <f t="shared" si="36"/>
        <v>0</v>
      </c>
      <c r="BJ71" s="247">
        <f t="shared" si="37"/>
        <v>0</v>
      </c>
      <c r="BK71" s="431">
        <f t="shared" si="38"/>
        <v>0</v>
      </c>
      <c r="BL71" s="250">
        <f t="shared" si="39"/>
        <v>0</v>
      </c>
      <c r="BM71" s="237">
        <f t="shared" si="40"/>
        <v>0</v>
      </c>
      <c r="BN71" s="452">
        <f t="shared" si="41"/>
        <v>4.0599999999999996</v>
      </c>
      <c r="BO71" s="237">
        <f t="shared" si="42"/>
        <v>0</v>
      </c>
      <c r="BP71" s="432">
        <f t="shared" si="43"/>
        <v>0</v>
      </c>
      <c r="BQ71" s="22" t="str">
        <f t="shared" si="44"/>
        <v/>
      </c>
      <c r="BR71" s="250">
        <f t="shared" si="45"/>
        <v>0</v>
      </c>
      <c r="BS71" s="237">
        <f t="shared" si="46"/>
        <v>0</v>
      </c>
      <c r="BT71" s="452">
        <f t="shared" si="47"/>
        <v>4.0599999999999996</v>
      </c>
      <c r="BU71" s="492">
        <f t="shared" si="48"/>
        <v>0.92</v>
      </c>
      <c r="BV71" s="493">
        <f>IF(BT71="","",
IF(AND(BT71&gt;'Данные ТНПА'!$K$8,BT71&lt;='Данные ТНПА'!$L$8),'Данные ТНПА'!$N$8,
IF(AND(BT71&gt;'Данные ТНПА'!$K$9,BT71&lt;='Данные ТНПА'!$L$9),'Данные ТНПА'!$N$9,
IF(AND(BT71&gt;'Данные ТНПА'!$K$10,BT71&lt;='Данные ТНПА'!$L$10),'Данные ТНПА'!$N$10,
IF(AND(BT71&gt;'Данные ТНПА'!$K$11,BT71&lt;='Данные ТНПА'!$L$11),'Данные ТНПА'!$N$11,
IF(AND(BT71&gt;'Данные ТНПА'!$K$12,BT71&lt;='Данные ТНПА'!$L$12),'Данные ТНПА'!$N$12,
IF(AND(BT71&gt;'Данные ТНПА'!$K$13,BT71&lt;='Данные ТНПА'!$L$13),'Данные ТНПА'!$N$13,
IF(AND(BT71&gt;'Данные ТНПА'!$K$14,BT71&lt;='Данные ТНПА'!$L$14),'Данные ТНПА'!$N$14))))))))</f>
        <v>1.2</v>
      </c>
      <c r="BW71" s="493">
        <f t="shared" si="49"/>
        <v>6.4599999999999991</v>
      </c>
      <c r="BX71" s="457">
        <f t="shared" si="50"/>
        <v>43.2</v>
      </c>
      <c r="BY71" s="457">
        <f t="shared" si="51"/>
        <v>0</v>
      </c>
      <c r="BZ71" s="457">
        <f t="shared" si="52"/>
        <v>13.169732333037013</v>
      </c>
      <c r="CA71" s="457" t="e">
        <f t="shared" si="53"/>
        <v>#REF!</v>
      </c>
      <c r="CB71" s="458">
        <f t="shared" si="54"/>
        <v>0</v>
      </c>
      <c r="CC71" s="457">
        <f t="shared" si="55"/>
        <v>0</v>
      </c>
      <c r="CD71" s="457">
        <f t="shared" si="56"/>
        <v>0</v>
      </c>
      <c r="CE71" s="457">
        <f t="shared" si="57"/>
        <v>0</v>
      </c>
      <c r="CF71" s="457">
        <f t="shared" si="58"/>
        <v>0</v>
      </c>
      <c r="CG71" s="458">
        <f t="shared" si="59"/>
        <v>0</v>
      </c>
      <c r="CH71" s="457">
        <f t="shared" si="60"/>
        <v>0</v>
      </c>
      <c r="CI71" s="457">
        <f t="shared" si="61"/>
        <v>0</v>
      </c>
      <c r="CJ71" s="458">
        <f t="shared" si="62"/>
        <v>0</v>
      </c>
      <c r="CK71" s="458">
        <f t="shared" si="63"/>
        <v>28.872090999691974</v>
      </c>
      <c r="CL71" s="457">
        <f t="shared" si="64"/>
        <v>85.241823332728984</v>
      </c>
      <c r="CM71" s="504"/>
      <c r="CN71" s="504"/>
    </row>
    <row r="72" spans="1:92" s="207" customFormat="1" ht="14.25" hidden="1" customHeight="1" x14ac:dyDescent="0.25">
      <c r="A72" s="389" t="str">
        <f>IF(D72="",CONCATENATE("Кабель ",IF(C72="а","А",""),$A$9),CONCATENATE("Кабель ",IF(C72="а","А",""),$A$9," ",D72,"*",F72,IF(G72="ок"," (ож)","")," - ",B72," ",IF(G72="мс"," фас. ",""),$A$2))</f>
        <v>Кабель АВВГ 1*25 - 0,66 ГОСТ 16442-80</v>
      </c>
      <c r="B72" s="450">
        <v>0.66</v>
      </c>
      <c r="C72" s="451" t="s">
        <v>164</v>
      </c>
      <c r="D72" s="412">
        <v>1</v>
      </c>
      <c r="E72" s="413" t="s">
        <v>40</v>
      </c>
      <c r="F72" s="423">
        <v>25</v>
      </c>
      <c r="G72" s="414" t="s">
        <v>154</v>
      </c>
      <c r="H72" s="461">
        <v>1.34</v>
      </c>
      <c r="I72" s="476">
        <v>19</v>
      </c>
      <c r="J72" s="477" t="s">
        <v>40</v>
      </c>
      <c r="K72" s="470">
        <f>ROUNDUP(SQRT(F72/I72/PI()*4*1.07),2)</f>
        <v>1.34</v>
      </c>
      <c r="L72" s="501">
        <v>2.7699999999999996</v>
      </c>
      <c r="M72" s="475"/>
      <c r="N72" s="475"/>
      <c r="O72" s="475"/>
      <c r="P72" s="475"/>
      <c r="Q72" s="483">
        <f t="shared" si="0"/>
        <v>0.89000000000000012</v>
      </c>
      <c r="R72" s="484">
        <f>IF(B72=0.66,VLOOKUP(F72,'Данные ТНПА'!$B$8:$C$16,2,0),
IF(B72=1,VLOOKUP(F72,'Данные ТНПА'!$B$17:$C$37,2,0),"ошибка"))</f>
        <v>1.1000000000000001</v>
      </c>
      <c r="S72" s="485">
        <f t="shared" si="1"/>
        <v>4.55</v>
      </c>
      <c r="T72" s="486"/>
      <c r="U72" s="487"/>
      <c r="V72" s="485">
        <f t="shared" si="2"/>
        <v>4.97</v>
      </c>
      <c r="W72" s="486"/>
      <c r="X72" s="487"/>
      <c r="Y72" s="489">
        <f t="shared" si="3"/>
        <v>0</v>
      </c>
      <c r="Z72" s="491">
        <f t="shared" si="4"/>
        <v>4.97</v>
      </c>
      <c r="AA72" s="237">
        <f t="shared" si="5"/>
        <v>0</v>
      </c>
      <c r="AB72" s="452">
        <f t="shared" si="6"/>
        <v>4.97</v>
      </c>
      <c r="AC72" s="201">
        <f t="shared" si="7"/>
        <v>0</v>
      </c>
      <c r="AD72" s="203">
        <f t="shared" si="8"/>
        <v>0</v>
      </c>
      <c r="AE72" s="37" t="str">
        <f t="shared" si="9"/>
        <v/>
      </c>
      <c r="AF72" s="202">
        <f t="shared" si="10"/>
        <v>0</v>
      </c>
      <c r="AG72" s="201">
        <f t="shared" si="11"/>
        <v>0</v>
      </c>
      <c r="AH72" s="61">
        <f t="shared" si="12"/>
        <v>4.97</v>
      </c>
      <c r="AI72" s="443">
        <f t="shared" si="115"/>
        <v>0</v>
      </c>
      <c r="AJ72" s="444">
        <f t="shared" si="13"/>
        <v>0</v>
      </c>
      <c r="AK72" s="445">
        <f t="shared" si="14"/>
        <v>0</v>
      </c>
      <c r="AL72" s="446">
        <f t="shared" si="15"/>
        <v>0</v>
      </c>
      <c r="AM72" s="447">
        <f t="shared" si="16"/>
        <v>0</v>
      </c>
      <c r="AN72" s="24">
        <f t="shared" si="17"/>
        <v>4.97</v>
      </c>
      <c r="AO72" s="443">
        <f t="shared" si="18"/>
        <v>0</v>
      </c>
      <c r="AP72" s="444">
        <f t="shared" si="19"/>
        <v>0</v>
      </c>
      <c r="AQ72" s="445">
        <f t="shared" si="20"/>
        <v>0</v>
      </c>
      <c r="AR72" s="446">
        <f t="shared" si="21"/>
        <v>0</v>
      </c>
      <c r="AS72" s="447">
        <f t="shared" si="22"/>
        <v>0</v>
      </c>
      <c r="AT72" s="24">
        <f t="shared" si="23"/>
        <v>4.97</v>
      </c>
      <c r="AU72" s="443">
        <f t="shared" si="24"/>
        <v>0</v>
      </c>
      <c r="AV72" s="444">
        <f t="shared" si="25"/>
        <v>0</v>
      </c>
      <c r="AW72" s="445">
        <f t="shared" si="26"/>
        <v>0</v>
      </c>
      <c r="AX72" s="446">
        <f t="shared" si="27"/>
        <v>0</v>
      </c>
      <c r="AY72" s="447">
        <f t="shared" si="28"/>
        <v>0</v>
      </c>
      <c r="AZ72" s="24">
        <f t="shared" si="29"/>
        <v>4.97</v>
      </c>
      <c r="BA72" s="43">
        <f>IF(BB72=0,0,
IF(D72=1,
(IF(AND(AH72&gt;'Данные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"ошибка_1"))))))),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"ошибка_2"))))))))</f>
        <v>0</v>
      </c>
      <c r="BB72" s="43">
        <f>IF(OR($AI$9=0,AND(D72&gt;1,F72&gt;10)),0,
IF(D72=1,
(IF(AND(AH72&gt;'Данные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"ошибка_1"))))))),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IF(AND(AH72&gt;'Данные ТНПА'!#REF!,AH72&lt;='Данные ТНПА'!#REF!),'Данные ТНПА'!#REF!,
"ошибка_2"))))))))</f>
        <v>0</v>
      </c>
      <c r="BC72" s="43">
        <f t="shared" si="30"/>
        <v>4.97</v>
      </c>
      <c r="BD72" s="237">
        <f t="shared" si="31"/>
        <v>0</v>
      </c>
      <c r="BE72" s="43">
        <f t="shared" si="32"/>
        <v>0</v>
      </c>
      <c r="BF72" s="201">
        <f t="shared" si="33"/>
        <v>0</v>
      </c>
      <c r="BG72" s="201">
        <f t="shared" si="34"/>
        <v>0</v>
      </c>
      <c r="BH72" s="61">
        <f t="shared" si="35"/>
        <v>4.97</v>
      </c>
      <c r="BI72" s="237">
        <f t="shared" si="36"/>
        <v>0</v>
      </c>
      <c r="BJ72" s="247">
        <f t="shared" si="37"/>
        <v>0</v>
      </c>
      <c r="BK72" s="431">
        <f t="shared" si="38"/>
        <v>0</v>
      </c>
      <c r="BL72" s="250">
        <f t="shared" si="39"/>
        <v>0</v>
      </c>
      <c r="BM72" s="237">
        <f t="shared" si="40"/>
        <v>0</v>
      </c>
      <c r="BN72" s="452">
        <f t="shared" si="41"/>
        <v>4.97</v>
      </c>
      <c r="BO72" s="237">
        <f t="shared" si="42"/>
        <v>0</v>
      </c>
      <c r="BP72" s="432">
        <f t="shared" si="43"/>
        <v>0</v>
      </c>
      <c r="BQ72" s="22" t="str">
        <f t="shared" si="44"/>
        <v/>
      </c>
      <c r="BR72" s="250">
        <f t="shared" si="45"/>
        <v>0</v>
      </c>
      <c r="BS72" s="237">
        <f t="shared" si="46"/>
        <v>0</v>
      </c>
      <c r="BT72" s="452">
        <f t="shared" si="47"/>
        <v>4.97</v>
      </c>
      <c r="BU72" s="492">
        <f t="shared" si="48"/>
        <v>0.92</v>
      </c>
      <c r="BV72" s="493">
        <f>IF(BT72="","",
IF(AND(BT72&gt;'Данные ТНПА'!$K$8,BT72&lt;='Данные ТНПА'!$L$8),'Данные ТНПА'!$N$8,
IF(AND(BT72&gt;'Данные ТНПА'!$K$9,BT72&lt;='Данные ТНПА'!$L$9),'Данные ТНПА'!$N$9,
IF(AND(BT72&gt;'Данные ТНПА'!$K$10,BT72&lt;='Данные ТНПА'!$L$10),'Данные ТНПА'!$N$10,
IF(AND(BT72&gt;'Данные ТНПА'!$K$11,BT72&lt;='Данные ТНПА'!$L$11),'Данные ТНПА'!$N$11,
IF(AND(BT72&gt;'Данные ТНПА'!$K$12,BT72&lt;='Данные ТНПА'!$L$12),'Данные ТНПА'!$N$12,
IF(AND(BT72&gt;'Данные ТНПА'!$K$13,BT72&lt;='Данные ТНПА'!$L$13),'Данные ТНПА'!$N$13,
IF(AND(BT72&gt;'Данные ТНПА'!$K$14,BT72&lt;='Данные ТНПА'!$L$14),'Данные ТНПА'!$N$14))))))))</f>
        <v>1.2</v>
      </c>
      <c r="BW72" s="493">
        <f t="shared" si="49"/>
        <v>7.3699999999999992</v>
      </c>
      <c r="BX72" s="457">
        <f t="shared" si="50"/>
        <v>67.5</v>
      </c>
      <c r="BY72" s="457">
        <f t="shared" si="51"/>
        <v>0</v>
      </c>
      <c r="BZ72" s="457">
        <f t="shared" si="52"/>
        <v>19.712922131412999</v>
      </c>
      <c r="CA72" s="457" t="e">
        <f t="shared" si="53"/>
        <v>#REF!</v>
      </c>
      <c r="CB72" s="458">
        <f t="shared" si="54"/>
        <v>0</v>
      </c>
      <c r="CC72" s="457">
        <f t="shared" si="55"/>
        <v>0</v>
      </c>
      <c r="CD72" s="457">
        <f t="shared" si="56"/>
        <v>0</v>
      </c>
      <c r="CE72" s="457">
        <f t="shared" si="57"/>
        <v>0</v>
      </c>
      <c r="CF72" s="457">
        <f t="shared" si="58"/>
        <v>0</v>
      </c>
      <c r="CG72" s="458">
        <f t="shared" si="59"/>
        <v>0</v>
      </c>
      <c r="CH72" s="457">
        <f t="shared" si="60"/>
        <v>0</v>
      </c>
      <c r="CI72" s="457">
        <f t="shared" si="61"/>
        <v>0</v>
      </c>
      <c r="CJ72" s="458">
        <f t="shared" si="62"/>
        <v>0</v>
      </c>
      <c r="CK72" s="458">
        <f t="shared" si="63"/>
        <v>33.867072522452368</v>
      </c>
      <c r="CL72" s="457">
        <f t="shared" si="64"/>
        <v>121.07999465386536</v>
      </c>
      <c r="CM72" s="504"/>
      <c r="CN72" s="504"/>
    </row>
    <row r="73" spans="1:92" s="207" customFormat="1" ht="14.25" hidden="1" customHeight="1" x14ac:dyDescent="0.25">
      <c r="A73" s="389" t="str">
        <f>IF(D73="",CONCATENATE("Кабель ",IF(C73="а","А",""),$A$9),CONCATENATE("Кабель ",IF(C73="а","А",""),$A$9," ",D73,"*",F73,IF(G73="ок"," (ож)","")," - ",B73," ",IF(G73="мс"," фас. ",""),$A$2))</f>
        <v>Кабель АВВГ 1*35 - 0,66 ГОСТ 16442-80</v>
      </c>
      <c r="B73" s="450">
        <v>0.66</v>
      </c>
      <c r="C73" s="451" t="s">
        <v>164</v>
      </c>
      <c r="D73" s="412">
        <v>1</v>
      </c>
      <c r="E73" s="413" t="s">
        <v>40</v>
      </c>
      <c r="F73" s="423">
        <v>35</v>
      </c>
      <c r="G73" s="414" t="s">
        <v>154</v>
      </c>
      <c r="H73" s="461">
        <v>2.61</v>
      </c>
      <c r="I73" s="476">
        <v>7</v>
      </c>
      <c r="J73" s="477" t="s">
        <v>40</v>
      </c>
      <c r="K73" s="470">
        <f>ROUNDUP(SQRT(F73/I73/PI()*4*1.07),2)</f>
        <v>2.61</v>
      </c>
      <c r="L73" s="501">
        <v>3.57</v>
      </c>
      <c r="M73" s="475"/>
      <c r="N73" s="475"/>
      <c r="O73" s="475"/>
      <c r="P73" s="475"/>
      <c r="Q73" s="483">
        <f t="shared" si="0"/>
        <v>0.89000000000000012</v>
      </c>
      <c r="R73" s="484">
        <f>IF(B73=0.66,VLOOKUP(F73,'Данные ТНПА'!$B$8:$C$16,2,0),
IF(B73=1,VLOOKUP(F73,'Данные ТНПА'!$B$17:$C$37,2,0),"ошибка"))</f>
        <v>1.1000000000000001</v>
      </c>
      <c r="S73" s="485">
        <f t="shared" si="1"/>
        <v>5.35</v>
      </c>
      <c r="T73" s="486"/>
      <c r="U73" s="487"/>
      <c r="V73" s="485">
        <f t="shared" si="2"/>
        <v>5.77</v>
      </c>
      <c r="W73" s="486"/>
      <c r="X73" s="487"/>
      <c r="Y73" s="489">
        <f t="shared" si="3"/>
        <v>0</v>
      </c>
      <c r="Z73" s="491">
        <f t="shared" si="4"/>
        <v>5.77</v>
      </c>
      <c r="AA73" s="237">
        <f t="shared" si="5"/>
        <v>0</v>
      </c>
      <c r="AB73" s="452">
        <f t="shared" si="6"/>
        <v>5.77</v>
      </c>
      <c r="AC73" s="201">
        <f t="shared" si="7"/>
        <v>0</v>
      </c>
      <c r="AD73" s="203">
        <f t="shared" si="8"/>
        <v>0</v>
      </c>
      <c r="AE73" s="37" t="str">
        <f t="shared" si="9"/>
        <v/>
      </c>
      <c r="AF73" s="202">
        <f t="shared" si="10"/>
        <v>0</v>
      </c>
      <c r="AG73" s="201">
        <f t="shared" si="11"/>
        <v>0</v>
      </c>
      <c r="AH73" s="61">
        <f t="shared" si="12"/>
        <v>5.77</v>
      </c>
      <c r="AI73" s="443">
        <f t="shared" si="115"/>
        <v>0</v>
      </c>
      <c r="AJ73" s="444">
        <f t="shared" si="13"/>
        <v>0</v>
      </c>
      <c r="AK73" s="445">
        <f t="shared" si="14"/>
        <v>0</v>
      </c>
      <c r="AL73" s="446">
        <f t="shared" si="15"/>
        <v>0</v>
      </c>
      <c r="AM73" s="447">
        <f t="shared" si="16"/>
        <v>0</v>
      </c>
      <c r="AN73" s="24">
        <f t="shared" si="17"/>
        <v>5.77</v>
      </c>
      <c r="AO73" s="443">
        <f t="shared" si="18"/>
        <v>0</v>
      </c>
      <c r="AP73" s="444">
        <f t="shared" si="19"/>
        <v>0</v>
      </c>
      <c r="AQ73" s="445">
        <f t="shared" si="20"/>
        <v>0</v>
      </c>
      <c r="AR73" s="446">
        <f t="shared" si="21"/>
        <v>0</v>
      </c>
      <c r="AS73" s="447">
        <f t="shared" si="22"/>
        <v>0</v>
      </c>
      <c r="AT73" s="24">
        <f t="shared" si="23"/>
        <v>5.77</v>
      </c>
      <c r="AU73" s="443">
        <f t="shared" si="24"/>
        <v>0</v>
      </c>
      <c r="AV73" s="444">
        <f t="shared" si="25"/>
        <v>0</v>
      </c>
      <c r="AW73" s="445">
        <f t="shared" si="26"/>
        <v>0</v>
      </c>
      <c r="AX73" s="446">
        <f t="shared" si="27"/>
        <v>0</v>
      </c>
      <c r="AY73" s="447">
        <f t="shared" si="28"/>
        <v>0</v>
      </c>
      <c r="AZ73" s="24">
        <f t="shared" si="29"/>
        <v>5.77</v>
      </c>
      <c r="BA73" s="43">
        <f>IF(BB73=0,0,
IF(D73=1,
(IF(AND(AH73&gt;'Данные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"ошибка_1"))))))),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"ошибка_2"))))))))</f>
        <v>0</v>
      </c>
      <c r="BB73" s="43">
        <f>IF(OR($AI$9=0,AND(D73&gt;1,F73&gt;10)),0,
IF(D73=1,
(IF(AND(AH73&gt;'Данные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"ошибка_1"))))))),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IF(AND(AH73&gt;'Данные ТНПА'!#REF!,AH73&lt;='Данные ТНПА'!#REF!),'Данные ТНПА'!#REF!,
"ошибка_2"))))))))</f>
        <v>0</v>
      </c>
      <c r="BC73" s="43">
        <f t="shared" si="30"/>
        <v>5.77</v>
      </c>
      <c r="BD73" s="237">
        <f t="shared" si="31"/>
        <v>0</v>
      </c>
      <c r="BE73" s="43">
        <f t="shared" si="32"/>
        <v>0</v>
      </c>
      <c r="BF73" s="201">
        <f t="shared" si="33"/>
        <v>0</v>
      </c>
      <c r="BG73" s="201">
        <f t="shared" si="34"/>
        <v>0</v>
      </c>
      <c r="BH73" s="61">
        <f t="shared" si="35"/>
        <v>5.77</v>
      </c>
      <c r="BI73" s="237">
        <f t="shared" si="36"/>
        <v>0</v>
      </c>
      <c r="BJ73" s="247">
        <f t="shared" si="37"/>
        <v>0</v>
      </c>
      <c r="BK73" s="431">
        <f t="shared" si="38"/>
        <v>0</v>
      </c>
      <c r="BL73" s="250">
        <f t="shared" si="39"/>
        <v>0</v>
      </c>
      <c r="BM73" s="237">
        <f t="shared" si="40"/>
        <v>0</v>
      </c>
      <c r="BN73" s="452">
        <f t="shared" si="41"/>
        <v>5.77</v>
      </c>
      <c r="BO73" s="237">
        <f t="shared" si="42"/>
        <v>0</v>
      </c>
      <c r="BP73" s="432">
        <f t="shared" si="43"/>
        <v>0</v>
      </c>
      <c r="BQ73" s="22" t="str">
        <f t="shared" si="44"/>
        <v/>
      </c>
      <c r="BR73" s="250">
        <f t="shared" si="45"/>
        <v>0</v>
      </c>
      <c r="BS73" s="237">
        <f t="shared" si="46"/>
        <v>0</v>
      </c>
      <c r="BT73" s="452">
        <f t="shared" si="47"/>
        <v>5.77</v>
      </c>
      <c r="BU73" s="492">
        <f t="shared" si="48"/>
        <v>0.92</v>
      </c>
      <c r="BV73" s="493">
        <f>IF(BT73="","",
IF(AND(BT73&gt;'Данные ТНПА'!$K$8,BT73&lt;='Данные ТНПА'!$L$8),'Данные ТНПА'!$N$8,
IF(AND(BT73&gt;'Данные ТНПА'!$K$9,BT73&lt;='Данные ТНПА'!$L$9),'Данные ТНПА'!$N$9,
IF(AND(BT73&gt;'Данные ТНПА'!$K$10,BT73&lt;='Данные ТНПА'!$L$10),'Данные ТНПА'!$N$10,
IF(AND(BT73&gt;'Данные ТНПА'!$K$11,BT73&lt;='Данные ТНПА'!$L$11),'Данные ТНПА'!$N$11,
IF(AND(BT73&gt;'Данные ТНПА'!$K$12,BT73&lt;='Данные ТНПА'!$L$12),'Данные ТНПА'!$N$12,
IF(AND(BT73&gt;'Данные ТНПА'!$K$13,BT73&lt;='Данные ТНПА'!$L$13),'Данные ТНПА'!$N$13,
IF(AND(BT73&gt;'Данные ТНПА'!$K$14,BT73&lt;='Данные ТНПА'!$L$14),'Данные ТНПА'!$N$14))))))))</f>
        <v>1.2</v>
      </c>
      <c r="BW73" s="493">
        <f t="shared" si="49"/>
        <v>8.17</v>
      </c>
      <c r="BX73" s="457">
        <f t="shared" si="50"/>
        <v>94.5</v>
      </c>
      <c r="BY73" s="457">
        <f t="shared" si="51"/>
        <v>0</v>
      </c>
      <c r="BZ73" s="457">
        <f t="shared" si="52"/>
        <v>23.787944794237401</v>
      </c>
      <c r="CA73" s="457" t="e">
        <f t="shared" si="53"/>
        <v>#REF!</v>
      </c>
      <c r="CB73" s="458">
        <f t="shared" si="54"/>
        <v>0</v>
      </c>
      <c r="CC73" s="457">
        <f t="shared" si="55"/>
        <v>0</v>
      </c>
      <c r="CD73" s="457">
        <f t="shared" si="56"/>
        <v>0</v>
      </c>
      <c r="CE73" s="457">
        <f t="shared" si="57"/>
        <v>0</v>
      </c>
      <c r="CF73" s="457">
        <f t="shared" si="58"/>
        <v>0</v>
      </c>
      <c r="CG73" s="458">
        <f t="shared" si="59"/>
        <v>0</v>
      </c>
      <c r="CH73" s="457">
        <f t="shared" si="60"/>
        <v>0</v>
      </c>
      <c r="CI73" s="457">
        <f t="shared" si="61"/>
        <v>0</v>
      </c>
      <c r="CJ73" s="458">
        <f t="shared" si="62"/>
        <v>0</v>
      </c>
      <c r="CK73" s="458">
        <f t="shared" si="63"/>
        <v>38.258265069934041</v>
      </c>
      <c r="CL73" s="457">
        <f t="shared" si="64"/>
        <v>156.54620986417143</v>
      </c>
      <c r="CM73" s="504"/>
      <c r="CN73" s="504"/>
    </row>
    <row r="74" spans="1:92" s="207" customFormat="1" ht="14.25" hidden="1" customHeight="1" x14ac:dyDescent="0.25">
      <c r="A74" s="389" t="str">
        <f>IF(D74="",CONCATENATE("Кабель ",IF(C74="а","А",""),$A$9),CONCATENATE("Кабель ",IF(C74="а","А",""),$A$9," ",D74,"*",F74,IF(G74="ок"," (ож)","")," - ",B74," ",IF(G74="мс"," фас. ",""),$A$2))</f>
        <v>Кабель АВВГ 1*50 - 0,66 ГОСТ 16442-80</v>
      </c>
      <c r="B74" s="450">
        <v>0.66</v>
      </c>
      <c r="C74" s="451" t="s">
        <v>164</v>
      </c>
      <c r="D74" s="412">
        <v>1</v>
      </c>
      <c r="E74" s="413" t="s">
        <v>40</v>
      </c>
      <c r="F74" s="423">
        <v>50</v>
      </c>
      <c r="G74" s="414" t="s">
        <v>154</v>
      </c>
      <c r="H74" s="461">
        <v>3.1199999999999997</v>
      </c>
      <c r="I74" s="476">
        <v>7</v>
      </c>
      <c r="J74" s="477" t="s">
        <v>40</v>
      </c>
      <c r="K74" s="470">
        <f>ROUNDUP(SQRT(F74/I74/PI()*4*1.07),2)</f>
        <v>3.1199999999999997</v>
      </c>
      <c r="L74" s="501">
        <v>4.1100000000000003</v>
      </c>
      <c r="M74" s="475"/>
      <c r="N74" s="475"/>
      <c r="O74" s="475"/>
      <c r="P74" s="475"/>
      <c r="Q74" s="483">
        <f t="shared" ref="Q74:Q82" si="119">0.9*R74-0.1</f>
        <v>1.07</v>
      </c>
      <c r="R74" s="484">
        <f>IF(B74=0.66,VLOOKUP(F74,'Данные ТНПА'!$B$8:$C$16,2,0),
IF(B74=1,VLOOKUP(F74,'Данные ТНПА'!$B$17:$C$37,2,0),"ошибка"))</f>
        <v>1.3</v>
      </c>
      <c r="S74" s="485">
        <f t="shared" ref="S74:S137" si="120">IF(I74=1,K74+2*Q74,L74+2*Q74)</f>
        <v>6.25</v>
      </c>
      <c r="T74" s="486"/>
      <c r="U74" s="487"/>
      <c r="V74" s="485">
        <f t="shared" ref="V74:V137" si="121">IF(I74=1,K74+2*R74,L74+2*R74)</f>
        <v>6.7100000000000009</v>
      </c>
      <c r="W74" s="486"/>
      <c r="X74" s="487"/>
      <c r="Y74" s="489">
        <f t="shared" ref="Y74:Y137" si="122">IF(V74="","",ROUND(V74*IF(AND(D74=4,F74&gt;16),0.414,IF(D74=5,0.702,0)),1))</f>
        <v>0</v>
      </c>
      <c r="Z74" s="491">
        <f t="shared" ref="Z74:Z137" si="123">IF(R74="","",
IF(G74="мс",2*(V74+(N74+R74)*(1/COS(PI()*(D74-2)/(2*D74))-1)),
IF(D74=1,V74*1,IF(D74=2,V74*2,IF(D74=3,V74*2.15,IF(D74=4,V74*2.41,IF(D74=5,V74*2.7,"ошибка")))))))</f>
        <v>6.7100000000000009</v>
      </c>
      <c r="AA74" s="237">
        <f t="shared" ref="AA74:AA137" si="124">IF(G74="","",IF(G74="мс",$AA$9,0))</f>
        <v>0</v>
      </c>
      <c r="AB74" s="452">
        <f t="shared" ref="AB74:AB82" si="125">IF(Z74="","",Z74)</f>
        <v>6.7100000000000009</v>
      </c>
      <c r="AC74" s="201">
        <f t="shared" ref="AC74:AC137" si="126">IF(G74="","",IF(G74="мс",$AC$9,0))</f>
        <v>0</v>
      </c>
      <c r="AD74" s="203">
        <f t="shared" ref="AD74:AD82" si="127">IF(AC74="","",IF(AC74&gt;0,IF(AND(Z74&gt;=10,Z74&lt;=20),0.035,IF(Z74&gt;20,0.05,"ошибка")),0))</f>
        <v>0</v>
      </c>
      <c r="AE74" s="37" t="str">
        <f t="shared" ref="AE74:AE137" si="128">IF(Z74="","",IF(AND(G74="мс",AC74&gt;0),"×",""))</f>
        <v/>
      </c>
      <c r="AF74" s="202">
        <f t="shared" ref="AF74:AF82" si="129">IF(AC74="","",IF(AC74&gt;0,IF(AND(Z74&gt;=10,Z74&lt;=20),50,IF(Z74&gt;20,60,"ошибка")),0))</f>
        <v>0</v>
      </c>
      <c r="AG74" s="201">
        <f t="shared" ref="AG74:AG82" si="130">IF(AC74="","",IF(AC74&gt;0,IF(AND(Z74&gt;=10,Z74&lt;=13),40,IF(AND(Z74&gt;=13,Z74&lt;=16),30,IF(Z74&gt;16,25,"ошибка"))),0))</f>
        <v>0</v>
      </c>
      <c r="AH74" s="61">
        <f t="shared" ref="AH74:AH137" si="131">IF(Z74="","",IF(AND(G74="мс",AC74&gt;0),Z74+2*AC74*AD74*IF(AG74&lt;=25,1,IF(AG74&gt;33,2,1.5)),Z74))</f>
        <v>6.7100000000000009</v>
      </c>
      <c r="AI74" s="443">
        <f t="shared" si="115"/>
        <v>0</v>
      </c>
      <c r="AJ74" s="444">
        <f t="shared" ref="AJ74:AJ82" si="132">IF(AI74=0,0,$AJ$9)</f>
        <v>0</v>
      </c>
      <c r="AK74" s="445">
        <f t="shared" ref="AK74:AK82" si="133">IF(AI74="","",IF(AI74=0,0,"×"))</f>
        <v>0</v>
      </c>
      <c r="AL74" s="446">
        <f t="shared" ref="AL74:AL82" si="134">IF(AI74=0,0,$AL$9)</f>
        <v>0</v>
      </c>
      <c r="AM74" s="447">
        <f t="shared" ref="AM74:AM82" si="135">IF(AI74=0,0,
IF(AND(AH74&gt;10,AH74&lt;=13),55,
IF(AND(AH74&gt;13,AH74&lt;=15),45,
IF(AND(AH74&gt;15,AH74&lt;=18),35,
IF(AND(AH74&gt;18,AH74&lt;=20),30,
IF(AH74&gt;20,15,
0))))))</f>
        <v>0</v>
      </c>
      <c r="AN74" s="24">
        <f t="shared" ref="AN74:AN82" si="136">AH74+2*AI74*AJ74*(IF(AM74&lt;25,1,IF(AM74&gt;33,2,1.5)))</f>
        <v>6.7100000000000009</v>
      </c>
      <c r="AO74" s="443">
        <f t="shared" ref="AO74:AO137" si="137">IF(OR(AI74=0,AN74&lt;=10,AN74&gt;23,AND(D74&gt;1,F74&lt;=10,OR(G74="ок",G74="мк"))),0,1)</f>
        <v>0</v>
      </c>
      <c r="AP74" s="444">
        <f t="shared" ref="AP74:AP82" si="138">IF(OR(AO74=0,AN74&gt;23),0,$AP$9)</f>
        <v>0</v>
      </c>
      <c r="AQ74" s="445">
        <f t="shared" ref="AQ74:AQ82" si="139">IF(OR(AN74&gt;23,AO74=0),0,"×")</f>
        <v>0</v>
      </c>
      <c r="AR74" s="446">
        <f t="shared" ref="AR74:AR82" si="140">IF(OR(AN74&gt;23,AO74=0),0,$AR$9)</f>
        <v>0</v>
      </c>
      <c r="AS74" s="447">
        <f t="shared" ref="AS74:AS82" si="141">IF(AO74=0,0,
IF(AND(AH74&gt;10,AH74&lt;=13),55,
IF(AND(AH74&gt;13,AH74&lt;=15),45,
IF(AND(AH74&gt;15,AH74&lt;=18),35,
IF(AND(AH74&gt;18,AH74&lt;=20),30,
IF(AND(AH74&gt;20,AH74&lt;=23),15,
0))))))</f>
        <v>0</v>
      </c>
      <c r="AT74" s="24">
        <f t="shared" ref="AT74:AT82" si="142">AN74+2*AO74*AP74*(IF(AS74&lt;25,1,IF(AS74&gt;33,2,1.5)))</f>
        <v>6.7100000000000009</v>
      </c>
      <c r="AU74" s="443">
        <f t="shared" ref="AU74:AU137" si="143">IF(OR(AI74=0,D74=1,AN74&lt;=23),0,1)</f>
        <v>0</v>
      </c>
      <c r="AV74" s="444">
        <f t="shared" ref="AV74:AV82" si="144">IF(OR(AU74=0,AN74&lt;=23),0,$AV$9)</f>
        <v>0</v>
      </c>
      <c r="AW74" s="445">
        <f t="shared" ref="AW74:AW82" si="145">IF(OR(AN74&lt;=23,AU74=0),0,"×")</f>
        <v>0</v>
      </c>
      <c r="AX74" s="446">
        <f t="shared" ref="AX74:AX82" si="146">IF(OR(AN74&lt;=23,AU74=0),0,$AX$9)</f>
        <v>0</v>
      </c>
      <c r="AY74" s="447">
        <f t="shared" ref="AY74:AY82" si="147">IF(AU74=0,0,15)</f>
        <v>0</v>
      </c>
      <c r="AZ74" s="24">
        <f t="shared" ref="AZ74:AZ82" si="148">AT74+2*AU74*AV74*(IF(AY74&lt;25,1,IF(AY74&gt;33,2,1.5)))</f>
        <v>6.7100000000000009</v>
      </c>
      <c r="BA74" s="43">
        <f>IF(BB74=0,0,
IF(D74=1,
(IF(AND(AH74&gt;'Данные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"ошибка_1"))))))),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"ошибка_2"))))))))</f>
        <v>0</v>
      </c>
      <c r="BB74" s="43">
        <f>IF(OR($AI$9=0,AND(D74&gt;1,F74&gt;10)),0,
IF(D74=1,
(IF(AND(AH74&gt;'Данные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"ошибка_1"))))))),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IF(AND(AH74&gt;'Данные ТНПА'!#REF!,AH74&lt;='Данные ТНПА'!#REF!),'Данные ТНПА'!#REF!,
"ошибка_2"))))))))</f>
        <v>0</v>
      </c>
      <c r="BC74" s="43">
        <f t="shared" ref="BC74:BC82" si="149">AZ74+2*BB74</f>
        <v>6.7100000000000009</v>
      </c>
      <c r="BD74" s="237">
        <f t="shared" ref="BD74:BD82" si="150">IF(BC74="","",
IF(BC74=0,0,$BD$9))</f>
        <v>0</v>
      </c>
      <c r="BE74" s="43">
        <f t="shared" ref="BE74:BE82" si="151">IF(BC74="","",
IF(BC74=0,0,$BE$9))</f>
        <v>0</v>
      </c>
      <c r="BF74" s="201">
        <f t="shared" ref="BF74:BF82" si="152">IF(BC74="","",
IF($BD$9=0,0,
IF(BC74&lt;=13,20,
IF(AND(BC74&gt;13,BC74&lt;=18),30,
IF(AND(BC74&gt;18,BC74&lt;=23),40,
IF(AND(BC74&gt;23,BC74&lt;=30),50,
60))))))</f>
        <v>0</v>
      </c>
      <c r="BG74" s="201">
        <f t="shared" ref="BG74:BG82" si="153">IF(BC74="","",$BG$9)</f>
        <v>0</v>
      </c>
      <c r="BH74" s="61">
        <f t="shared" ref="BH74:BH82" si="154">IF(BC74="","",BC74+2*BD74*BE74*IF(BG74&lt;=25,1,IF(BG74&gt;33,2,1.5)))</f>
        <v>6.7100000000000009</v>
      </c>
      <c r="BI74" s="237">
        <f t="shared" ref="BI74:BI82" si="155">IF(BC74="","",$BI$9)</f>
        <v>0</v>
      </c>
      <c r="BJ74" s="247">
        <f t="shared" ref="BJ74:BJ82" si="156">IF(BC74="","",$BJ$9)</f>
        <v>0</v>
      </c>
      <c r="BK74" s="431">
        <f t="shared" ref="BK74:BK82" si="157">IF(BJ74="","",IF(BJ74&lt;&gt;0,"×",0))</f>
        <v>0</v>
      </c>
      <c r="BL74" s="250">
        <f t="shared" ref="BL74:BL82" si="158">IF(BK74="","",
IF(BJ74&lt;&gt;0,
IF(AND(BC74&gt;7,BC74&lt;=10),15,
IF(AND(BC74&gt;10,BC74&lt;=13),20,
IF(AND(BC74&gt;13,BC74&lt;=21),30,
IF(AND(BC74&gt;21,BC74&lt;=31),40,
IF(AND(BC74&gt;31,BC74&lt;=70),50,
IF(AND(BC74&gt;70,BC74&lt;=80),60,
"ошибка")))))),0))</f>
        <v>0</v>
      </c>
      <c r="BM74" s="237">
        <f t="shared" ref="BM74:BM82" si="159">IF(BL74="","",$BM$9)</f>
        <v>0</v>
      </c>
      <c r="BN74" s="452">
        <f t="shared" ref="BN74:BN82" si="160">IF(BH74="","",BH74+2*BI74*BJ74)</f>
        <v>6.7100000000000009</v>
      </c>
      <c r="BO74" s="237">
        <f t="shared" ref="BO74:BO82" si="161">IF(BN74="","",$BO$9)</f>
        <v>0</v>
      </c>
      <c r="BP74" s="432">
        <f t="shared" ref="BP74:BP82" si="162">IF(BO74="","",IF(BO74&gt;0,$BP$9,0))</f>
        <v>0</v>
      </c>
      <c r="BQ74" s="22" t="str">
        <f t="shared" ref="BQ74:BQ82" si="163">IF(BP74="","",IF(BP74&gt;0,"×",""))</f>
        <v/>
      </c>
      <c r="BR74" s="250">
        <f t="shared" ref="BR74:BR82" si="164">IF(BN74="","",IF(BO74=0,0,IF(BN74&lt;=19,30,IF(AND(BN74&gt;19,BN74&lt;=23),40,50))))</f>
        <v>0</v>
      </c>
      <c r="BS74" s="237">
        <f t="shared" ref="BS74:BS82" si="165">IF(BO74="","",IF(BO74=0,0,$BS$9))</f>
        <v>0</v>
      </c>
      <c r="BT74" s="452">
        <f t="shared" ref="BT74:BT82" si="166">IF(BN74="","",BN74+2*BO74*BP74*IF(BS74&lt;=25,1,IF(BS74&gt;33,2,1.5)))</f>
        <v>6.7100000000000009</v>
      </c>
      <c r="BU74" s="492">
        <f t="shared" ref="BU74:BU82" si="167">0.85*BV74-0.1</f>
        <v>1.1749999999999998</v>
      </c>
      <c r="BV74" s="493">
        <f>IF(BT74="","",
IF(AND(BT74&gt;'Данные ТНПА'!$K$8,BT74&lt;='Данные ТНПА'!$L$8),'Данные ТНПА'!$N$8,
IF(AND(BT74&gt;'Данные ТНПА'!$K$9,BT74&lt;='Данные ТНПА'!$L$9),'Данные ТНПА'!$N$9,
IF(AND(BT74&gt;'Данные ТНПА'!$K$10,BT74&lt;='Данные ТНПА'!$L$10),'Данные ТНПА'!$N$10,
IF(AND(BT74&gt;'Данные ТНПА'!$K$11,BT74&lt;='Данные ТНПА'!$L$11),'Данные ТНПА'!$N$11,
IF(AND(BT74&gt;'Данные ТНПА'!$K$12,BT74&lt;='Данные ТНПА'!$L$12),'Данные ТНПА'!$N$12,
IF(AND(BT74&gt;'Данные ТНПА'!$K$13,BT74&lt;='Данные ТНПА'!$L$13),'Данные ТНПА'!$N$13,
IF(AND(BT74&gt;'Данные ТНПА'!$K$14,BT74&lt;='Данные ТНПА'!$L$14),'Данные ТНПА'!$N$14))))))))</f>
        <v>1.5</v>
      </c>
      <c r="BW74" s="493">
        <f t="shared" ref="BW74:BW82" si="168">BT74+2*BV74</f>
        <v>9.7100000000000009</v>
      </c>
      <c r="BX74" s="457">
        <f t="shared" ref="BX74:BX137" si="169">IF(C74="а",F74*$BX$9*D74*IF(D74&gt;1,1.007,1),0)</f>
        <v>135</v>
      </c>
      <c r="BY74" s="457">
        <f t="shared" ref="BY74:BY137" si="170">IF(C74="а",0,F74*$BY$9*D74*IF(D74&gt;1,1.007,1))</f>
        <v>0</v>
      </c>
      <c r="BZ74" s="457">
        <f t="shared" ref="BZ74:BZ137" si="171">IF(G74="мс",PI()*(P74/PI()+R74)*R74*$BZ$9*1.13*D74*1.007,
PI()*(IF(I74=1,K74,L74)+R74)*R74*$BZ$9*D74*IF(D74&gt;1,1.007,1)*IF(I74=1,1,(IF(F74&gt;=4,1.1,1.07))))</f>
        <v>32.567766349595409</v>
      </c>
      <c r="CA74" s="457" t="e">
        <f t="shared" ref="CA74:CA82" si="172">PI()*POWER(Y74,2)/4*$CA$9</f>
        <v>#REF!</v>
      </c>
      <c r="CB74" s="458">
        <f t="shared" ref="CB74:CB82" si="173">IF(AA74="","",
IF(AA74=2,SQRT((Z74*PI()/50)^2+1)*$CB$9*AA74,0))</f>
        <v>0</v>
      </c>
      <c r="CC74" s="457">
        <f t="shared" ref="CC74:CC82" si="174">PI()*(Z74+AC74*AD74)*AC74*AD74*$CC$9*ROUND(100/(100-AG74),2)</f>
        <v>0</v>
      </c>
      <c r="CD74" s="457">
        <f t="shared" ref="CD74:CD82" si="175">PI()*(AH74+AI74*AJ74)*AI74*AJ74*$CD$9*ROUND(100/(100-AM74),2)</f>
        <v>0</v>
      </c>
      <c r="CE74" s="457">
        <f t="shared" ref="CE74:CE82" si="176">PI()*(AN74+AO74*AP74)*AO74*AP74*$CE$9*ROUND(100/(100-AS74),2)</f>
        <v>0</v>
      </c>
      <c r="CF74" s="457">
        <f t="shared" ref="CF74:CF82" si="177">PI()*(AT74+AU74*AV74)*AU74*AV74*$CF$9*ROUND(100/(100-AY74),2)</f>
        <v>0</v>
      </c>
      <c r="CG74" s="458">
        <f t="shared" ref="CG74:CG137" si="178">IF(CB74="","",
IF(BB74=0,0,
IF(AND(G74="мс",AC74=0),(PI()*BC74^2/4-D74*(O74+PI()*(P74/PI()+R74)*R74)-((POWER((N74+R74),2)*(D74*TAN(PI()*((D74-2)/(2*D74)))-(PI()*(D74-2)/2)))))*$CG$9,
IF(AND(D74&gt;1,OR(G74="ок",G74="мк")),(PI()*BC74^2/4-PI()*V74^2*(D74+2)/8-D74*(SIN(PI()*(D74-2)/D74))/2*(AB74/2-V74/2)^2)*$CG$9,
PI()*(AB74+BB74)*BB74*1.07*$CG$9))))</f>
        <v>0</v>
      </c>
      <c r="CH74" s="457">
        <f t="shared" ref="CH74:CH82" si="179">IF(BE74="","",
IF(BD74=0,0,
PI()*(BC74+BD74*BE74)*BD74*BE74*$CH$9*ROUND(100/(100-BG74),2)))</f>
        <v>0</v>
      </c>
      <c r="CI74" s="457">
        <f t="shared" ref="CI74:CI82" si="180">IF(BH74="","",
PI()*(BH74+BI74*BJ74)*BI74*BJ74*$CI$9*ROUND(100/(100+BM74),2))</f>
        <v>0</v>
      </c>
      <c r="CJ74" s="458">
        <f t="shared" ref="CJ74:CJ82" si="181">IF(BO74="","",PI()*(BN74+BO74*BP74)*BO74*BP74*$CJ$9*ROUND(100/(100-BS74),2))</f>
        <v>0</v>
      </c>
      <c r="CK74" s="458">
        <f t="shared" si="63"/>
        <v>56.33076689816329</v>
      </c>
      <c r="CL74" s="457">
        <f t="shared" si="64"/>
        <v>223.89853324775871</v>
      </c>
      <c r="CM74" s="504"/>
      <c r="CN74" s="504"/>
    </row>
    <row r="75" spans="1:92" s="207" customFormat="1" ht="14.25" hidden="1" customHeight="1" x14ac:dyDescent="0.25">
      <c r="A75" s="389" t="str">
        <f>IF(D75="",CONCATENATE("Кабель ",IF(C75="а","А",""),$A$9),CONCATENATE("Кабель ",IF(C75="а","А",""),$A$9," ",D75,"*",F75,IF(G75="ок"," (ож)","")," - ",B75," ",IF(G75="мс"," фас. ",""),$A$2))</f>
        <v>Кабель АВВГ 1*2,5 (ож) - 0,66 ГОСТ 16442-80</v>
      </c>
      <c r="B75" s="450">
        <v>0.66</v>
      </c>
      <c r="C75" s="451" t="s">
        <v>164</v>
      </c>
      <c r="D75" s="412">
        <v>1</v>
      </c>
      <c r="E75" s="413" t="s">
        <v>40</v>
      </c>
      <c r="F75" s="423">
        <v>2.5</v>
      </c>
      <c r="G75" s="414" t="s">
        <v>153</v>
      </c>
      <c r="H75" s="461">
        <v>1.79</v>
      </c>
      <c r="I75" s="497">
        <v>1</v>
      </c>
      <c r="J75" s="498" t="s">
        <v>40</v>
      </c>
      <c r="K75" s="496">
        <f>ROUNDUP(SQRT(F75/PI()*4),2)</f>
        <v>1.79</v>
      </c>
      <c r="L75" s="501">
        <v>4.5199999999999996</v>
      </c>
      <c r="M75" s="475"/>
      <c r="N75" s="475"/>
      <c r="O75" s="475"/>
      <c r="P75" s="475"/>
      <c r="Q75" s="483">
        <f t="shared" si="119"/>
        <v>0.44000000000000006</v>
      </c>
      <c r="R75" s="484">
        <f>IF(B75=0.66,VLOOKUP(F75,'Данные ТНПА'!$B$8:$C$16,2,0),
IF(B75=1,VLOOKUP(F75,'Данные ТНПА'!$B$17:$C$37,2,0),"ошибка"))</f>
        <v>0.6</v>
      </c>
      <c r="S75" s="485">
        <f t="shared" si="120"/>
        <v>2.67</v>
      </c>
      <c r="T75" s="486"/>
      <c r="U75" s="487"/>
      <c r="V75" s="485">
        <f t="shared" si="121"/>
        <v>2.99</v>
      </c>
      <c r="W75" s="486"/>
      <c r="X75" s="487"/>
      <c r="Y75" s="489">
        <f t="shared" si="122"/>
        <v>0</v>
      </c>
      <c r="Z75" s="491">
        <f t="shared" si="123"/>
        <v>2.99</v>
      </c>
      <c r="AA75" s="237">
        <f t="shared" si="124"/>
        <v>0</v>
      </c>
      <c r="AB75" s="452">
        <f t="shared" si="125"/>
        <v>2.99</v>
      </c>
      <c r="AC75" s="201">
        <f t="shared" si="126"/>
        <v>0</v>
      </c>
      <c r="AD75" s="203">
        <f t="shared" si="127"/>
        <v>0</v>
      </c>
      <c r="AE75" s="37" t="str">
        <f t="shared" si="128"/>
        <v/>
      </c>
      <c r="AF75" s="202">
        <f t="shared" si="129"/>
        <v>0</v>
      </c>
      <c r="AG75" s="201">
        <f t="shared" si="130"/>
        <v>0</v>
      </c>
      <c r="AH75" s="61">
        <f t="shared" si="131"/>
        <v>2.99</v>
      </c>
      <c r="AI75" s="443">
        <f t="shared" si="115"/>
        <v>0</v>
      </c>
      <c r="AJ75" s="444">
        <f t="shared" si="132"/>
        <v>0</v>
      </c>
      <c r="AK75" s="445">
        <f t="shared" si="133"/>
        <v>0</v>
      </c>
      <c r="AL75" s="446">
        <f t="shared" si="134"/>
        <v>0</v>
      </c>
      <c r="AM75" s="447">
        <f t="shared" si="135"/>
        <v>0</v>
      </c>
      <c r="AN75" s="24">
        <f t="shared" si="136"/>
        <v>2.99</v>
      </c>
      <c r="AO75" s="443">
        <f t="shared" si="137"/>
        <v>0</v>
      </c>
      <c r="AP75" s="444">
        <f t="shared" si="138"/>
        <v>0</v>
      </c>
      <c r="AQ75" s="445">
        <f t="shared" si="139"/>
        <v>0</v>
      </c>
      <c r="AR75" s="446">
        <f t="shared" si="140"/>
        <v>0</v>
      </c>
      <c r="AS75" s="447">
        <f t="shared" si="141"/>
        <v>0</v>
      </c>
      <c r="AT75" s="24">
        <f t="shared" si="142"/>
        <v>2.99</v>
      </c>
      <c r="AU75" s="443">
        <f t="shared" si="143"/>
        <v>0</v>
      </c>
      <c r="AV75" s="444">
        <f t="shared" si="144"/>
        <v>0</v>
      </c>
      <c r="AW75" s="445">
        <f t="shared" si="145"/>
        <v>0</v>
      </c>
      <c r="AX75" s="446">
        <f t="shared" si="146"/>
        <v>0</v>
      </c>
      <c r="AY75" s="447">
        <f t="shared" si="147"/>
        <v>0</v>
      </c>
      <c r="AZ75" s="24">
        <f t="shared" si="148"/>
        <v>2.99</v>
      </c>
      <c r="BA75" s="43">
        <f>IF(BB75=0,0,
IF(D75=1,
(IF(AND(AH75&gt;'Данные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"ошибка_1"))))))),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"ошибка_2"))))))))</f>
        <v>0</v>
      </c>
      <c r="BB75" s="43">
        <f>IF(OR($AI$9=0,AND(D75&gt;1,F75&gt;10)),0,
IF(D75=1,
(IF(AND(AH75&gt;'Данные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"ошибка_1"))))))),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IF(AND(AH75&gt;'Данные ТНПА'!#REF!,AH75&lt;='Данные ТНПА'!#REF!),'Данные ТНПА'!#REF!,
"ошибка_2"))))))))</f>
        <v>0</v>
      </c>
      <c r="BC75" s="43">
        <f t="shared" si="149"/>
        <v>2.99</v>
      </c>
      <c r="BD75" s="237">
        <f t="shared" si="150"/>
        <v>0</v>
      </c>
      <c r="BE75" s="43">
        <f t="shared" si="151"/>
        <v>0</v>
      </c>
      <c r="BF75" s="201">
        <f t="shared" si="152"/>
        <v>0</v>
      </c>
      <c r="BG75" s="201">
        <f t="shared" si="153"/>
        <v>0</v>
      </c>
      <c r="BH75" s="61">
        <f t="shared" si="154"/>
        <v>2.99</v>
      </c>
      <c r="BI75" s="237">
        <f t="shared" si="155"/>
        <v>0</v>
      </c>
      <c r="BJ75" s="247">
        <f t="shared" si="156"/>
        <v>0</v>
      </c>
      <c r="BK75" s="431">
        <f t="shared" si="157"/>
        <v>0</v>
      </c>
      <c r="BL75" s="250">
        <f t="shared" si="158"/>
        <v>0</v>
      </c>
      <c r="BM75" s="237">
        <f t="shared" si="159"/>
        <v>0</v>
      </c>
      <c r="BN75" s="452">
        <f t="shared" si="160"/>
        <v>2.99</v>
      </c>
      <c r="BO75" s="237">
        <f t="shared" si="161"/>
        <v>0</v>
      </c>
      <c r="BP75" s="432">
        <f t="shared" si="162"/>
        <v>0</v>
      </c>
      <c r="BQ75" s="22" t="str">
        <f t="shared" si="163"/>
        <v/>
      </c>
      <c r="BR75" s="250">
        <f t="shared" si="164"/>
        <v>0</v>
      </c>
      <c r="BS75" s="237">
        <f t="shared" si="165"/>
        <v>0</v>
      </c>
      <c r="BT75" s="452">
        <f t="shared" si="166"/>
        <v>2.99</v>
      </c>
      <c r="BU75" s="492">
        <f t="shared" si="167"/>
        <v>0.92</v>
      </c>
      <c r="BV75" s="493">
        <f>IF(BT75="","",
IF(AND(BT75&gt;'Данные ТНПА'!$K$8,BT75&lt;='Данные ТНПА'!$L$8),'Данные ТНПА'!$N$8,
IF(AND(BT75&gt;'Данные ТНПА'!$K$9,BT75&lt;='Данные ТНПА'!$L$9),'Данные ТНПА'!$N$9,
IF(AND(BT75&gt;'Данные ТНПА'!$K$10,BT75&lt;='Данные ТНПА'!$L$10),'Данные ТНПА'!$N$10,
IF(AND(BT75&gt;'Данные ТНПА'!$K$11,BT75&lt;='Данные ТНПА'!$L$11),'Данные ТНПА'!$N$11,
IF(AND(BT75&gt;'Данные ТНПА'!$K$12,BT75&lt;='Данные ТНПА'!$L$12),'Данные ТНПА'!$N$12,
IF(AND(BT75&gt;'Данные ТНПА'!$K$13,BT75&lt;='Данные ТНПА'!$L$13),'Данные ТНПА'!$N$13,
IF(AND(BT75&gt;'Данные ТНПА'!$K$14,BT75&lt;='Данные ТНПА'!$L$14),'Данные ТНПА'!$N$14))))))))</f>
        <v>1.2</v>
      </c>
      <c r="BW75" s="493">
        <f t="shared" si="168"/>
        <v>5.3900000000000006</v>
      </c>
      <c r="BX75" s="457">
        <f t="shared" si="169"/>
        <v>6.75</v>
      </c>
      <c r="BY75" s="457">
        <f t="shared" si="170"/>
        <v>0</v>
      </c>
      <c r="BZ75" s="457">
        <f t="shared" si="171"/>
        <v>6.0367587794320023</v>
      </c>
      <c r="CA75" s="457" t="e">
        <f t="shared" si="172"/>
        <v>#REF!</v>
      </c>
      <c r="CB75" s="458">
        <f t="shared" si="173"/>
        <v>0</v>
      </c>
      <c r="CC75" s="457">
        <f t="shared" si="174"/>
        <v>0</v>
      </c>
      <c r="CD75" s="457">
        <f t="shared" si="175"/>
        <v>0</v>
      </c>
      <c r="CE75" s="457">
        <f t="shared" si="176"/>
        <v>0</v>
      </c>
      <c r="CF75" s="457">
        <f t="shared" si="177"/>
        <v>0</v>
      </c>
      <c r="CG75" s="458">
        <f t="shared" si="178"/>
        <v>0</v>
      </c>
      <c r="CH75" s="457">
        <f t="shared" si="179"/>
        <v>0</v>
      </c>
      <c r="CI75" s="457">
        <f t="shared" si="180"/>
        <v>0</v>
      </c>
      <c r="CJ75" s="458">
        <f t="shared" si="181"/>
        <v>0</v>
      </c>
      <c r="CK75" s="458">
        <f t="shared" ref="CK75:CK138" si="182">PI()*(BT75+BV75)*BV75*IF($BI$9&gt;0,1.1,1.04)*$CK$9</f>
        <v>22.998870967435245</v>
      </c>
      <c r="CL75" s="457">
        <f t="shared" ref="CL75:CL138" si="183">BX75+BY75+BZ75+CK75</f>
        <v>35.785629746867244</v>
      </c>
      <c r="CM75" s="504"/>
      <c r="CN75" s="504"/>
    </row>
    <row r="76" spans="1:92" s="1045" customFormat="1" ht="14.25" customHeight="1" x14ac:dyDescent="0.25">
      <c r="A76" s="357" t="str">
        <f>IF(D76="",CONCATENATE("Кабель ",IF(C76="а","А",""),$A$9),CONCATENATE("Кабель ",IF(C76="а","А",""),$A$9," ",D76,"*",F76,IF(G76="ок"," (ож)","")," - ",B76," ",IF(G76="мс"," фас. ",""),$A$2))</f>
        <v>Кабель АВВГ 1*4 (ож) - 0,66 ГОСТ 16442-80</v>
      </c>
      <c r="B76" s="1036">
        <v>0.66</v>
      </c>
      <c r="C76" s="1037" t="s">
        <v>164</v>
      </c>
      <c r="D76" s="1060">
        <v>1</v>
      </c>
      <c r="E76" s="1046" t="s">
        <v>40</v>
      </c>
      <c r="F76" s="1061">
        <v>4</v>
      </c>
      <c r="G76" s="1062" t="s">
        <v>153</v>
      </c>
      <c r="H76" s="1063">
        <v>2.2599999999999998</v>
      </c>
      <c r="I76" s="1064">
        <v>1</v>
      </c>
      <c r="J76" s="1046" t="s">
        <v>40</v>
      </c>
      <c r="K76" s="1039">
        <f>ROUNDUP(SQRT(F76/PI()*4),2)</f>
        <v>2.2599999999999998</v>
      </c>
      <c r="L76" s="347">
        <f>K76</f>
        <v>2.2599999999999998</v>
      </c>
      <c r="M76" s="1065"/>
      <c r="N76" s="1065"/>
      <c r="O76" s="1065"/>
      <c r="P76" s="1065"/>
      <c r="Q76" s="1040">
        <f t="shared" si="119"/>
        <v>0.53</v>
      </c>
      <c r="R76" s="347">
        <f>IF(B76=0.66,VLOOKUP(F76,'Данные ТНПА'!$B$8:$C$16,2,0),
IF(B76=1,VLOOKUP(F76,'Данные ТНПА'!$B$17:$C$37,2,0),"ошибка"))</f>
        <v>0.7</v>
      </c>
      <c r="S76" s="1041">
        <f t="shared" si="120"/>
        <v>3.32</v>
      </c>
      <c r="T76" s="1046"/>
      <c r="U76" s="1047"/>
      <c r="V76" s="1041">
        <f t="shared" si="121"/>
        <v>3.6599999999999997</v>
      </c>
      <c r="W76" s="1046"/>
      <c r="X76" s="1047"/>
      <c r="Y76" s="347">
        <f t="shared" si="122"/>
        <v>0</v>
      </c>
      <c r="Z76" s="1079">
        <f t="shared" si="123"/>
        <v>3.6599999999999997</v>
      </c>
      <c r="AA76" s="346">
        <f t="shared" si="124"/>
        <v>0</v>
      </c>
      <c r="AB76" s="337">
        <f t="shared" si="125"/>
        <v>3.6599999999999997</v>
      </c>
      <c r="AC76" s="348">
        <f t="shared" si="126"/>
        <v>0</v>
      </c>
      <c r="AD76" s="1048">
        <f t="shared" si="127"/>
        <v>0</v>
      </c>
      <c r="AE76" s="1038" t="str">
        <f t="shared" si="128"/>
        <v/>
      </c>
      <c r="AF76" s="1049">
        <f t="shared" si="129"/>
        <v>0</v>
      </c>
      <c r="AG76" s="348">
        <f t="shared" si="130"/>
        <v>0</v>
      </c>
      <c r="AH76" s="347">
        <f t="shared" si="131"/>
        <v>3.6599999999999997</v>
      </c>
      <c r="AI76" s="1050">
        <f t="shared" si="115"/>
        <v>0</v>
      </c>
      <c r="AJ76" s="1051">
        <f t="shared" si="132"/>
        <v>0</v>
      </c>
      <c r="AK76" s="1052">
        <f t="shared" si="133"/>
        <v>0</v>
      </c>
      <c r="AL76" s="1053">
        <f t="shared" si="134"/>
        <v>0</v>
      </c>
      <c r="AM76" s="1054">
        <f t="shared" si="135"/>
        <v>0</v>
      </c>
      <c r="AN76" s="335">
        <f t="shared" si="136"/>
        <v>3.6599999999999997</v>
      </c>
      <c r="AO76" s="1050">
        <f t="shared" si="137"/>
        <v>0</v>
      </c>
      <c r="AP76" s="1051">
        <f t="shared" si="138"/>
        <v>0</v>
      </c>
      <c r="AQ76" s="1052">
        <f t="shared" si="139"/>
        <v>0</v>
      </c>
      <c r="AR76" s="1053">
        <f t="shared" si="140"/>
        <v>0</v>
      </c>
      <c r="AS76" s="1054">
        <f t="shared" si="141"/>
        <v>0</v>
      </c>
      <c r="AT76" s="335">
        <f t="shared" si="142"/>
        <v>3.6599999999999997</v>
      </c>
      <c r="AU76" s="1050">
        <f t="shared" si="143"/>
        <v>0</v>
      </c>
      <c r="AV76" s="1051">
        <f t="shared" si="144"/>
        <v>0</v>
      </c>
      <c r="AW76" s="1052">
        <f t="shared" si="145"/>
        <v>0</v>
      </c>
      <c r="AX76" s="1053">
        <f t="shared" si="146"/>
        <v>0</v>
      </c>
      <c r="AY76" s="1054">
        <f t="shared" si="147"/>
        <v>0</v>
      </c>
      <c r="AZ76" s="335">
        <f t="shared" si="148"/>
        <v>3.6599999999999997</v>
      </c>
      <c r="BA76" s="340">
        <f>IF(BB76=0,0,
IF(D76=1,
(IF(AND(AH76&gt;'Данные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"ошибка_1"))))))),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"ошибка_2"))))))))</f>
        <v>0</v>
      </c>
      <c r="BB76" s="340">
        <f>IF(OR($AI$9=0,AND(D76&gt;1,F76&gt;10)),0,
IF(D76=1,
(IF(AND(AH76&gt;'Данные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"ошибка_1"))))))),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IF(AND(AH76&gt;'Данные ТНПА'!#REF!,AH76&lt;='Данные ТНПА'!#REF!),'Данные ТНПА'!#REF!,
"ошибка_2"))))))))</f>
        <v>0</v>
      </c>
      <c r="BC76" s="340">
        <f t="shared" si="149"/>
        <v>3.6599999999999997</v>
      </c>
      <c r="BD76" s="346">
        <f t="shared" si="150"/>
        <v>0</v>
      </c>
      <c r="BE76" s="340">
        <f t="shared" si="151"/>
        <v>0</v>
      </c>
      <c r="BF76" s="348">
        <f t="shared" si="152"/>
        <v>0</v>
      </c>
      <c r="BG76" s="348">
        <f t="shared" si="153"/>
        <v>0</v>
      </c>
      <c r="BH76" s="347">
        <f t="shared" si="154"/>
        <v>3.6599999999999997</v>
      </c>
      <c r="BI76" s="346">
        <f t="shared" si="155"/>
        <v>0</v>
      </c>
      <c r="BJ76" s="338">
        <f t="shared" si="156"/>
        <v>0</v>
      </c>
      <c r="BK76" s="1055">
        <f t="shared" si="157"/>
        <v>0</v>
      </c>
      <c r="BL76" s="344">
        <f t="shared" si="158"/>
        <v>0</v>
      </c>
      <c r="BM76" s="346">
        <f t="shared" si="159"/>
        <v>0</v>
      </c>
      <c r="BN76" s="337">
        <f t="shared" si="160"/>
        <v>3.6599999999999997</v>
      </c>
      <c r="BO76" s="346">
        <f t="shared" si="161"/>
        <v>0</v>
      </c>
      <c r="BP76" s="1056">
        <f t="shared" si="162"/>
        <v>0</v>
      </c>
      <c r="BQ76" s="1057" t="str">
        <f t="shared" si="163"/>
        <v/>
      </c>
      <c r="BR76" s="344">
        <f t="shared" si="164"/>
        <v>0</v>
      </c>
      <c r="BS76" s="346">
        <f t="shared" si="165"/>
        <v>0</v>
      </c>
      <c r="BT76" s="337">
        <f t="shared" si="166"/>
        <v>3.6599999999999997</v>
      </c>
      <c r="BU76" s="1043">
        <f t="shared" si="167"/>
        <v>0.92</v>
      </c>
      <c r="BV76" s="340">
        <f>IF(BT76="","",
IF(AND(BT76&gt;'Данные ТНПА'!$K$8,BT76&lt;='Данные ТНПА'!$L$8),'Данные ТНПА'!$N$8,
IF(AND(BT76&gt;'Данные ТНПА'!$K$9,BT76&lt;='Данные ТНПА'!$L$9),'Данные ТНПА'!$N$9,
IF(AND(BT76&gt;'Данные ТНПА'!$K$10,BT76&lt;='Данные ТНПА'!$L$10),'Данные ТНПА'!$N$10,
IF(AND(BT76&gt;'Данные ТНПА'!$K$11,BT76&lt;='Данные ТНПА'!$L$11),'Данные ТНПА'!$N$11,
IF(AND(BT76&gt;'Данные ТНПА'!$K$12,BT76&lt;='Данные ТНПА'!$L$12),'Данные ТНПА'!$N$12,
IF(AND(BT76&gt;'Данные ТНПА'!$K$13,BT76&lt;='Данные ТНПА'!$L$13),'Данные ТНПА'!$N$13,
IF(AND(BT76&gt;'Данные ТНПА'!$K$14,BT76&lt;='Данные ТНПА'!$L$14),'Данные ТНПА'!$N$14))))))))</f>
        <v>1.2</v>
      </c>
      <c r="BW76" s="340">
        <f>BT76+2*BV76</f>
        <v>6.06</v>
      </c>
      <c r="BX76" s="349">
        <f t="shared" si="169"/>
        <v>10.8</v>
      </c>
      <c r="BY76" s="349">
        <f t="shared" si="170"/>
        <v>0</v>
      </c>
      <c r="BZ76" s="349">
        <f t="shared" si="171"/>
        <v>8.7225691708389892</v>
      </c>
      <c r="CA76" s="349" t="e">
        <f t="shared" si="172"/>
        <v>#REF!</v>
      </c>
      <c r="CB76" s="337">
        <f t="shared" si="173"/>
        <v>0</v>
      </c>
      <c r="CC76" s="349">
        <f t="shared" si="174"/>
        <v>0</v>
      </c>
      <c r="CD76" s="349">
        <f t="shared" si="175"/>
        <v>0</v>
      </c>
      <c r="CE76" s="349">
        <f t="shared" si="176"/>
        <v>0</v>
      </c>
      <c r="CF76" s="349">
        <f t="shared" si="177"/>
        <v>0</v>
      </c>
      <c r="CG76" s="337">
        <f t="shared" si="178"/>
        <v>0</v>
      </c>
      <c r="CH76" s="349">
        <f t="shared" si="179"/>
        <v>0</v>
      </c>
      <c r="CI76" s="349">
        <f t="shared" si="180"/>
        <v>0</v>
      </c>
      <c r="CJ76" s="337">
        <f t="shared" si="181"/>
        <v>0</v>
      </c>
      <c r="CK76" s="337">
        <f t="shared" si="182"/>
        <v>26.676494725951134</v>
      </c>
      <c r="CL76" s="349">
        <f t="shared" si="183"/>
        <v>46.199063896790122</v>
      </c>
      <c r="CM76" s="1044"/>
      <c r="CN76" s="1044"/>
    </row>
    <row r="77" spans="1:92" s="207" customFormat="1" ht="14.25" hidden="1" customHeight="1" x14ac:dyDescent="0.25">
      <c r="A77" s="389" t="str">
        <f>IF(D77="",CONCATENATE("Кабель ",IF(C77="а","А",""),$A$9),CONCATENATE("Кабель ",IF(C77="а","А",""),$A$9," ",D77,"*",F77,IF(G77="ок"," (ож)","")," - ",B77," ",IF(G77="мс"," фас. ",""),$A$2))</f>
        <v>Кабель АВВГ 1*6 (ож) - 0,66 ГОСТ 16442-80</v>
      </c>
      <c r="B77" s="450">
        <v>0.66</v>
      </c>
      <c r="C77" s="451" t="s">
        <v>164</v>
      </c>
      <c r="D77" s="412">
        <v>1</v>
      </c>
      <c r="E77" s="413" t="s">
        <v>40</v>
      </c>
      <c r="F77" s="423">
        <v>6</v>
      </c>
      <c r="G77" s="414" t="s">
        <v>153</v>
      </c>
      <c r="H77" s="461">
        <v>2.7699999999999996</v>
      </c>
      <c r="I77" s="497">
        <v>1</v>
      </c>
      <c r="J77" s="498" t="s">
        <v>40</v>
      </c>
      <c r="K77" s="496">
        <f>ROUNDUP(SQRT(F77/PI()*4),2)</f>
        <v>2.7699999999999996</v>
      </c>
      <c r="L77" s="501">
        <v>5.6499999999999995</v>
      </c>
      <c r="M77" s="475"/>
      <c r="N77" s="475"/>
      <c r="O77" s="475"/>
      <c r="P77" s="475"/>
      <c r="Q77" s="483">
        <f t="shared" si="119"/>
        <v>0.53</v>
      </c>
      <c r="R77" s="484">
        <f>IF(B77=0.66,VLOOKUP(F77,'Данные ТНПА'!$B$8:$C$16,2,0),
IF(B77=1,VLOOKUP(F77,'Данные ТНПА'!$B$17:$C$37,2,0),"ошибка"))</f>
        <v>0.7</v>
      </c>
      <c r="S77" s="485">
        <f t="shared" si="120"/>
        <v>3.8299999999999996</v>
      </c>
      <c r="T77" s="486"/>
      <c r="U77" s="487"/>
      <c r="V77" s="485">
        <f t="shared" si="121"/>
        <v>4.17</v>
      </c>
      <c r="W77" s="486"/>
      <c r="X77" s="487"/>
      <c r="Y77" s="489">
        <f t="shared" si="122"/>
        <v>0</v>
      </c>
      <c r="Z77" s="491">
        <f t="shared" si="123"/>
        <v>4.17</v>
      </c>
      <c r="AA77" s="237">
        <f t="shared" si="124"/>
        <v>0</v>
      </c>
      <c r="AB77" s="452">
        <f t="shared" si="125"/>
        <v>4.17</v>
      </c>
      <c r="AC77" s="201">
        <f t="shared" si="126"/>
        <v>0</v>
      </c>
      <c r="AD77" s="203">
        <f t="shared" si="127"/>
        <v>0</v>
      </c>
      <c r="AE77" s="37" t="str">
        <f t="shared" si="128"/>
        <v/>
      </c>
      <c r="AF77" s="202">
        <f t="shared" si="129"/>
        <v>0</v>
      </c>
      <c r="AG77" s="201">
        <f t="shared" si="130"/>
        <v>0</v>
      </c>
      <c r="AH77" s="61">
        <f t="shared" si="131"/>
        <v>4.17</v>
      </c>
      <c r="AI77" s="443">
        <f t="shared" si="115"/>
        <v>0</v>
      </c>
      <c r="AJ77" s="444">
        <f t="shared" si="132"/>
        <v>0</v>
      </c>
      <c r="AK77" s="445">
        <f t="shared" si="133"/>
        <v>0</v>
      </c>
      <c r="AL77" s="446">
        <f t="shared" si="134"/>
        <v>0</v>
      </c>
      <c r="AM77" s="447">
        <f t="shared" si="135"/>
        <v>0</v>
      </c>
      <c r="AN77" s="24">
        <f t="shared" si="136"/>
        <v>4.17</v>
      </c>
      <c r="AO77" s="443">
        <f t="shared" si="137"/>
        <v>0</v>
      </c>
      <c r="AP77" s="444">
        <f t="shared" si="138"/>
        <v>0</v>
      </c>
      <c r="AQ77" s="445">
        <f t="shared" si="139"/>
        <v>0</v>
      </c>
      <c r="AR77" s="446">
        <f t="shared" si="140"/>
        <v>0</v>
      </c>
      <c r="AS77" s="447">
        <f t="shared" si="141"/>
        <v>0</v>
      </c>
      <c r="AT77" s="24">
        <f t="shared" si="142"/>
        <v>4.17</v>
      </c>
      <c r="AU77" s="443">
        <f t="shared" si="143"/>
        <v>0</v>
      </c>
      <c r="AV77" s="444">
        <f t="shared" si="144"/>
        <v>0</v>
      </c>
      <c r="AW77" s="445">
        <f t="shared" si="145"/>
        <v>0</v>
      </c>
      <c r="AX77" s="446">
        <f t="shared" si="146"/>
        <v>0</v>
      </c>
      <c r="AY77" s="447">
        <f t="shared" si="147"/>
        <v>0</v>
      </c>
      <c r="AZ77" s="24">
        <f t="shared" si="148"/>
        <v>4.17</v>
      </c>
      <c r="BA77" s="43">
        <f>IF(BB77=0,0,
IF(D77=1,
(IF(AND(AH77&gt;'Данные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"ошибка_1"))))))),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"ошибка_2"))))))))</f>
        <v>0</v>
      </c>
      <c r="BB77" s="43">
        <f>IF(OR($AI$9=0,AND(D77&gt;1,F77&gt;10)),0,
IF(D77=1,
(IF(AND(AH77&gt;'Данные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"ошибка_1"))))))),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IF(AND(AH77&gt;'Данные ТНПА'!#REF!,AH77&lt;='Данные ТНПА'!#REF!),'Данные ТНПА'!#REF!,
"ошибка_2"))))))))</f>
        <v>0</v>
      </c>
      <c r="BC77" s="43">
        <f t="shared" si="149"/>
        <v>4.17</v>
      </c>
      <c r="BD77" s="237">
        <f t="shared" si="150"/>
        <v>0</v>
      </c>
      <c r="BE77" s="43">
        <f t="shared" si="151"/>
        <v>0</v>
      </c>
      <c r="BF77" s="201">
        <f t="shared" si="152"/>
        <v>0</v>
      </c>
      <c r="BG77" s="201">
        <f t="shared" si="153"/>
        <v>0</v>
      </c>
      <c r="BH77" s="61">
        <f t="shared" si="154"/>
        <v>4.17</v>
      </c>
      <c r="BI77" s="237">
        <f t="shared" si="155"/>
        <v>0</v>
      </c>
      <c r="BJ77" s="247">
        <f t="shared" si="156"/>
        <v>0</v>
      </c>
      <c r="BK77" s="431">
        <f t="shared" si="157"/>
        <v>0</v>
      </c>
      <c r="BL77" s="250">
        <f t="shared" si="158"/>
        <v>0</v>
      </c>
      <c r="BM77" s="237">
        <f t="shared" si="159"/>
        <v>0</v>
      </c>
      <c r="BN77" s="452">
        <f t="shared" si="160"/>
        <v>4.17</v>
      </c>
      <c r="BO77" s="237">
        <f t="shared" si="161"/>
        <v>0</v>
      </c>
      <c r="BP77" s="432">
        <f t="shared" si="162"/>
        <v>0</v>
      </c>
      <c r="BQ77" s="22" t="str">
        <f t="shared" si="163"/>
        <v/>
      </c>
      <c r="BR77" s="250">
        <f t="shared" si="164"/>
        <v>0</v>
      </c>
      <c r="BS77" s="237">
        <f t="shared" si="165"/>
        <v>0</v>
      </c>
      <c r="BT77" s="452">
        <f t="shared" si="166"/>
        <v>4.17</v>
      </c>
      <c r="BU77" s="492">
        <f t="shared" si="167"/>
        <v>0.92</v>
      </c>
      <c r="BV77" s="493">
        <f>IF(BT77="","",
IF(AND(BT77&gt;'Данные ТНПА'!$K$8,BT77&lt;='Данные ТНПА'!$L$8),'Данные ТНПА'!$N$8,
IF(AND(BT77&gt;'Данные ТНПА'!$K$9,BT77&lt;='Данные ТНПА'!$L$9),'Данные ТНПА'!$N$9,
IF(AND(BT77&gt;'Данные ТНПА'!$K$10,BT77&lt;='Данные ТНПА'!$L$10),'Данные ТНПА'!$N$10,
IF(AND(BT77&gt;'Данные ТНПА'!$K$11,BT77&lt;='Данные ТНПА'!$L$11),'Данные ТНПА'!$N$11,
IF(AND(BT77&gt;'Данные ТНПА'!$K$12,BT77&lt;='Данные ТНПА'!$L$12),'Данные ТНПА'!$N$12,
IF(AND(BT77&gt;'Данные ТНПА'!$K$13,BT77&lt;='Данные ТНПА'!$L$13),'Данные ТНПА'!$N$13,
IF(AND(BT77&gt;'Данные ТНПА'!$K$14,BT77&lt;='Данные ТНПА'!$L$14),'Данные ТНПА'!$N$14))))))))</f>
        <v>1.2</v>
      </c>
      <c r="BW77" s="493">
        <f t="shared" si="168"/>
        <v>6.57</v>
      </c>
      <c r="BX77" s="457">
        <f t="shared" si="169"/>
        <v>16.200000000000003</v>
      </c>
      <c r="BY77" s="457">
        <f t="shared" si="170"/>
        <v>0</v>
      </c>
      <c r="BZ77" s="457">
        <f t="shared" si="171"/>
        <v>10.225444264463272</v>
      </c>
      <c r="CA77" s="457" t="e">
        <f t="shared" si="172"/>
        <v>#REF!</v>
      </c>
      <c r="CB77" s="458">
        <f t="shared" si="173"/>
        <v>0</v>
      </c>
      <c r="CC77" s="457">
        <f t="shared" si="174"/>
        <v>0</v>
      </c>
      <c r="CD77" s="457">
        <f t="shared" si="175"/>
        <v>0</v>
      </c>
      <c r="CE77" s="457">
        <f t="shared" si="176"/>
        <v>0</v>
      </c>
      <c r="CF77" s="457">
        <f t="shared" si="177"/>
        <v>0</v>
      </c>
      <c r="CG77" s="458">
        <f t="shared" si="178"/>
        <v>0</v>
      </c>
      <c r="CH77" s="457">
        <f t="shared" si="179"/>
        <v>0</v>
      </c>
      <c r="CI77" s="457">
        <f t="shared" si="180"/>
        <v>0</v>
      </c>
      <c r="CJ77" s="458">
        <f t="shared" si="181"/>
        <v>0</v>
      </c>
      <c r="CK77" s="458">
        <f t="shared" si="182"/>
        <v>29.475879974970702</v>
      </c>
      <c r="CL77" s="457">
        <f t="shared" si="183"/>
        <v>55.901324239433976</v>
      </c>
      <c r="CM77" s="504"/>
      <c r="CN77" s="504"/>
    </row>
    <row r="78" spans="1:92" s="207" customFormat="1" ht="14.25" hidden="1" customHeight="1" x14ac:dyDescent="0.25">
      <c r="A78" s="389" t="str">
        <f>IF(D78="",CONCATENATE("Кабель ",IF(C78="а","А",""),$A$9),CONCATENATE("Кабель ",IF(C78="а","А",""),$A$9," ",D78,"*",F78,IF(G78="ок"," (ож)","")," - ",B78," ",IF(G78="мс"," фас. ",""),$A$2))</f>
        <v>Кабель АВВГ 1*10 (ож) - 0,66 ГОСТ 16442-80</v>
      </c>
      <c r="B78" s="450">
        <v>0.66</v>
      </c>
      <c r="C78" s="451" t="s">
        <v>164</v>
      </c>
      <c r="D78" s="412">
        <v>1</v>
      </c>
      <c r="E78" s="413" t="s">
        <v>40</v>
      </c>
      <c r="F78" s="423">
        <v>10</v>
      </c>
      <c r="G78" s="414" t="s">
        <v>153</v>
      </c>
      <c r="H78" s="461">
        <v>3.57</v>
      </c>
      <c r="I78" s="497">
        <v>1</v>
      </c>
      <c r="J78" s="498" t="s">
        <v>40</v>
      </c>
      <c r="K78" s="496">
        <f>ROUNDUP(SQRT(F78/PI()*4),2)</f>
        <v>3.57</v>
      </c>
      <c r="L78" s="501">
        <v>5.99</v>
      </c>
      <c r="M78" s="475"/>
      <c r="N78" s="475"/>
      <c r="O78" s="475"/>
      <c r="P78" s="475"/>
      <c r="Q78" s="483">
        <f t="shared" si="119"/>
        <v>0.71000000000000008</v>
      </c>
      <c r="R78" s="484">
        <f>IF(B78=0.66,VLOOKUP(F78,'Данные ТНПА'!$B$8:$C$16,2,0),
IF(B78=1,VLOOKUP(F78,'Данные ТНПА'!$B$17:$C$37,2,0),"ошибка"))</f>
        <v>0.9</v>
      </c>
      <c r="S78" s="485">
        <f t="shared" si="120"/>
        <v>4.99</v>
      </c>
      <c r="T78" s="486"/>
      <c r="U78" s="487"/>
      <c r="V78" s="485">
        <f t="shared" si="121"/>
        <v>5.37</v>
      </c>
      <c r="W78" s="486"/>
      <c r="X78" s="487"/>
      <c r="Y78" s="489">
        <f t="shared" si="122"/>
        <v>0</v>
      </c>
      <c r="Z78" s="491">
        <f t="shared" si="123"/>
        <v>5.37</v>
      </c>
      <c r="AA78" s="237">
        <f t="shared" si="124"/>
        <v>0</v>
      </c>
      <c r="AB78" s="452">
        <f t="shared" si="125"/>
        <v>5.37</v>
      </c>
      <c r="AC78" s="201">
        <f t="shared" si="126"/>
        <v>0</v>
      </c>
      <c r="AD78" s="203">
        <f t="shared" si="127"/>
        <v>0</v>
      </c>
      <c r="AE78" s="37" t="str">
        <f t="shared" si="128"/>
        <v/>
      </c>
      <c r="AF78" s="202">
        <f t="shared" si="129"/>
        <v>0</v>
      </c>
      <c r="AG78" s="201">
        <f t="shared" si="130"/>
        <v>0</v>
      </c>
      <c r="AH78" s="61">
        <f t="shared" si="131"/>
        <v>5.37</v>
      </c>
      <c r="AI78" s="443">
        <f t="shared" si="115"/>
        <v>0</v>
      </c>
      <c r="AJ78" s="444">
        <f t="shared" si="132"/>
        <v>0</v>
      </c>
      <c r="AK78" s="445">
        <f t="shared" si="133"/>
        <v>0</v>
      </c>
      <c r="AL78" s="446">
        <f t="shared" si="134"/>
        <v>0</v>
      </c>
      <c r="AM78" s="447">
        <f t="shared" si="135"/>
        <v>0</v>
      </c>
      <c r="AN78" s="24">
        <f t="shared" si="136"/>
        <v>5.37</v>
      </c>
      <c r="AO78" s="443">
        <f t="shared" si="137"/>
        <v>0</v>
      </c>
      <c r="AP78" s="444">
        <f t="shared" si="138"/>
        <v>0</v>
      </c>
      <c r="AQ78" s="445">
        <f t="shared" si="139"/>
        <v>0</v>
      </c>
      <c r="AR78" s="446">
        <f t="shared" si="140"/>
        <v>0</v>
      </c>
      <c r="AS78" s="447">
        <f t="shared" si="141"/>
        <v>0</v>
      </c>
      <c r="AT78" s="24">
        <f t="shared" si="142"/>
        <v>5.37</v>
      </c>
      <c r="AU78" s="443">
        <f t="shared" si="143"/>
        <v>0</v>
      </c>
      <c r="AV78" s="444">
        <f t="shared" si="144"/>
        <v>0</v>
      </c>
      <c r="AW78" s="445">
        <f t="shared" si="145"/>
        <v>0</v>
      </c>
      <c r="AX78" s="446">
        <f t="shared" si="146"/>
        <v>0</v>
      </c>
      <c r="AY78" s="447">
        <f t="shared" si="147"/>
        <v>0</v>
      </c>
      <c r="AZ78" s="24">
        <f t="shared" si="148"/>
        <v>5.37</v>
      </c>
      <c r="BA78" s="43">
        <f>IF(BB78=0,0,
IF(D78=1,
(IF(AND(AH78&gt;'Данные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"ошибка_1"))))))),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"ошибка_2"))))))))</f>
        <v>0</v>
      </c>
      <c r="BB78" s="43">
        <f>IF(OR($AI$9=0,AND(D78&gt;1,F78&gt;10)),0,
IF(D78=1,
(IF(AND(AH78&gt;'Данные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"ошибка_1"))))))),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IF(AND(AH78&gt;'Данные ТНПА'!#REF!,AH78&lt;='Данные ТНПА'!#REF!),'Данные ТНПА'!#REF!,
"ошибка_2"))))))))</f>
        <v>0</v>
      </c>
      <c r="BC78" s="43">
        <f t="shared" si="149"/>
        <v>5.37</v>
      </c>
      <c r="BD78" s="237">
        <f t="shared" si="150"/>
        <v>0</v>
      </c>
      <c r="BE78" s="43">
        <f t="shared" si="151"/>
        <v>0</v>
      </c>
      <c r="BF78" s="201">
        <f t="shared" si="152"/>
        <v>0</v>
      </c>
      <c r="BG78" s="201">
        <f t="shared" si="153"/>
        <v>0</v>
      </c>
      <c r="BH78" s="61">
        <f t="shared" si="154"/>
        <v>5.37</v>
      </c>
      <c r="BI78" s="237">
        <f t="shared" si="155"/>
        <v>0</v>
      </c>
      <c r="BJ78" s="247">
        <f t="shared" si="156"/>
        <v>0</v>
      </c>
      <c r="BK78" s="431">
        <f t="shared" si="157"/>
        <v>0</v>
      </c>
      <c r="BL78" s="250">
        <f t="shared" si="158"/>
        <v>0</v>
      </c>
      <c r="BM78" s="237">
        <f t="shared" si="159"/>
        <v>0</v>
      </c>
      <c r="BN78" s="452">
        <f t="shared" si="160"/>
        <v>5.37</v>
      </c>
      <c r="BO78" s="237">
        <f t="shared" si="161"/>
        <v>0</v>
      </c>
      <c r="BP78" s="432">
        <f t="shared" si="162"/>
        <v>0</v>
      </c>
      <c r="BQ78" s="22" t="str">
        <f t="shared" si="163"/>
        <v/>
      </c>
      <c r="BR78" s="250">
        <f t="shared" si="164"/>
        <v>0</v>
      </c>
      <c r="BS78" s="237">
        <f t="shared" si="165"/>
        <v>0</v>
      </c>
      <c r="BT78" s="452">
        <f t="shared" si="166"/>
        <v>5.37</v>
      </c>
      <c r="BU78" s="492">
        <f t="shared" si="167"/>
        <v>0.92</v>
      </c>
      <c r="BV78" s="493">
        <f>IF(BT78="","",
IF(AND(BT78&gt;'Данные ТНПА'!$K$8,BT78&lt;='Данные ТНПА'!$L$8),'Данные ТНПА'!$N$8,
IF(AND(BT78&gt;'Данные ТНПА'!$K$9,BT78&lt;='Данные ТНПА'!$L$9),'Данные ТНПА'!$N$9,
IF(AND(BT78&gt;'Данные ТНПА'!$K$10,BT78&lt;='Данные ТНПА'!$L$10),'Данные ТНПА'!$N$10,
IF(AND(BT78&gt;'Данные ТНПА'!$K$11,BT78&lt;='Данные ТНПА'!$L$11),'Данные ТНПА'!$N$11,
IF(AND(BT78&gt;'Данные ТНПА'!$K$12,BT78&lt;='Данные ТНПА'!$L$12),'Данные ТНПА'!$N$12,
IF(AND(BT78&gt;'Данные ТНПА'!$K$13,BT78&lt;='Данные ТНПА'!$L$13),'Данные ТНПА'!$N$13,
IF(AND(BT78&gt;'Данные ТНПА'!$K$14,BT78&lt;='Данные ТНПА'!$L$14),'Данные ТНПА'!$N$14))))))))</f>
        <v>1.2</v>
      </c>
      <c r="BW78" s="493">
        <f t="shared" si="168"/>
        <v>7.77</v>
      </c>
      <c r="BX78" s="457">
        <f t="shared" si="169"/>
        <v>27</v>
      </c>
      <c r="BY78" s="457">
        <f t="shared" si="170"/>
        <v>0</v>
      </c>
      <c r="BZ78" s="457">
        <f t="shared" si="171"/>
        <v>16.935760508824927</v>
      </c>
      <c r="CA78" s="457" t="e">
        <f t="shared" si="172"/>
        <v>#REF!</v>
      </c>
      <c r="CB78" s="458">
        <f t="shared" si="173"/>
        <v>0</v>
      </c>
      <c r="CC78" s="457">
        <f t="shared" si="174"/>
        <v>0</v>
      </c>
      <c r="CD78" s="457">
        <f t="shared" si="175"/>
        <v>0</v>
      </c>
      <c r="CE78" s="457">
        <f t="shared" si="176"/>
        <v>0</v>
      </c>
      <c r="CF78" s="457">
        <f t="shared" si="177"/>
        <v>0</v>
      </c>
      <c r="CG78" s="458">
        <f t="shared" si="178"/>
        <v>0</v>
      </c>
      <c r="CH78" s="457">
        <f t="shared" si="179"/>
        <v>0</v>
      </c>
      <c r="CI78" s="457">
        <f t="shared" si="180"/>
        <v>0</v>
      </c>
      <c r="CJ78" s="458">
        <f t="shared" si="181"/>
        <v>0</v>
      </c>
      <c r="CK78" s="458">
        <f t="shared" si="182"/>
        <v>36.062668796193208</v>
      </c>
      <c r="CL78" s="457">
        <f t="shared" si="183"/>
        <v>79.998429305018135</v>
      </c>
      <c r="CM78" s="504"/>
      <c r="CN78" s="504"/>
    </row>
    <row r="79" spans="1:92" s="207" customFormat="1" ht="14.25" hidden="1" customHeight="1" x14ac:dyDescent="0.25">
      <c r="A79" s="389" t="str">
        <f>IF(D79="",CONCATENATE("Кабель ",IF(C79="а","А",""),$A$9),CONCATENATE("Кабель ",IF(C79="а","А",""),$A$9," ",D79,"*",F79,IF(G79="ок"," (ож)","")," - ",B79," ",IF(G79="мс"," фас. ",""),$A$2))</f>
        <v>Кабель АВВГ 1*16 (ож) - 0,66 ГОСТ 16442-80</v>
      </c>
      <c r="B79" s="450">
        <v>0.66</v>
      </c>
      <c r="C79" s="451" t="s">
        <v>164</v>
      </c>
      <c r="D79" s="412">
        <v>1</v>
      </c>
      <c r="E79" s="413" t="s">
        <v>40</v>
      </c>
      <c r="F79" s="423">
        <v>16</v>
      </c>
      <c r="G79" s="414" t="s">
        <v>153</v>
      </c>
      <c r="H79" s="461">
        <v>4.5199999999999996</v>
      </c>
      <c r="I79" s="497">
        <v>1</v>
      </c>
      <c r="J79" s="498" t="s">
        <v>40</v>
      </c>
      <c r="K79" s="496">
        <f>ROUNDUP(SQRT(F79/PI()*4),2)</f>
        <v>4.5199999999999996</v>
      </c>
      <c r="L79" s="501">
        <v>6.68</v>
      </c>
      <c r="M79" s="475"/>
      <c r="N79" s="475"/>
      <c r="O79" s="475"/>
      <c r="P79" s="475"/>
      <c r="Q79" s="483">
        <f t="shared" si="119"/>
        <v>0.71000000000000008</v>
      </c>
      <c r="R79" s="484">
        <f>IF(B79=0.66,VLOOKUP(F79,'Данные ТНПА'!$B$8:$C$16,2,0),
IF(B79=1,VLOOKUP(F79,'Данные ТНПА'!$B$17:$C$37,2,0),"ошибка"))</f>
        <v>0.9</v>
      </c>
      <c r="S79" s="485">
        <f t="shared" si="120"/>
        <v>5.9399999999999995</v>
      </c>
      <c r="T79" s="486"/>
      <c r="U79" s="487"/>
      <c r="V79" s="485">
        <f t="shared" si="121"/>
        <v>6.3199999999999994</v>
      </c>
      <c r="W79" s="486"/>
      <c r="X79" s="487"/>
      <c r="Y79" s="489">
        <f t="shared" si="122"/>
        <v>0</v>
      </c>
      <c r="Z79" s="491">
        <f t="shared" si="123"/>
        <v>6.3199999999999994</v>
      </c>
      <c r="AA79" s="237">
        <f t="shared" si="124"/>
        <v>0</v>
      </c>
      <c r="AB79" s="452">
        <f t="shared" si="125"/>
        <v>6.3199999999999994</v>
      </c>
      <c r="AC79" s="201">
        <f t="shared" si="126"/>
        <v>0</v>
      </c>
      <c r="AD79" s="203">
        <f t="shared" si="127"/>
        <v>0</v>
      </c>
      <c r="AE79" s="37" t="str">
        <f t="shared" si="128"/>
        <v/>
      </c>
      <c r="AF79" s="202">
        <f t="shared" si="129"/>
        <v>0</v>
      </c>
      <c r="AG79" s="201">
        <f t="shared" si="130"/>
        <v>0</v>
      </c>
      <c r="AH79" s="61">
        <f t="shared" si="131"/>
        <v>6.3199999999999994</v>
      </c>
      <c r="AI79" s="443">
        <f t="shared" si="115"/>
        <v>0</v>
      </c>
      <c r="AJ79" s="444">
        <f t="shared" si="132"/>
        <v>0</v>
      </c>
      <c r="AK79" s="445">
        <f t="shared" si="133"/>
        <v>0</v>
      </c>
      <c r="AL79" s="446">
        <f t="shared" si="134"/>
        <v>0</v>
      </c>
      <c r="AM79" s="447">
        <f t="shared" si="135"/>
        <v>0</v>
      </c>
      <c r="AN79" s="24">
        <f t="shared" si="136"/>
        <v>6.3199999999999994</v>
      </c>
      <c r="AO79" s="443">
        <f t="shared" si="137"/>
        <v>0</v>
      </c>
      <c r="AP79" s="444">
        <f t="shared" si="138"/>
        <v>0</v>
      </c>
      <c r="AQ79" s="445">
        <f t="shared" si="139"/>
        <v>0</v>
      </c>
      <c r="AR79" s="446">
        <f t="shared" si="140"/>
        <v>0</v>
      </c>
      <c r="AS79" s="447">
        <f t="shared" si="141"/>
        <v>0</v>
      </c>
      <c r="AT79" s="24">
        <f t="shared" si="142"/>
        <v>6.3199999999999994</v>
      </c>
      <c r="AU79" s="443">
        <f t="shared" si="143"/>
        <v>0</v>
      </c>
      <c r="AV79" s="444">
        <f t="shared" si="144"/>
        <v>0</v>
      </c>
      <c r="AW79" s="445">
        <f t="shared" si="145"/>
        <v>0</v>
      </c>
      <c r="AX79" s="446">
        <f t="shared" si="146"/>
        <v>0</v>
      </c>
      <c r="AY79" s="447">
        <f t="shared" si="147"/>
        <v>0</v>
      </c>
      <c r="AZ79" s="24">
        <f t="shared" si="148"/>
        <v>6.3199999999999994</v>
      </c>
      <c r="BA79" s="43">
        <f>IF(BB79=0,0,
IF(D79=1,
(IF(AND(AH79&gt;'Данные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"ошибка_1"))))))),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"ошибка_2"))))))))</f>
        <v>0</v>
      </c>
      <c r="BB79" s="43">
        <f>IF(OR($AI$9=0,AND(D79&gt;1,F79&gt;10)),0,
IF(D79=1,
(IF(AND(AH79&gt;'Данные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"ошибка_1"))))))),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IF(AND(AH79&gt;'Данные ТНПА'!#REF!,AH79&lt;='Данные ТНПА'!#REF!),'Данные ТНПА'!#REF!,
"ошибка_2"))))))))</f>
        <v>0</v>
      </c>
      <c r="BC79" s="43">
        <f t="shared" si="149"/>
        <v>6.3199999999999994</v>
      </c>
      <c r="BD79" s="237">
        <f t="shared" si="150"/>
        <v>0</v>
      </c>
      <c r="BE79" s="43">
        <f t="shared" si="151"/>
        <v>0</v>
      </c>
      <c r="BF79" s="201">
        <f t="shared" si="152"/>
        <v>0</v>
      </c>
      <c r="BG79" s="201">
        <f t="shared" si="153"/>
        <v>0</v>
      </c>
      <c r="BH79" s="61">
        <f t="shared" si="154"/>
        <v>6.3199999999999994</v>
      </c>
      <c r="BI79" s="237">
        <f t="shared" si="155"/>
        <v>0</v>
      </c>
      <c r="BJ79" s="247">
        <f t="shared" si="156"/>
        <v>0</v>
      </c>
      <c r="BK79" s="431">
        <f t="shared" si="157"/>
        <v>0</v>
      </c>
      <c r="BL79" s="250">
        <f t="shared" si="158"/>
        <v>0</v>
      </c>
      <c r="BM79" s="237">
        <f t="shared" si="159"/>
        <v>0</v>
      </c>
      <c r="BN79" s="452">
        <f t="shared" si="160"/>
        <v>6.3199999999999994</v>
      </c>
      <c r="BO79" s="237">
        <f t="shared" si="161"/>
        <v>0</v>
      </c>
      <c r="BP79" s="432">
        <f t="shared" si="162"/>
        <v>0</v>
      </c>
      <c r="BQ79" s="22" t="str">
        <f t="shared" si="163"/>
        <v/>
      </c>
      <c r="BR79" s="250">
        <f t="shared" si="164"/>
        <v>0</v>
      </c>
      <c r="BS79" s="237">
        <f t="shared" si="165"/>
        <v>0</v>
      </c>
      <c r="BT79" s="452">
        <f t="shared" si="166"/>
        <v>6.3199999999999994</v>
      </c>
      <c r="BU79" s="492">
        <f t="shared" si="167"/>
        <v>1.1749999999999998</v>
      </c>
      <c r="BV79" s="493">
        <f>IF(BT79="","",
IF(AND(BT79&gt;'Данные ТНПА'!$K$8,BT79&lt;='Данные ТНПА'!$L$8),'Данные ТНПА'!$N$8,
IF(AND(BT79&gt;'Данные ТНПА'!$K$9,BT79&lt;='Данные ТНПА'!$L$9),'Данные ТНПА'!$N$9,
IF(AND(BT79&gt;'Данные ТНПА'!$K$10,BT79&lt;='Данные ТНПА'!$L$10),'Данные ТНПА'!$N$10,
IF(AND(BT79&gt;'Данные ТНПА'!$K$11,BT79&lt;='Данные ТНПА'!$L$11),'Данные ТНПА'!$N$11,
IF(AND(BT79&gt;'Данные ТНПА'!$K$12,BT79&lt;='Данные ТНПА'!$L$12),'Данные ТНПА'!$N$12,
IF(AND(BT79&gt;'Данные ТНПА'!$K$13,BT79&lt;='Данные ТНПА'!$L$13),'Данные ТНПА'!$N$13,
IF(AND(BT79&gt;'Данные ТНПА'!$K$14,BT79&lt;='Данные ТНПА'!$L$14),'Данные ТНПА'!$N$14))))))))</f>
        <v>1.5</v>
      </c>
      <c r="BW79" s="493">
        <f t="shared" si="168"/>
        <v>9.32</v>
      </c>
      <c r="BX79" s="457">
        <f t="shared" si="169"/>
        <v>43.2</v>
      </c>
      <c r="BY79" s="457">
        <f t="shared" si="170"/>
        <v>0</v>
      </c>
      <c r="BZ79" s="457">
        <f t="shared" si="171"/>
        <v>20.535083212042757</v>
      </c>
      <c r="CA79" s="457" t="e">
        <f t="shared" si="172"/>
        <v>#REF!</v>
      </c>
      <c r="CB79" s="458">
        <f t="shared" si="173"/>
        <v>0</v>
      </c>
      <c r="CC79" s="457">
        <f t="shared" si="174"/>
        <v>0</v>
      </c>
      <c r="CD79" s="457">
        <f t="shared" si="175"/>
        <v>0</v>
      </c>
      <c r="CE79" s="457">
        <f t="shared" si="176"/>
        <v>0</v>
      </c>
      <c r="CF79" s="457">
        <f t="shared" si="177"/>
        <v>0</v>
      </c>
      <c r="CG79" s="458">
        <f t="shared" si="178"/>
        <v>0</v>
      </c>
      <c r="CH79" s="457">
        <f t="shared" si="179"/>
        <v>0</v>
      </c>
      <c r="CI79" s="457">
        <f t="shared" si="180"/>
        <v>0</v>
      </c>
      <c r="CJ79" s="458">
        <f t="shared" si="181"/>
        <v>0</v>
      </c>
      <c r="CK79" s="458">
        <f t="shared" si="182"/>
        <v>53.654883939541641</v>
      </c>
      <c r="CL79" s="457">
        <f t="shared" si="183"/>
        <v>117.3899671515844</v>
      </c>
      <c r="CM79" s="504"/>
      <c r="CN79" s="504"/>
    </row>
    <row r="80" spans="1:92" s="207" customFormat="1" ht="14.25" hidden="1" customHeight="1" x14ac:dyDescent="0.25">
      <c r="A80" s="389" t="str">
        <f>IF(D80="",CONCATENATE("Кабель ",IF(C80="а","А",""),$A$9),CONCATENATE("Кабель ",IF(C80="а","А",""),$A$9," ",D80,"*",F80,IF(G80="ок"," (ож)","")," - ",B80," ",IF(G80="мс"," фас. ",""),$A$2))</f>
        <v>Кабель АВВГ 1*25 (ож) - 0,66 ГОСТ 16442-80</v>
      </c>
      <c r="B80" s="450">
        <v>0.66</v>
      </c>
      <c r="C80" s="451" t="s">
        <v>164</v>
      </c>
      <c r="D80" s="412">
        <v>1</v>
      </c>
      <c r="E80" s="413" t="s">
        <v>40</v>
      </c>
      <c r="F80" s="423">
        <v>25</v>
      </c>
      <c r="G80" s="414" t="s">
        <v>153</v>
      </c>
      <c r="H80" s="461">
        <v>5.6499999999999995</v>
      </c>
      <c r="I80" s="497">
        <v>1</v>
      </c>
      <c r="J80" s="498" t="s">
        <v>40</v>
      </c>
      <c r="K80" s="496">
        <f>ROUNDUP(SQRT(F80/PI()*4),2)</f>
        <v>5.6499999999999995</v>
      </c>
      <c r="L80" s="501">
        <v>7.1000000000000005</v>
      </c>
      <c r="M80" s="475"/>
      <c r="N80" s="475"/>
      <c r="O80" s="475"/>
      <c r="P80" s="475"/>
      <c r="Q80" s="483">
        <f t="shared" si="119"/>
        <v>0.89000000000000012</v>
      </c>
      <c r="R80" s="484">
        <f>IF(B80=0.66,VLOOKUP(F80,'Данные ТНПА'!$B$8:$C$16,2,0),
IF(B80=1,VLOOKUP(F80,'Данные ТНПА'!$B$17:$C$37,2,0),"ошибка"))</f>
        <v>1.1000000000000001</v>
      </c>
      <c r="S80" s="485">
        <f t="shared" si="120"/>
        <v>7.43</v>
      </c>
      <c r="T80" s="486"/>
      <c r="U80" s="487"/>
      <c r="V80" s="485">
        <f t="shared" si="121"/>
        <v>7.85</v>
      </c>
      <c r="W80" s="486"/>
      <c r="X80" s="487"/>
      <c r="Y80" s="489">
        <f t="shared" si="122"/>
        <v>0</v>
      </c>
      <c r="Z80" s="491">
        <f t="shared" si="123"/>
        <v>7.85</v>
      </c>
      <c r="AA80" s="237">
        <f t="shared" si="124"/>
        <v>0</v>
      </c>
      <c r="AB80" s="452">
        <f t="shared" si="125"/>
        <v>7.85</v>
      </c>
      <c r="AC80" s="201">
        <f t="shared" si="126"/>
        <v>0</v>
      </c>
      <c r="AD80" s="203">
        <f t="shared" si="127"/>
        <v>0</v>
      </c>
      <c r="AE80" s="37" t="str">
        <f t="shared" si="128"/>
        <v/>
      </c>
      <c r="AF80" s="202">
        <f t="shared" si="129"/>
        <v>0</v>
      </c>
      <c r="AG80" s="201">
        <f t="shared" si="130"/>
        <v>0</v>
      </c>
      <c r="AH80" s="61">
        <f t="shared" si="131"/>
        <v>7.85</v>
      </c>
      <c r="AI80" s="443">
        <f t="shared" si="115"/>
        <v>0</v>
      </c>
      <c r="AJ80" s="444">
        <f t="shared" si="132"/>
        <v>0</v>
      </c>
      <c r="AK80" s="445">
        <f t="shared" si="133"/>
        <v>0</v>
      </c>
      <c r="AL80" s="446">
        <f t="shared" si="134"/>
        <v>0</v>
      </c>
      <c r="AM80" s="447">
        <f t="shared" si="135"/>
        <v>0</v>
      </c>
      <c r="AN80" s="24">
        <f t="shared" si="136"/>
        <v>7.85</v>
      </c>
      <c r="AO80" s="443">
        <f t="shared" si="137"/>
        <v>0</v>
      </c>
      <c r="AP80" s="444">
        <f t="shared" si="138"/>
        <v>0</v>
      </c>
      <c r="AQ80" s="445">
        <f t="shared" si="139"/>
        <v>0</v>
      </c>
      <c r="AR80" s="446">
        <f t="shared" si="140"/>
        <v>0</v>
      </c>
      <c r="AS80" s="447">
        <f t="shared" si="141"/>
        <v>0</v>
      </c>
      <c r="AT80" s="24">
        <f t="shared" si="142"/>
        <v>7.85</v>
      </c>
      <c r="AU80" s="443">
        <f t="shared" si="143"/>
        <v>0</v>
      </c>
      <c r="AV80" s="444">
        <f t="shared" si="144"/>
        <v>0</v>
      </c>
      <c r="AW80" s="445">
        <f t="shared" si="145"/>
        <v>0</v>
      </c>
      <c r="AX80" s="446">
        <f t="shared" si="146"/>
        <v>0</v>
      </c>
      <c r="AY80" s="447">
        <f t="shared" si="147"/>
        <v>0</v>
      </c>
      <c r="AZ80" s="24">
        <f t="shared" si="148"/>
        <v>7.85</v>
      </c>
      <c r="BA80" s="43">
        <f>IF(BB80=0,0,
IF(D80=1,
(IF(AND(AH80&gt;'Данные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"ошибка_1"))))))),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"ошибка_2"))))))))</f>
        <v>0</v>
      </c>
      <c r="BB80" s="43">
        <f>IF(OR($AI$9=0,AND(D80&gt;1,F80&gt;10)),0,
IF(D80=1,
(IF(AND(AH80&gt;'Данные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"ошибка_1"))))))),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IF(AND(AH80&gt;'Данные ТНПА'!#REF!,AH80&lt;='Данные ТНПА'!#REF!),'Данные ТНПА'!#REF!,
"ошибка_2"))))))))</f>
        <v>0</v>
      </c>
      <c r="BC80" s="43">
        <f t="shared" si="149"/>
        <v>7.85</v>
      </c>
      <c r="BD80" s="237">
        <f t="shared" si="150"/>
        <v>0</v>
      </c>
      <c r="BE80" s="43">
        <f t="shared" si="151"/>
        <v>0</v>
      </c>
      <c r="BF80" s="201">
        <f t="shared" si="152"/>
        <v>0</v>
      </c>
      <c r="BG80" s="201">
        <f t="shared" si="153"/>
        <v>0</v>
      </c>
      <c r="BH80" s="61">
        <f t="shared" si="154"/>
        <v>7.85</v>
      </c>
      <c r="BI80" s="237">
        <f t="shared" si="155"/>
        <v>0</v>
      </c>
      <c r="BJ80" s="247">
        <f t="shared" si="156"/>
        <v>0</v>
      </c>
      <c r="BK80" s="431">
        <f t="shared" si="157"/>
        <v>0</v>
      </c>
      <c r="BL80" s="250">
        <f t="shared" si="158"/>
        <v>0</v>
      </c>
      <c r="BM80" s="237">
        <f t="shared" si="159"/>
        <v>0</v>
      </c>
      <c r="BN80" s="452">
        <f t="shared" si="160"/>
        <v>7.85</v>
      </c>
      <c r="BO80" s="237">
        <f t="shared" si="161"/>
        <v>0</v>
      </c>
      <c r="BP80" s="432">
        <f t="shared" si="162"/>
        <v>0</v>
      </c>
      <c r="BQ80" s="22" t="str">
        <f t="shared" si="163"/>
        <v/>
      </c>
      <c r="BR80" s="250">
        <f t="shared" si="164"/>
        <v>0</v>
      </c>
      <c r="BS80" s="237">
        <f t="shared" si="165"/>
        <v>0</v>
      </c>
      <c r="BT80" s="452">
        <f t="shared" si="166"/>
        <v>7.85</v>
      </c>
      <c r="BU80" s="492">
        <f t="shared" si="167"/>
        <v>1.1749999999999998</v>
      </c>
      <c r="BV80" s="493">
        <f>IF(BT80="","",
IF(AND(BT80&gt;'Данные ТНПА'!$K$8,BT80&lt;='Данные ТНПА'!$L$8),'Данные ТНПА'!$N$8,
IF(AND(BT80&gt;'Данные ТНПА'!$K$9,BT80&lt;='Данные ТНПА'!$L$9),'Данные ТНПА'!$N$9,
IF(AND(BT80&gt;'Данные ТНПА'!$K$10,BT80&lt;='Данные ТНПА'!$L$10),'Данные ТНПА'!$N$10,
IF(AND(BT80&gt;'Данные ТНПА'!$K$11,BT80&lt;='Данные ТНПА'!$L$11),'Данные ТНПА'!$N$11,
IF(AND(BT80&gt;'Данные ТНПА'!$K$12,BT80&lt;='Данные ТНПА'!$L$12),'Данные ТНПА'!$N$12,
IF(AND(BT80&gt;'Данные ТНПА'!$K$13,BT80&lt;='Данные ТНПА'!$L$13),'Данные ТНПА'!$N$13,
IF(AND(BT80&gt;'Данные ТНПА'!$K$14,BT80&lt;='Данные ТНПА'!$L$14),'Данные ТНПА'!$N$14))))))))</f>
        <v>1.5</v>
      </c>
      <c r="BW80" s="493">
        <f t="shared" si="168"/>
        <v>10.85</v>
      </c>
      <c r="BX80" s="457">
        <f t="shared" si="169"/>
        <v>67.5</v>
      </c>
      <c r="BY80" s="457">
        <f t="shared" si="170"/>
        <v>0</v>
      </c>
      <c r="BZ80" s="457">
        <f t="shared" si="171"/>
        <v>31.257276106891648</v>
      </c>
      <c r="CA80" s="457" t="e">
        <f t="shared" si="172"/>
        <v>#REF!</v>
      </c>
      <c r="CB80" s="458">
        <f t="shared" si="173"/>
        <v>0</v>
      </c>
      <c r="CC80" s="457">
        <f t="shared" si="174"/>
        <v>0</v>
      </c>
      <c r="CD80" s="457">
        <f t="shared" si="175"/>
        <v>0</v>
      </c>
      <c r="CE80" s="457">
        <f t="shared" si="176"/>
        <v>0</v>
      </c>
      <c r="CF80" s="457">
        <f t="shared" si="177"/>
        <v>0</v>
      </c>
      <c r="CG80" s="458">
        <f t="shared" si="178"/>
        <v>0</v>
      </c>
      <c r="CH80" s="457">
        <f t="shared" si="179"/>
        <v>0</v>
      </c>
      <c r="CI80" s="457">
        <f t="shared" si="180"/>
        <v>0</v>
      </c>
      <c r="CJ80" s="458">
        <f t="shared" si="181"/>
        <v>0</v>
      </c>
      <c r="CK80" s="458">
        <f t="shared" si="182"/>
        <v>64.152578623365002</v>
      </c>
      <c r="CL80" s="457">
        <f t="shared" si="183"/>
        <v>162.90985473025665</v>
      </c>
      <c r="CM80" s="504"/>
      <c r="CN80" s="504"/>
    </row>
    <row r="81" spans="1:92" s="207" customFormat="1" ht="14.25" hidden="1" customHeight="1" x14ac:dyDescent="0.25">
      <c r="A81" s="389" t="str">
        <f>IF(D81="",CONCATENATE("Кабель ",IF(C81="а","А",""),$A$9),CONCATENATE("Кабель ",IF(C81="а","А",""),$A$9," ",D81,"*",F81,IF(G81="ок"," (ож)","")," - ",B81," ",IF(G81="мс"," фас. ",""),$A$2))</f>
        <v>Кабель АВВГ 1*35 (ож) - 0,66 ГОСТ 16442-80</v>
      </c>
      <c r="B81" s="450">
        <v>0.66</v>
      </c>
      <c r="C81" s="451" t="s">
        <v>164</v>
      </c>
      <c r="D81" s="412">
        <v>1</v>
      </c>
      <c r="E81" s="413" t="s">
        <v>40</v>
      </c>
      <c r="F81" s="423">
        <v>35</v>
      </c>
      <c r="G81" s="414" t="s">
        <v>153</v>
      </c>
      <c r="H81" s="461">
        <v>6.68</v>
      </c>
      <c r="I81" s="497">
        <v>1</v>
      </c>
      <c r="J81" s="498" t="s">
        <v>40</v>
      </c>
      <c r="K81" s="496">
        <f>ROUNDUP(SQRT(F81/PI()*4),2)</f>
        <v>6.68</v>
      </c>
      <c r="L81" s="501">
        <v>7.9799999999999995</v>
      </c>
      <c r="M81" s="475"/>
      <c r="N81" s="475"/>
      <c r="O81" s="475"/>
      <c r="P81" s="475"/>
      <c r="Q81" s="483">
        <f t="shared" si="119"/>
        <v>0.89000000000000012</v>
      </c>
      <c r="R81" s="484">
        <f>IF(B81=0.66,VLOOKUP(F81,'Данные ТНПА'!$B$8:$C$16,2,0),
IF(B81=1,VLOOKUP(F81,'Данные ТНПА'!$B$17:$C$37,2,0),"ошибка"))</f>
        <v>1.1000000000000001</v>
      </c>
      <c r="S81" s="485">
        <f t="shared" si="120"/>
        <v>8.4600000000000009</v>
      </c>
      <c r="T81" s="486"/>
      <c r="U81" s="487"/>
      <c r="V81" s="485">
        <f t="shared" si="121"/>
        <v>8.879999999999999</v>
      </c>
      <c r="W81" s="486"/>
      <c r="X81" s="487"/>
      <c r="Y81" s="489">
        <f t="shared" si="122"/>
        <v>0</v>
      </c>
      <c r="Z81" s="491">
        <f t="shared" si="123"/>
        <v>8.879999999999999</v>
      </c>
      <c r="AA81" s="237">
        <f t="shared" si="124"/>
        <v>0</v>
      </c>
      <c r="AB81" s="452">
        <f t="shared" si="125"/>
        <v>8.879999999999999</v>
      </c>
      <c r="AC81" s="201">
        <f t="shared" si="126"/>
        <v>0</v>
      </c>
      <c r="AD81" s="203">
        <f t="shared" si="127"/>
        <v>0</v>
      </c>
      <c r="AE81" s="37" t="str">
        <f t="shared" si="128"/>
        <v/>
      </c>
      <c r="AF81" s="202">
        <f t="shared" si="129"/>
        <v>0</v>
      </c>
      <c r="AG81" s="201">
        <f t="shared" si="130"/>
        <v>0</v>
      </c>
      <c r="AH81" s="61">
        <f t="shared" si="131"/>
        <v>8.879999999999999</v>
      </c>
      <c r="AI81" s="443">
        <f t="shared" si="115"/>
        <v>0</v>
      </c>
      <c r="AJ81" s="444">
        <f t="shared" si="132"/>
        <v>0</v>
      </c>
      <c r="AK81" s="445">
        <f t="shared" si="133"/>
        <v>0</v>
      </c>
      <c r="AL81" s="446">
        <f t="shared" si="134"/>
        <v>0</v>
      </c>
      <c r="AM81" s="447">
        <f t="shared" si="135"/>
        <v>0</v>
      </c>
      <c r="AN81" s="24">
        <f t="shared" si="136"/>
        <v>8.879999999999999</v>
      </c>
      <c r="AO81" s="443">
        <f t="shared" si="137"/>
        <v>0</v>
      </c>
      <c r="AP81" s="444">
        <f t="shared" si="138"/>
        <v>0</v>
      </c>
      <c r="AQ81" s="445">
        <f t="shared" si="139"/>
        <v>0</v>
      </c>
      <c r="AR81" s="446">
        <f t="shared" si="140"/>
        <v>0</v>
      </c>
      <c r="AS81" s="447">
        <f t="shared" si="141"/>
        <v>0</v>
      </c>
      <c r="AT81" s="24">
        <f t="shared" si="142"/>
        <v>8.879999999999999</v>
      </c>
      <c r="AU81" s="443">
        <f t="shared" si="143"/>
        <v>0</v>
      </c>
      <c r="AV81" s="444">
        <f t="shared" si="144"/>
        <v>0</v>
      </c>
      <c r="AW81" s="445">
        <f t="shared" si="145"/>
        <v>0</v>
      </c>
      <c r="AX81" s="446">
        <f t="shared" si="146"/>
        <v>0</v>
      </c>
      <c r="AY81" s="447">
        <f t="shared" si="147"/>
        <v>0</v>
      </c>
      <c r="AZ81" s="24">
        <f t="shared" si="148"/>
        <v>8.879999999999999</v>
      </c>
      <c r="BA81" s="43">
        <f>IF(BB81=0,0,
IF(D81=1,
(IF(AND(AH81&gt;'Данные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"ошибка_1"))))))),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"ошибка_2"))))))))</f>
        <v>0</v>
      </c>
      <c r="BB81" s="43">
        <f>IF(OR($AI$9=0,AND(D81&gt;1,F81&gt;10)),0,
IF(D81=1,
(IF(AND(AH81&gt;'Данные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"ошибка_1"))))))),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IF(AND(AH81&gt;'Данные ТНПА'!#REF!,AH81&lt;='Данные ТНПА'!#REF!),'Данные ТНПА'!#REF!,
"ошибка_2"))))))))</f>
        <v>0</v>
      </c>
      <c r="BC81" s="43">
        <f t="shared" si="149"/>
        <v>8.879999999999999</v>
      </c>
      <c r="BD81" s="237">
        <f t="shared" si="150"/>
        <v>0</v>
      </c>
      <c r="BE81" s="43">
        <f t="shared" si="151"/>
        <v>0</v>
      </c>
      <c r="BF81" s="201">
        <f t="shared" si="152"/>
        <v>0</v>
      </c>
      <c r="BG81" s="201">
        <f t="shared" si="153"/>
        <v>0</v>
      </c>
      <c r="BH81" s="61">
        <f t="shared" si="154"/>
        <v>8.879999999999999</v>
      </c>
      <c r="BI81" s="237">
        <f t="shared" si="155"/>
        <v>0</v>
      </c>
      <c r="BJ81" s="247">
        <f t="shared" si="156"/>
        <v>0</v>
      </c>
      <c r="BK81" s="431">
        <f t="shared" si="157"/>
        <v>0</v>
      </c>
      <c r="BL81" s="250">
        <f t="shared" si="158"/>
        <v>0</v>
      </c>
      <c r="BM81" s="237">
        <f t="shared" si="159"/>
        <v>0</v>
      </c>
      <c r="BN81" s="452">
        <f t="shared" si="160"/>
        <v>8.879999999999999</v>
      </c>
      <c r="BO81" s="237">
        <f t="shared" si="161"/>
        <v>0</v>
      </c>
      <c r="BP81" s="432">
        <f t="shared" si="162"/>
        <v>0</v>
      </c>
      <c r="BQ81" s="22" t="str">
        <f t="shared" si="163"/>
        <v/>
      </c>
      <c r="BR81" s="250">
        <f t="shared" si="164"/>
        <v>0</v>
      </c>
      <c r="BS81" s="237">
        <f t="shared" si="165"/>
        <v>0</v>
      </c>
      <c r="BT81" s="452">
        <f t="shared" si="166"/>
        <v>8.879999999999999</v>
      </c>
      <c r="BU81" s="492">
        <f t="shared" si="167"/>
        <v>1.1749999999999998</v>
      </c>
      <c r="BV81" s="493">
        <f>IF(BT81="","",
IF(AND(BT81&gt;'Данные ТНПА'!$K$8,BT81&lt;='Данные ТНПА'!$L$8),'Данные ТНПА'!$N$8,
IF(AND(BT81&gt;'Данные ТНПА'!$K$9,BT81&lt;='Данные ТНПА'!$L$9),'Данные ТНПА'!$N$9,
IF(AND(BT81&gt;'Данные ТНПА'!$K$10,BT81&lt;='Данные ТНПА'!$L$10),'Данные ТНПА'!$N$10,
IF(AND(BT81&gt;'Данные ТНПА'!$K$11,BT81&lt;='Данные ТНПА'!$L$11),'Данные ТНПА'!$N$11,
IF(AND(BT81&gt;'Данные ТНПА'!$K$12,BT81&lt;='Данные ТНПА'!$L$12),'Данные ТНПА'!$N$12,
IF(AND(BT81&gt;'Данные ТНПА'!$K$13,BT81&lt;='Данные ТНПА'!$L$13),'Данные ТНПА'!$N$13,
IF(AND(BT81&gt;'Данные ТНПА'!$K$14,BT81&lt;='Данные ТНПА'!$L$14),'Данные ТНПА'!$N$14))))))))</f>
        <v>1.5</v>
      </c>
      <c r="BW81" s="493">
        <f t="shared" si="168"/>
        <v>11.879999999999999</v>
      </c>
      <c r="BX81" s="457">
        <f t="shared" si="169"/>
        <v>94.5</v>
      </c>
      <c r="BY81" s="457">
        <f t="shared" si="170"/>
        <v>0</v>
      </c>
      <c r="BZ81" s="457">
        <f t="shared" si="171"/>
        <v>36.026904905424743</v>
      </c>
      <c r="CA81" s="457" t="e">
        <f t="shared" si="172"/>
        <v>#REF!</v>
      </c>
      <c r="CB81" s="458">
        <f t="shared" si="173"/>
        <v>0</v>
      </c>
      <c r="CC81" s="457">
        <f t="shared" si="174"/>
        <v>0</v>
      </c>
      <c r="CD81" s="457">
        <f t="shared" si="175"/>
        <v>0</v>
      </c>
      <c r="CE81" s="457">
        <f t="shared" si="176"/>
        <v>0</v>
      </c>
      <c r="CF81" s="457">
        <f t="shared" si="177"/>
        <v>0</v>
      </c>
      <c r="CG81" s="458">
        <f t="shared" si="178"/>
        <v>0</v>
      </c>
      <c r="CH81" s="457">
        <f t="shared" si="179"/>
        <v>0</v>
      </c>
      <c r="CI81" s="457">
        <f t="shared" si="180"/>
        <v>0</v>
      </c>
      <c r="CJ81" s="458">
        <f t="shared" si="181"/>
        <v>0</v>
      </c>
      <c r="CK81" s="458">
        <f t="shared" si="182"/>
        <v>71.21965412946831</v>
      </c>
      <c r="CL81" s="457">
        <f t="shared" si="183"/>
        <v>201.74655903489304</v>
      </c>
      <c r="CM81" s="504"/>
      <c r="CN81" s="504"/>
    </row>
    <row r="82" spans="1:92" s="207" customFormat="1" ht="14.25" hidden="1" customHeight="1" x14ac:dyDescent="0.25">
      <c r="A82" s="389" t="str">
        <f>IF(D82="",CONCATENATE("Кабель ",IF(C82="а","А",""),$A$9),CONCATENATE("Кабель ",IF(C82="а","А",""),$A$9," ",D82,"*",F82,IF(G82="ок"," (ож)","")," - ",B82," ",IF(G82="мс"," фас. ",""),$A$2))</f>
        <v>Кабель АВВГ 1*50 (ож) - 0,66 ГОСТ 16442-80</v>
      </c>
      <c r="B82" s="510">
        <v>0.66</v>
      </c>
      <c r="C82" s="451" t="s">
        <v>164</v>
      </c>
      <c r="D82" s="412">
        <v>1</v>
      </c>
      <c r="E82" s="413" t="s">
        <v>40</v>
      </c>
      <c r="F82" s="423">
        <v>50</v>
      </c>
      <c r="G82" s="414" t="s">
        <v>153</v>
      </c>
      <c r="H82" s="461">
        <v>7.9799999999999995</v>
      </c>
      <c r="I82" s="497">
        <v>1</v>
      </c>
      <c r="J82" s="498" t="s">
        <v>40</v>
      </c>
      <c r="K82" s="496">
        <f>ROUNDUP(SQRT(F82/PI()*4),2)</f>
        <v>7.9799999999999995</v>
      </c>
      <c r="L82" s="501">
        <v>8.15</v>
      </c>
      <c r="M82" s="475"/>
      <c r="N82" s="475"/>
      <c r="O82" s="475"/>
      <c r="P82" s="475"/>
      <c r="Q82" s="483">
        <f t="shared" si="119"/>
        <v>1.07</v>
      </c>
      <c r="R82" s="484">
        <f>IF(B82=0.66,VLOOKUP(F82,'Данные ТНПА'!$B$8:$C$16,2,0),
IF(B82=1,VLOOKUP(F82,'Данные ТНПА'!$B$17:$C$37,2,0),"ошибка"))</f>
        <v>1.3</v>
      </c>
      <c r="S82" s="485">
        <f t="shared" si="120"/>
        <v>10.119999999999999</v>
      </c>
      <c r="T82" s="486"/>
      <c r="U82" s="487"/>
      <c r="V82" s="485">
        <f t="shared" si="121"/>
        <v>10.58</v>
      </c>
      <c r="W82" s="486"/>
      <c r="X82" s="487"/>
      <c r="Y82" s="489">
        <f t="shared" si="122"/>
        <v>0</v>
      </c>
      <c r="Z82" s="491">
        <f t="shared" si="123"/>
        <v>10.58</v>
      </c>
      <c r="AA82" s="237">
        <f t="shared" si="124"/>
        <v>0</v>
      </c>
      <c r="AB82" s="452">
        <f t="shared" si="125"/>
        <v>10.58</v>
      </c>
      <c r="AC82" s="201">
        <f t="shared" si="126"/>
        <v>0</v>
      </c>
      <c r="AD82" s="203">
        <f t="shared" si="127"/>
        <v>0</v>
      </c>
      <c r="AE82" s="37" t="str">
        <f t="shared" si="128"/>
        <v/>
      </c>
      <c r="AF82" s="202">
        <f t="shared" si="129"/>
        <v>0</v>
      </c>
      <c r="AG82" s="201">
        <f t="shared" si="130"/>
        <v>0</v>
      </c>
      <c r="AH82" s="61">
        <f t="shared" si="131"/>
        <v>10.58</v>
      </c>
      <c r="AI82" s="443">
        <f t="shared" si="115"/>
        <v>0</v>
      </c>
      <c r="AJ82" s="444">
        <f t="shared" si="132"/>
        <v>0</v>
      </c>
      <c r="AK82" s="445">
        <f t="shared" si="133"/>
        <v>0</v>
      </c>
      <c r="AL82" s="446">
        <f t="shared" si="134"/>
        <v>0</v>
      </c>
      <c r="AM82" s="447">
        <f t="shared" si="135"/>
        <v>0</v>
      </c>
      <c r="AN82" s="24">
        <f t="shared" si="136"/>
        <v>10.58</v>
      </c>
      <c r="AO82" s="443">
        <f t="shared" si="137"/>
        <v>0</v>
      </c>
      <c r="AP82" s="444">
        <f t="shared" si="138"/>
        <v>0</v>
      </c>
      <c r="AQ82" s="445">
        <f t="shared" si="139"/>
        <v>0</v>
      </c>
      <c r="AR82" s="446">
        <f t="shared" si="140"/>
        <v>0</v>
      </c>
      <c r="AS82" s="447">
        <f t="shared" si="141"/>
        <v>0</v>
      </c>
      <c r="AT82" s="24">
        <f t="shared" si="142"/>
        <v>10.58</v>
      </c>
      <c r="AU82" s="443">
        <f t="shared" si="143"/>
        <v>0</v>
      </c>
      <c r="AV82" s="444">
        <f t="shared" si="144"/>
        <v>0</v>
      </c>
      <c r="AW82" s="445">
        <f t="shared" si="145"/>
        <v>0</v>
      </c>
      <c r="AX82" s="446">
        <f t="shared" si="146"/>
        <v>0</v>
      </c>
      <c r="AY82" s="447">
        <f t="shared" si="147"/>
        <v>0</v>
      </c>
      <c r="AZ82" s="24">
        <f t="shared" si="148"/>
        <v>10.58</v>
      </c>
      <c r="BA82" s="43">
        <f>IF(BB82=0,0,
IF(D82=1,
(IF(AND(AH82&gt;'Данные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"ошибка_1"))))))),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"ошибка_2"))))))))</f>
        <v>0</v>
      </c>
      <c r="BB82" s="43">
        <f>IF(OR($AI$9=0,AND(D82&gt;1,F82&gt;10)),0,
IF(D82=1,
(IF(AND(AH82&gt;'Данные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"ошибка_1"))))))),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IF(AND(AH82&gt;'Данные ТНПА'!#REF!,AH82&lt;='Данные ТНПА'!#REF!),'Данные ТНПА'!#REF!,
"ошибка_2"))))))))</f>
        <v>0</v>
      </c>
      <c r="BC82" s="43">
        <f t="shared" si="149"/>
        <v>10.58</v>
      </c>
      <c r="BD82" s="237">
        <f t="shared" si="150"/>
        <v>0</v>
      </c>
      <c r="BE82" s="43">
        <f t="shared" si="151"/>
        <v>0</v>
      </c>
      <c r="BF82" s="201">
        <f t="shared" si="152"/>
        <v>0</v>
      </c>
      <c r="BG82" s="201">
        <f t="shared" si="153"/>
        <v>0</v>
      </c>
      <c r="BH82" s="61">
        <f t="shared" si="154"/>
        <v>10.58</v>
      </c>
      <c r="BI82" s="237">
        <f t="shared" si="155"/>
        <v>0</v>
      </c>
      <c r="BJ82" s="247">
        <f t="shared" si="156"/>
        <v>0</v>
      </c>
      <c r="BK82" s="431">
        <f t="shared" si="157"/>
        <v>0</v>
      </c>
      <c r="BL82" s="250">
        <f t="shared" si="158"/>
        <v>0</v>
      </c>
      <c r="BM82" s="237">
        <f t="shared" si="159"/>
        <v>0</v>
      </c>
      <c r="BN82" s="452">
        <f t="shared" si="160"/>
        <v>10.58</v>
      </c>
      <c r="BO82" s="237">
        <f t="shared" si="161"/>
        <v>0</v>
      </c>
      <c r="BP82" s="432">
        <f t="shared" si="162"/>
        <v>0</v>
      </c>
      <c r="BQ82" s="22" t="str">
        <f t="shared" si="163"/>
        <v/>
      </c>
      <c r="BR82" s="250">
        <f t="shared" si="164"/>
        <v>0</v>
      </c>
      <c r="BS82" s="237">
        <f t="shared" si="165"/>
        <v>0</v>
      </c>
      <c r="BT82" s="452">
        <f t="shared" si="166"/>
        <v>10.58</v>
      </c>
      <c r="BU82" s="492">
        <f t="shared" si="167"/>
        <v>1.1749999999999998</v>
      </c>
      <c r="BV82" s="493">
        <f>IF(BT82="","",
IF(AND(BT82&gt;'Данные ТНПА'!$K$8,BT82&lt;='Данные ТНПА'!$L$8),'Данные ТНПА'!$N$8,
IF(AND(BT82&gt;'Данные ТНПА'!$K$9,BT82&lt;='Данные ТНПА'!$L$9),'Данные ТНПА'!$N$9,
IF(AND(BT82&gt;'Данные ТНПА'!$K$10,BT82&lt;='Данные ТНПА'!$L$10),'Данные ТНПА'!$N$10,
IF(AND(BT82&gt;'Данные ТНПА'!$K$11,BT82&lt;='Данные ТНПА'!$L$11),'Данные ТНПА'!$N$11,
IF(AND(BT82&gt;'Данные ТНПА'!$K$12,BT82&lt;='Данные ТНПА'!$L$12),'Данные ТНПА'!$N$12,
IF(AND(BT82&gt;'Данные ТНПА'!$K$13,BT82&lt;='Данные ТНПА'!$L$13),'Данные ТНПА'!$N$13,
IF(AND(BT82&gt;'Данные ТНПА'!$K$14,BT82&lt;='Данные ТНПА'!$L$14),'Данные ТНПА'!$N$14))))))))</f>
        <v>1.5</v>
      </c>
      <c r="BW82" s="493">
        <f t="shared" si="168"/>
        <v>13.58</v>
      </c>
      <c r="BX82" s="457">
        <f t="shared" si="169"/>
        <v>135</v>
      </c>
      <c r="BY82" s="457">
        <f t="shared" si="170"/>
        <v>0</v>
      </c>
      <c r="BZ82" s="457">
        <f t="shared" si="171"/>
        <v>50.786232855695737</v>
      </c>
      <c r="CA82" s="457" t="e">
        <f t="shared" si="172"/>
        <v>#REF!</v>
      </c>
      <c r="CB82" s="458">
        <f t="shared" si="173"/>
        <v>0</v>
      </c>
      <c r="CC82" s="457">
        <f t="shared" si="174"/>
        <v>0</v>
      </c>
      <c r="CD82" s="457">
        <f t="shared" si="175"/>
        <v>0</v>
      </c>
      <c r="CE82" s="457">
        <f t="shared" si="176"/>
        <v>0</v>
      </c>
      <c r="CF82" s="457">
        <f t="shared" si="177"/>
        <v>0</v>
      </c>
      <c r="CG82" s="458">
        <f t="shared" si="178"/>
        <v>0</v>
      </c>
      <c r="CH82" s="457">
        <f t="shared" si="179"/>
        <v>0</v>
      </c>
      <c r="CI82" s="457">
        <f t="shared" si="180"/>
        <v>0</v>
      </c>
      <c r="CJ82" s="458">
        <f t="shared" si="181"/>
        <v>0</v>
      </c>
      <c r="CK82" s="458">
        <f t="shared" si="182"/>
        <v>82.883759333716512</v>
      </c>
      <c r="CL82" s="457">
        <f t="shared" si="183"/>
        <v>268.66999218941226</v>
      </c>
      <c r="CM82" s="504"/>
      <c r="CN82" s="504"/>
    </row>
    <row r="83" spans="1:92" s="207" customFormat="1" ht="14.25" hidden="1" customHeight="1" x14ac:dyDescent="0.25">
      <c r="A83" s="389" t="str">
        <f>IF(D83="",CONCATENATE("Кабель ",IF(C83="а","А",""),$A$9),CONCATENATE("Кабель ",IF(C83="а","А",""),$A$9," ",D83,"*",F83,IF(G83="ок"," (ож)","")," - ",B83," ",IF(G83="мс"," фас. ",""),$A$2))</f>
        <v>Кабель АВВГ 2*10 - 0,66 ГОСТ 16442-80</v>
      </c>
      <c r="B83" s="511">
        <v>0.66</v>
      </c>
      <c r="C83" s="451" t="s">
        <v>164</v>
      </c>
      <c r="D83" s="412">
        <v>2</v>
      </c>
      <c r="E83" s="413" t="s">
        <v>40</v>
      </c>
      <c r="F83" s="423">
        <v>10</v>
      </c>
      <c r="G83" s="414" t="s">
        <v>154</v>
      </c>
      <c r="H83" s="461">
        <v>1.4</v>
      </c>
      <c r="I83" s="476">
        <v>7</v>
      </c>
      <c r="J83" s="477" t="s">
        <v>40</v>
      </c>
      <c r="K83" s="470">
        <f>ROUNDUP(SQRT(F83/I83/PI()*4*1.07),2)</f>
        <v>1.4</v>
      </c>
      <c r="L83" s="501">
        <v>1.79</v>
      </c>
      <c r="M83" s="475"/>
      <c r="N83" s="475"/>
      <c r="O83" s="475"/>
      <c r="P83" s="475"/>
      <c r="Q83" s="483">
        <f t="shared" ref="Q83:Q125" si="184">0.9*R83-0.1</f>
        <v>0.71000000000000008</v>
      </c>
      <c r="R83" s="484">
        <f>IF(B83=0.66,VLOOKUP(F83,'Данные ТНПА'!$B$8:$C$16,2,0),
IF(B83=1,VLOOKUP(F83,'Данные ТНПА'!$B$17:$C$37,2,0),"ошибка"))</f>
        <v>0.9</v>
      </c>
      <c r="S83" s="485">
        <f t="shared" si="120"/>
        <v>3.21</v>
      </c>
      <c r="T83" s="486"/>
      <c r="U83" s="487"/>
      <c r="V83" s="485">
        <f t="shared" si="121"/>
        <v>3.59</v>
      </c>
      <c r="W83" s="486"/>
      <c r="X83" s="487"/>
      <c r="Y83" s="489">
        <f t="shared" si="122"/>
        <v>0</v>
      </c>
      <c r="Z83" s="491">
        <f t="shared" si="123"/>
        <v>7.18</v>
      </c>
      <c r="AA83" s="237">
        <f t="shared" si="124"/>
        <v>0</v>
      </c>
      <c r="AB83" s="452">
        <f t="shared" ref="AB83:AB125" si="185">IF(Z83="","",Z83)</f>
        <v>7.18</v>
      </c>
      <c r="AC83" s="201">
        <f t="shared" si="126"/>
        <v>0</v>
      </c>
      <c r="AD83" s="203">
        <f t="shared" ref="AD83:AD125" si="186">IF(AC83="","",IF(AC83&gt;0,IF(AND(Z83&gt;=10,Z83&lt;=20),0.035,IF(Z83&gt;20,0.05,"ошибка")),0))</f>
        <v>0</v>
      </c>
      <c r="AE83" s="37" t="str">
        <f t="shared" si="128"/>
        <v/>
      </c>
      <c r="AF83" s="202">
        <f t="shared" ref="AF83:AF125" si="187">IF(AC83="","",IF(AC83&gt;0,IF(AND(Z83&gt;=10,Z83&lt;=20),50,IF(Z83&gt;20,60,"ошибка")),0))</f>
        <v>0</v>
      </c>
      <c r="AG83" s="201">
        <f t="shared" ref="AG83:AG125" si="188">IF(AC83="","",IF(AC83&gt;0,IF(AND(Z83&gt;=10,Z83&lt;=13),40,IF(AND(Z83&gt;=13,Z83&lt;=16),30,IF(Z83&gt;16,25,"ошибка"))),0))</f>
        <v>0</v>
      </c>
      <c r="AH83" s="61">
        <f t="shared" si="131"/>
        <v>7.18</v>
      </c>
      <c r="AI83" s="443">
        <f t="shared" si="115"/>
        <v>0</v>
      </c>
      <c r="AJ83" s="444">
        <f t="shared" ref="AJ83:AJ125" si="189">IF(AI83=0,0,$AJ$9)</f>
        <v>0</v>
      </c>
      <c r="AK83" s="445">
        <f t="shared" ref="AK83:AK125" si="190">IF(AI83="","",IF(AI83=0,0,"×"))</f>
        <v>0</v>
      </c>
      <c r="AL83" s="446">
        <f t="shared" ref="AL83:AL125" si="191">IF(AI83=0,0,$AL$9)</f>
        <v>0</v>
      </c>
      <c r="AM83" s="447">
        <f t="shared" ref="AM83:AM125" si="192">IF(AI83=0,0,
IF(AND(AH83&gt;10,AH83&lt;=13),55,
IF(AND(AH83&gt;13,AH83&lt;=15),45,
IF(AND(AH83&gt;15,AH83&lt;=18),35,
IF(AND(AH83&gt;18,AH83&lt;=20),30,
IF(AH83&gt;20,15,
0))))))</f>
        <v>0</v>
      </c>
      <c r="AN83" s="24">
        <f t="shared" ref="AN83:AN125" si="193">AH83+2*AI83*AJ83*(IF(AM83&lt;25,1,IF(AM83&gt;33,2,1.5)))</f>
        <v>7.18</v>
      </c>
      <c r="AO83" s="443">
        <f t="shared" si="137"/>
        <v>0</v>
      </c>
      <c r="AP83" s="444">
        <f t="shared" ref="AP83:AP125" si="194">IF(OR(AO83=0,AN83&gt;23),0,$AP$9)</f>
        <v>0</v>
      </c>
      <c r="AQ83" s="445">
        <f t="shared" ref="AQ83:AQ125" si="195">IF(OR(AN83&gt;23,AO83=0),0,"×")</f>
        <v>0</v>
      </c>
      <c r="AR83" s="446">
        <f t="shared" ref="AR83:AR125" si="196">IF(OR(AN83&gt;23,AO83=0),0,$AR$9)</f>
        <v>0</v>
      </c>
      <c r="AS83" s="447">
        <f t="shared" ref="AS83:AS125" si="197">IF(AO83=0,0,
IF(AND(AH83&gt;10,AH83&lt;=13),55,
IF(AND(AH83&gt;13,AH83&lt;=15),45,
IF(AND(AH83&gt;15,AH83&lt;=18),35,
IF(AND(AH83&gt;18,AH83&lt;=20),30,
IF(AND(AH83&gt;20,AH83&lt;=23),15,
0))))))</f>
        <v>0</v>
      </c>
      <c r="AT83" s="24">
        <f t="shared" ref="AT83:AT125" si="198">AN83+2*AO83*AP83*(IF(AS83&lt;25,1,IF(AS83&gt;33,2,1.5)))</f>
        <v>7.18</v>
      </c>
      <c r="AU83" s="443">
        <f t="shared" si="143"/>
        <v>0</v>
      </c>
      <c r="AV83" s="444">
        <f t="shared" ref="AV83:AV125" si="199">IF(OR(AU83=0,AN83&lt;=23),0,$AV$9)</f>
        <v>0</v>
      </c>
      <c r="AW83" s="445">
        <f t="shared" ref="AW83:AW125" si="200">IF(OR(AN83&lt;=23,AU83=0),0,"×")</f>
        <v>0</v>
      </c>
      <c r="AX83" s="446">
        <f t="shared" ref="AX83:AX125" si="201">IF(OR(AN83&lt;=23,AU83=0),0,$AX$9)</f>
        <v>0</v>
      </c>
      <c r="AY83" s="447">
        <f t="shared" ref="AY83:AY125" si="202">IF(AU83=0,0,15)</f>
        <v>0</v>
      </c>
      <c r="AZ83" s="24">
        <f t="shared" ref="AZ83:AZ125" si="203">AT83+2*AU83*AV83*(IF(AY83&lt;25,1,IF(AY83&gt;33,2,1.5)))</f>
        <v>7.18</v>
      </c>
      <c r="BA83" s="43">
        <f>IF(BB83=0,0,
IF(D83=1,
(IF(AND(AH83&gt;'Данные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"ошибка_1"))))))),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"ошибка_2"))))))))</f>
        <v>0</v>
      </c>
      <c r="BB83" s="43">
        <f>IF(OR($AI$9=0,AND(D83&gt;1,F83&gt;10)),0,
IF(D83=1,
(IF(AND(AH83&gt;'Данные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"ошибка_1"))))))),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IF(AND(AH83&gt;'Данные ТНПА'!#REF!,AH83&lt;='Данные ТНПА'!#REF!),'Данные ТНПА'!#REF!,
"ошибка_2"))))))))</f>
        <v>0</v>
      </c>
      <c r="BC83" s="43">
        <f t="shared" ref="BC83:BC125" si="204">AZ83+2*BB83</f>
        <v>7.18</v>
      </c>
      <c r="BD83" s="237">
        <f t="shared" ref="BD83:BD125" si="205">IF(BC83="","",
IF(BC83=0,0,$BD$9))</f>
        <v>0</v>
      </c>
      <c r="BE83" s="43">
        <f t="shared" ref="BE83:BE125" si="206">IF(BC83="","",
IF(BC83=0,0,$BE$9))</f>
        <v>0</v>
      </c>
      <c r="BF83" s="201">
        <f t="shared" ref="BF83:BF125" si="207">IF(BC83="","",
IF($BD$9=0,0,
IF(BC83&lt;=13,20,
IF(AND(BC83&gt;13,BC83&lt;=18),30,
IF(AND(BC83&gt;18,BC83&lt;=23),40,
IF(AND(BC83&gt;23,BC83&lt;=30),50,
60))))))</f>
        <v>0</v>
      </c>
      <c r="BG83" s="201">
        <f t="shared" ref="BG83:BG125" si="208">IF(BC83="","",$BG$9)</f>
        <v>0</v>
      </c>
      <c r="BH83" s="61">
        <f t="shared" ref="BH83:BH125" si="209">IF(BC83="","",BC83+2*BD83*BE83*IF(BG83&lt;=25,1,IF(BG83&gt;33,2,1.5)))</f>
        <v>7.18</v>
      </c>
      <c r="BI83" s="237">
        <f t="shared" ref="BI83:BI125" si="210">IF(BC83="","",$BI$9)</f>
        <v>0</v>
      </c>
      <c r="BJ83" s="247">
        <f t="shared" ref="BJ83:BJ125" si="211">IF(BC83="","",$BJ$9)</f>
        <v>0</v>
      </c>
      <c r="BK83" s="431">
        <f t="shared" ref="BK83:BK125" si="212">IF(BJ83="","",IF(BJ83&lt;&gt;0,"×",0))</f>
        <v>0</v>
      </c>
      <c r="BL83" s="250">
        <f t="shared" ref="BL83:BL125" si="213">IF(BK83="","",
IF(BJ83&lt;&gt;0,
IF(AND(BC83&gt;7,BC83&lt;=10),15,
IF(AND(BC83&gt;10,BC83&lt;=13),20,
IF(AND(BC83&gt;13,BC83&lt;=21),30,
IF(AND(BC83&gt;21,BC83&lt;=31),40,
IF(AND(BC83&gt;31,BC83&lt;=70),50,
IF(AND(BC83&gt;70,BC83&lt;=80),60,
"ошибка")))))),0))</f>
        <v>0</v>
      </c>
      <c r="BM83" s="237">
        <f t="shared" ref="BM83:BM125" si="214">IF(BL83="","",$BM$9)</f>
        <v>0</v>
      </c>
      <c r="BN83" s="452">
        <f t="shared" ref="BN83:BN125" si="215">IF(BH83="","",BH83+2*BI83*BJ83)</f>
        <v>7.18</v>
      </c>
      <c r="BO83" s="237">
        <f t="shared" ref="BO83:BO125" si="216">IF(BN83="","",$BO$9)</f>
        <v>0</v>
      </c>
      <c r="BP83" s="432">
        <f t="shared" ref="BP83:BP125" si="217">IF(BO83="","",IF(BO83&gt;0,$BP$9,0))</f>
        <v>0</v>
      </c>
      <c r="BQ83" s="22" t="str">
        <f t="shared" ref="BQ83:BQ125" si="218">IF(BP83="","",IF(BP83&gt;0,"×",""))</f>
        <v/>
      </c>
      <c r="BR83" s="250">
        <f t="shared" ref="BR83:BR125" si="219">IF(BN83="","",IF(BO83=0,0,IF(BN83&lt;=19,30,IF(AND(BN83&gt;19,BN83&lt;=23),40,50))))</f>
        <v>0</v>
      </c>
      <c r="BS83" s="237">
        <f t="shared" ref="BS83:BS125" si="220">IF(BO83="","",IF(BO83=0,0,$BS$9))</f>
        <v>0</v>
      </c>
      <c r="BT83" s="452">
        <f t="shared" ref="BT83:BT125" si="221">IF(BN83="","",BN83+2*BO83*BP83*IF(BS83&lt;=25,1,IF(BS83&gt;33,2,1.5)))</f>
        <v>7.18</v>
      </c>
      <c r="BU83" s="492">
        <f t="shared" ref="BU83:BU125" si="222">0.85*BV83-0.1</f>
        <v>1.1749999999999998</v>
      </c>
      <c r="BV83" s="493">
        <f>IF(BT83="","",
IF(AND(BT83&gt;'Данные ТНПА'!$K$8,BT83&lt;='Данные ТНПА'!$L$8),'Данные ТНПА'!$N$8,
IF(AND(BT83&gt;'Данные ТНПА'!$K$9,BT83&lt;='Данные ТНПА'!$L$9),'Данные ТНПА'!$N$9,
IF(AND(BT83&gt;'Данные ТНПА'!$K$10,BT83&lt;='Данные ТНПА'!$L$10),'Данные ТНПА'!$N$10,
IF(AND(BT83&gt;'Данные ТНПА'!$K$11,BT83&lt;='Данные ТНПА'!$L$11),'Данные ТНПА'!$N$11,
IF(AND(BT83&gt;'Данные ТНПА'!$K$12,BT83&lt;='Данные ТНПА'!$L$12),'Данные ТНПА'!$N$12,
IF(AND(BT83&gt;'Данные ТНПА'!$K$13,BT83&lt;='Данные ТНПА'!$L$13),'Данные ТНПА'!$N$13,
IF(AND(BT83&gt;'Данные ТНПА'!$K$14,BT83&lt;='Данные ТНПА'!$L$14),'Данные ТНПА'!$N$14))))))))</f>
        <v>1.5</v>
      </c>
      <c r="BW83" s="493">
        <f t="shared" ref="BW83:BW125" si="223">BT83+2*BV83</f>
        <v>10.18</v>
      </c>
      <c r="BX83" s="457">
        <f t="shared" si="169"/>
        <v>54.377999999999993</v>
      </c>
      <c r="BY83" s="457">
        <f t="shared" si="170"/>
        <v>0</v>
      </c>
      <c r="BZ83" s="457">
        <f t="shared" si="171"/>
        <v>22.578839263101681</v>
      </c>
      <c r="CA83" s="457" t="e">
        <f t="shared" ref="CA83:CA125" si="224">PI()*POWER(Y83,2)/4*$CA$9</f>
        <v>#REF!</v>
      </c>
      <c r="CB83" s="458">
        <f t="shared" ref="CB83:CB125" si="225">IF(AA83="","",
IF(AA83=2,SQRT((Z83*PI()/50)^2+1)*$CB$9*AA83,0))</f>
        <v>0</v>
      </c>
      <c r="CC83" s="457">
        <f t="shared" ref="CC83:CC125" si="226">PI()*(Z83+AC83*AD83)*AC83*AD83*$CC$9*ROUND(100/(100-AG83),2)</f>
        <v>0</v>
      </c>
      <c r="CD83" s="457">
        <f t="shared" ref="CD83:CD125" si="227">PI()*(AH83+AI83*AJ83)*AI83*AJ83*$CD$9*ROUND(100/(100-AM83),2)</f>
        <v>0</v>
      </c>
      <c r="CE83" s="457">
        <f t="shared" ref="CE83:CE125" si="228">PI()*(AN83+AO83*AP83)*AO83*AP83*$CE$9*ROUND(100/(100-AS83),2)</f>
        <v>0</v>
      </c>
      <c r="CF83" s="457">
        <f t="shared" ref="CF83:CF125" si="229">PI()*(AT83+AU83*AV83)*AU83*AV83*$CF$9*ROUND(100/(100-AY83),2)</f>
        <v>0</v>
      </c>
      <c r="CG83" s="458">
        <f t="shared" si="178"/>
        <v>0</v>
      </c>
      <c r="CH83" s="457">
        <f t="shared" ref="CH83:CH125" si="230">IF(BE83="","",
IF(BD83=0,0,
PI()*(BC83+BD83*BE83)*BD83*BE83*$CH$9*ROUND(100/(100-BG83),2)))</f>
        <v>0</v>
      </c>
      <c r="CI83" s="457">
        <f t="shared" ref="CI83:CI125" si="231">IF(BH83="","",
PI()*(BH83+BI83*BJ83)*BI83*BJ83*$CI$9*ROUND(100/(100+BM83),2))</f>
        <v>0</v>
      </c>
      <c r="CJ83" s="458">
        <f t="shared" ref="CJ83:CJ125" si="232">IF(BO83="","",PI()*(BN83+BO83*BP83)*BO83*BP83*$CJ$9*ROUND(100/(100-BS83),2))</f>
        <v>0</v>
      </c>
      <c r="CK83" s="458">
        <f t="shared" si="182"/>
        <v>59.555548925220137</v>
      </c>
      <c r="CL83" s="457">
        <f t="shared" si="183"/>
        <v>136.51238818832181</v>
      </c>
      <c r="CM83" s="504"/>
      <c r="CN83" s="504"/>
    </row>
    <row r="84" spans="1:92" s="207" customFormat="1" ht="14.25" hidden="1" customHeight="1" x14ac:dyDescent="0.25">
      <c r="A84" s="389" t="str">
        <f>IF(D84="",CONCATENATE("Кабель ",IF(C84="а","А",""),$A$9),CONCATENATE("Кабель ",IF(C84="а","А",""),$A$9," ",D84,"*",F84,IF(G84="ок"," (ож)","")," - ",B84," ",IF(G84="мс"," фас. ",""),$A$2))</f>
        <v>Кабель АВВГ 2*16 - 0,66 ГОСТ 16442-80</v>
      </c>
      <c r="B84" s="450">
        <v>0.66</v>
      </c>
      <c r="C84" s="451" t="s">
        <v>164</v>
      </c>
      <c r="D84" s="412">
        <v>2</v>
      </c>
      <c r="E84" s="413" t="s">
        <v>40</v>
      </c>
      <c r="F84" s="423">
        <v>16</v>
      </c>
      <c r="G84" s="414" t="s">
        <v>154</v>
      </c>
      <c r="H84" s="461">
        <v>1.77</v>
      </c>
      <c r="I84" s="476">
        <v>7</v>
      </c>
      <c r="J84" s="477" t="s">
        <v>40</v>
      </c>
      <c r="K84" s="470">
        <f>ROUNDUP(SQRT(F84/I84/PI()*4*1.07),2)</f>
        <v>1.77</v>
      </c>
      <c r="L84" s="501">
        <v>2.2599999999999998</v>
      </c>
      <c r="M84" s="475"/>
      <c r="N84" s="475"/>
      <c r="O84" s="475"/>
      <c r="P84" s="475"/>
      <c r="Q84" s="483">
        <f t="shared" si="184"/>
        <v>0.71000000000000008</v>
      </c>
      <c r="R84" s="484">
        <f>IF(B84=0.66,VLOOKUP(F84,'Данные ТНПА'!$B$8:$C$16,2,0),
IF(B84=1,VLOOKUP(F84,'Данные ТНПА'!$B$17:$C$37,2,0),"ошибка"))</f>
        <v>0.9</v>
      </c>
      <c r="S84" s="485">
        <f t="shared" si="120"/>
        <v>3.6799999999999997</v>
      </c>
      <c r="T84" s="486"/>
      <c r="U84" s="487"/>
      <c r="V84" s="485">
        <f t="shared" si="121"/>
        <v>4.0599999999999996</v>
      </c>
      <c r="W84" s="486"/>
      <c r="X84" s="487"/>
      <c r="Y84" s="489">
        <f t="shared" si="122"/>
        <v>0</v>
      </c>
      <c r="Z84" s="491">
        <f t="shared" si="123"/>
        <v>8.1199999999999992</v>
      </c>
      <c r="AA84" s="237">
        <f t="shared" si="124"/>
        <v>0</v>
      </c>
      <c r="AB84" s="452">
        <f t="shared" si="185"/>
        <v>8.1199999999999992</v>
      </c>
      <c r="AC84" s="201">
        <f t="shared" si="126"/>
        <v>0</v>
      </c>
      <c r="AD84" s="203">
        <f t="shared" si="186"/>
        <v>0</v>
      </c>
      <c r="AE84" s="37" t="str">
        <f t="shared" si="128"/>
        <v/>
      </c>
      <c r="AF84" s="202">
        <f t="shared" si="187"/>
        <v>0</v>
      </c>
      <c r="AG84" s="201">
        <f t="shared" si="188"/>
        <v>0</v>
      </c>
      <c r="AH84" s="61">
        <f t="shared" si="131"/>
        <v>8.1199999999999992</v>
      </c>
      <c r="AI84" s="443">
        <f t="shared" si="115"/>
        <v>0</v>
      </c>
      <c r="AJ84" s="444">
        <f t="shared" si="189"/>
        <v>0</v>
      </c>
      <c r="AK84" s="445">
        <f t="shared" si="190"/>
        <v>0</v>
      </c>
      <c r="AL84" s="446">
        <f t="shared" si="191"/>
        <v>0</v>
      </c>
      <c r="AM84" s="447">
        <f t="shared" si="192"/>
        <v>0</v>
      </c>
      <c r="AN84" s="24">
        <f t="shared" si="193"/>
        <v>8.1199999999999992</v>
      </c>
      <c r="AO84" s="443">
        <f t="shared" si="137"/>
        <v>0</v>
      </c>
      <c r="AP84" s="444">
        <f t="shared" si="194"/>
        <v>0</v>
      </c>
      <c r="AQ84" s="445">
        <f t="shared" si="195"/>
        <v>0</v>
      </c>
      <c r="AR84" s="446">
        <f t="shared" si="196"/>
        <v>0</v>
      </c>
      <c r="AS84" s="447">
        <f t="shared" si="197"/>
        <v>0</v>
      </c>
      <c r="AT84" s="24">
        <f t="shared" si="198"/>
        <v>8.1199999999999992</v>
      </c>
      <c r="AU84" s="443">
        <f t="shared" si="143"/>
        <v>0</v>
      </c>
      <c r="AV84" s="444">
        <f t="shared" si="199"/>
        <v>0</v>
      </c>
      <c r="AW84" s="445">
        <f t="shared" si="200"/>
        <v>0</v>
      </c>
      <c r="AX84" s="446">
        <f t="shared" si="201"/>
        <v>0</v>
      </c>
      <c r="AY84" s="447">
        <f t="shared" si="202"/>
        <v>0</v>
      </c>
      <c r="AZ84" s="24">
        <f t="shared" si="203"/>
        <v>8.1199999999999992</v>
      </c>
      <c r="BA84" s="43">
        <f>IF(BB84=0,0,
IF(D84=1,
(IF(AND(AH84&gt;'Данные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"ошибка_1"))))))),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"ошибка_2"))))))))</f>
        <v>0</v>
      </c>
      <c r="BB84" s="43">
        <f>IF(OR($AI$9=0,AND(D84&gt;1,F84&gt;10)),0,
IF(D84=1,
(IF(AND(AH84&gt;'Данные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"ошибка_1"))))))),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IF(AND(AH84&gt;'Данные ТНПА'!#REF!,AH84&lt;='Данные ТНПА'!#REF!),'Данные ТНПА'!#REF!,
"ошибка_2"))))))))</f>
        <v>0</v>
      </c>
      <c r="BC84" s="43">
        <f t="shared" si="204"/>
        <v>8.1199999999999992</v>
      </c>
      <c r="BD84" s="237">
        <f t="shared" si="205"/>
        <v>0</v>
      </c>
      <c r="BE84" s="43">
        <f t="shared" si="206"/>
        <v>0</v>
      </c>
      <c r="BF84" s="201">
        <f t="shared" si="207"/>
        <v>0</v>
      </c>
      <c r="BG84" s="201">
        <f t="shared" si="208"/>
        <v>0</v>
      </c>
      <c r="BH84" s="61">
        <f t="shared" si="209"/>
        <v>8.1199999999999992</v>
      </c>
      <c r="BI84" s="237">
        <f t="shared" si="210"/>
        <v>0</v>
      </c>
      <c r="BJ84" s="247">
        <f t="shared" si="211"/>
        <v>0</v>
      </c>
      <c r="BK84" s="431">
        <f t="shared" si="212"/>
        <v>0</v>
      </c>
      <c r="BL84" s="250">
        <f t="shared" si="213"/>
        <v>0</v>
      </c>
      <c r="BM84" s="237">
        <f t="shared" si="214"/>
        <v>0</v>
      </c>
      <c r="BN84" s="452">
        <f t="shared" si="215"/>
        <v>8.1199999999999992</v>
      </c>
      <c r="BO84" s="237">
        <f t="shared" si="216"/>
        <v>0</v>
      </c>
      <c r="BP84" s="432">
        <f t="shared" si="217"/>
        <v>0</v>
      </c>
      <c r="BQ84" s="22" t="str">
        <f t="shared" si="218"/>
        <v/>
      </c>
      <c r="BR84" s="250">
        <f t="shared" si="219"/>
        <v>0</v>
      </c>
      <c r="BS84" s="237">
        <f t="shared" si="220"/>
        <v>0</v>
      </c>
      <c r="BT84" s="452">
        <f t="shared" si="221"/>
        <v>8.1199999999999992</v>
      </c>
      <c r="BU84" s="492">
        <f t="shared" si="222"/>
        <v>1.1749999999999998</v>
      </c>
      <c r="BV84" s="493">
        <f>IF(BT84="","",
IF(AND(BT84&gt;'Данные ТНПА'!$K$8,BT84&lt;='Данные ТНПА'!$L$8),'Данные ТНПА'!$N$8,
IF(AND(BT84&gt;'Данные ТНПА'!$K$9,BT84&lt;='Данные ТНПА'!$L$9),'Данные ТНПА'!$N$9,
IF(AND(BT84&gt;'Данные ТНПА'!$K$10,BT84&lt;='Данные ТНПА'!$L$10),'Данные ТНПА'!$N$10,
IF(AND(BT84&gt;'Данные ТНПА'!$K$11,BT84&lt;='Данные ТНПА'!$L$11),'Данные ТНПА'!$N$11,
IF(AND(BT84&gt;'Данные ТНПА'!$K$12,BT84&lt;='Данные ТНПА'!$L$12),'Данные ТНПА'!$N$12,
IF(AND(BT84&gt;'Данные ТНПА'!$K$13,BT84&lt;='Данные ТНПА'!$L$13),'Данные ТНПА'!$N$13,
IF(AND(BT84&gt;'Данные ТНПА'!$K$14,BT84&lt;='Данные ТНПА'!$L$14),'Данные ТНПА'!$N$14))))))))</f>
        <v>1.5</v>
      </c>
      <c r="BW84" s="493">
        <f t="shared" si="223"/>
        <v>11.12</v>
      </c>
      <c r="BX84" s="457">
        <f t="shared" si="169"/>
        <v>87.004800000000003</v>
      </c>
      <c r="BY84" s="457">
        <f t="shared" si="170"/>
        <v>0</v>
      </c>
      <c r="BZ84" s="457">
        <f t="shared" si="171"/>
        <v>26.523840918736539</v>
      </c>
      <c r="CA84" s="457" t="e">
        <f t="shared" si="224"/>
        <v>#REF!</v>
      </c>
      <c r="CB84" s="458">
        <f t="shared" si="225"/>
        <v>0</v>
      </c>
      <c r="CC84" s="457">
        <f t="shared" si="226"/>
        <v>0</v>
      </c>
      <c r="CD84" s="457">
        <f t="shared" si="227"/>
        <v>0</v>
      </c>
      <c r="CE84" s="457">
        <f t="shared" si="228"/>
        <v>0</v>
      </c>
      <c r="CF84" s="457">
        <f t="shared" si="229"/>
        <v>0</v>
      </c>
      <c r="CG84" s="458">
        <f t="shared" si="178"/>
        <v>0</v>
      </c>
      <c r="CH84" s="457">
        <f t="shared" si="230"/>
        <v>0</v>
      </c>
      <c r="CI84" s="457">
        <f t="shared" si="231"/>
        <v>0</v>
      </c>
      <c r="CJ84" s="458">
        <f t="shared" si="232"/>
        <v>0</v>
      </c>
      <c r="CK84" s="458">
        <f t="shared" si="182"/>
        <v>66.00511297933383</v>
      </c>
      <c r="CL84" s="457">
        <f t="shared" si="183"/>
        <v>179.53375389807036</v>
      </c>
      <c r="CM84" s="504"/>
      <c r="CN84" s="504"/>
    </row>
    <row r="85" spans="1:92" s="207" customFormat="1" ht="14.25" hidden="1" customHeight="1" x14ac:dyDescent="0.25">
      <c r="A85" s="389" t="str">
        <f>IF(D85="",CONCATENATE("Кабель ",IF(C85="а","А",""),$A$9),CONCATENATE("Кабель ",IF(C85="а","А",""),$A$9," ",D85,"*",F85,IF(G85="ок"," (ож)","")," - ",B85," ",IF(G85="мс"," фас. ",""),$A$2))</f>
        <v>Кабель АВВГ 2*25 - 0,66 ГОСТ 16442-80</v>
      </c>
      <c r="B85" s="450">
        <v>0.66</v>
      </c>
      <c r="C85" s="451" t="s">
        <v>164</v>
      </c>
      <c r="D85" s="412">
        <v>2</v>
      </c>
      <c r="E85" s="413" t="s">
        <v>40</v>
      </c>
      <c r="F85" s="423">
        <v>25</v>
      </c>
      <c r="G85" s="414" t="s">
        <v>154</v>
      </c>
      <c r="H85" s="461">
        <v>1.34</v>
      </c>
      <c r="I85" s="476">
        <v>19</v>
      </c>
      <c r="J85" s="477" t="s">
        <v>40</v>
      </c>
      <c r="K85" s="470">
        <f>ROUNDUP(SQRT(F85/I85/PI()*4*1.07),2)</f>
        <v>1.34</v>
      </c>
      <c r="L85" s="501">
        <v>2.7699999999999996</v>
      </c>
      <c r="M85" s="475"/>
      <c r="N85" s="475"/>
      <c r="O85" s="475"/>
      <c r="P85" s="475"/>
      <c r="Q85" s="483">
        <f t="shared" si="184"/>
        <v>0.89000000000000012</v>
      </c>
      <c r="R85" s="484">
        <f>IF(B85=0.66,VLOOKUP(F85,'Данные ТНПА'!$B$8:$C$16,2,0),
IF(B85=1,VLOOKUP(F85,'Данные ТНПА'!$B$17:$C$37,2,0),"ошибка"))</f>
        <v>1.1000000000000001</v>
      </c>
      <c r="S85" s="485">
        <f t="shared" si="120"/>
        <v>4.55</v>
      </c>
      <c r="T85" s="486"/>
      <c r="U85" s="487"/>
      <c r="V85" s="485">
        <f t="shared" si="121"/>
        <v>4.97</v>
      </c>
      <c r="W85" s="486"/>
      <c r="X85" s="487"/>
      <c r="Y85" s="489">
        <f t="shared" si="122"/>
        <v>0</v>
      </c>
      <c r="Z85" s="491">
        <f t="shared" si="123"/>
        <v>9.94</v>
      </c>
      <c r="AA85" s="237">
        <f t="shared" si="124"/>
        <v>0</v>
      </c>
      <c r="AB85" s="452">
        <f t="shared" si="185"/>
        <v>9.94</v>
      </c>
      <c r="AC85" s="201">
        <f t="shared" si="126"/>
        <v>0</v>
      </c>
      <c r="AD85" s="203">
        <f t="shared" si="186"/>
        <v>0</v>
      </c>
      <c r="AE85" s="37" t="str">
        <f t="shared" si="128"/>
        <v/>
      </c>
      <c r="AF85" s="202">
        <f t="shared" si="187"/>
        <v>0</v>
      </c>
      <c r="AG85" s="201">
        <f t="shared" si="188"/>
        <v>0</v>
      </c>
      <c r="AH85" s="61">
        <f t="shared" si="131"/>
        <v>9.94</v>
      </c>
      <c r="AI85" s="443">
        <f t="shared" si="115"/>
        <v>0</v>
      </c>
      <c r="AJ85" s="444">
        <f t="shared" si="189"/>
        <v>0</v>
      </c>
      <c r="AK85" s="445">
        <f t="shared" si="190"/>
        <v>0</v>
      </c>
      <c r="AL85" s="446">
        <f t="shared" si="191"/>
        <v>0</v>
      </c>
      <c r="AM85" s="447">
        <f t="shared" si="192"/>
        <v>0</v>
      </c>
      <c r="AN85" s="24">
        <f t="shared" si="193"/>
        <v>9.94</v>
      </c>
      <c r="AO85" s="443">
        <f t="shared" si="137"/>
        <v>0</v>
      </c>
      <c r="AP85" s="444">
        <f t="shared" si="194"/>
        <v>0</v>
      </c>
      <c r="AQ85" s="445">
        <f t="shared" si="195"/>
        <v>0</v>
      </c>
      <c r="AR85" s="446">
        <f t="shared" si="196"/>
        <v>0</v>
      </c>
      <c r="AS85" s="447">
        <f t="shared" si="197"/>
        <v>0</v>
      </c>
      <c r="AT85" s="24">
        <f t="shared" si="198"/>
        <v>9.94</v>
      </c>
      <c r="AU85" s="443">
        <f t="shared" si="143"/>
        <v>0</v>
      </c>
      <c r="AV85" s="444">
        <f t="shared" si="199"/>
        <v>0</v>
      </c>
      <c r="AW85" s="445">
        <f t="shared" si="200"/>
        <v>0</v>
      </c>
      <c r="AX85" s="446">
        <f t="shared" si="201"/>
        <v>0</v>
      </c>
      <c r="AY85" s="447">
        <f t="shared" si="202"/>
        <v>0</v>
      </c>
      <c r="AZ85" s="24">
        <f t="shared" si="203"/>
        <v>9.94</v>
      </c>
      <c r="BA85" s="43">
        <f>IF(BB85=0,0,
IF(D85=1,
(IF(AND(AH85&gt;'Данные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"ошибка_1"))))))),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"ошибка_2"))))))))</f>
        <v>0</v>
      </c>
      <c r="BB85" s="43">
        <f>IF(OR($AI$9=0,AND(D85&gt;1,F85&gt;10)),0,
IF(D85=1,
(IF(AND(AH85&gt;'Данные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"ошибка_1"))))))),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IF(AND(AH85&gt;'Данные ТНПА'!#REF!,AH85&lt;='Данные ТНПА'!#REF!),'Данные ТНПА'!#REF!,
"ошибка_2"))))))))</f>
        <v>0</v>
      </c>
      <c r="BC85" s="43">
        <f t="shared" si="204"/>
        <v>9.94</v>
      </c>
      <c r="BD85" s="237">
        <f t="shared" si="205"/>
        <v>0</v>
      </c>
      <c r="BE85" s="43">
        <f t="shared" si="206"/>
        <v>0</v>
      </c>
      <c r="BF85" s="201">
        <f t="shared" si="207"/>
        <v>0</v>
      </c>
      <c r="BG85" s="201">
        <f t="shared" si="208"/>
        <v>0</v>
      </c>
      <c r="BH85" s="61">
        <f t="shared" si="209"/>
        <v>9.94</v>
      </c>
      <c r="BI85" s="237">
        <f t="shared" si="210"/>
        <v>0</v>
      </c>
      <c r="BJ85" s="247">
        <f t="shared" si="211"/>
        <v>0</v>
      </c>
      <c r="BK85" s="431">
        <f t="shared" si="212"/>
        <v>0</v>
      </c>
      <c r="BL85" s="250">
        <f t="shared" si="213"/>
        <v>0</v>
      </c>
      <c r="BM85" s="237">
        <f t="shared" si="214"/>
        <v>0</v>
      </c>
      <c r="BN85" s="452">
        <f t="shared" si="215"/>
        <v>9.94</v>
      </c>
      <c r="BO85" s="237">
        <f t="shared" si="216"/>
        <v>0</v>
      </c>
      <c r="BP85" s="432">
        <f t="shared" si="217"/>
        <v>0</v>
      </c>
      <c r="BQ85" s="22" t="str">
        <f t="shared" si="218"/>
        <v/>
      </c>
      <c r="BR85" s="250">
        <f t="shared" si="219"/>
        <v>0</v>
      </c>
      <c r="BS85" s="237">
        <f t="shared" si="220"/>
        <v>0</v>
      </c>
      <c r="BT85" s="452">
        <f t="shared" si="221"/>
        <v>9.94</v>
      </c>
      <c r="BU85" s="492">
        <f t="shared" si="222"/>
        <v>1.1749999999999998</v>
      </c>
      <c r="BV85" s="493">
        <f>IF(BT85="","",
IF(AND(BT85&gt;'Данные ТНПА'!$K$8,BT85&lt;='Данные ТНПА'!$L$8),'Данные ТНПА'!$N$8,
IF(AND(BT85&gt;'Данные ТНПА'!$K$9,BT85&lt;='Данные ТНПА'!$L$9),'Данные ТНПА'!$N$9,
IF(AND(BT85&gt;'Данные ТНПА'!$K$10,BT85&lt;='Данные ТНПА'!$L$10),'Данные ТНПА'!$N$10,
IF(AND(BT85&gt;'Данные ТНПА'!$K$11,BT85&lt;='Данные ТНПА'!$L$11),'Данные ТНПА'!$N$11,
IF(AND(BT85&gt;'Данные ТНПА'!$K$12,BT85&lt;='Данные ТНПА'!$L$12),'Данные ТНПА'!$N$12,
IF(AND(BT85&gt;'Данные ТНПА'!$K$13,BT85&lt;='Данные ТНПА'!$L$13),'Данные ТНПА'!$N$13,
IF(AND(BT85&gt;'Данные ТНПА'!$K$14,BT85&lt;='Данные ТНПА'!$L$14),'Данные ТНПА'!$N$14))))))))</f>
        <v>1.5</v>
      </c>
      <c r="BW85" s="493">
        <f t="shared" si="223"/>
        <v>12.94</v>
      </c>
      <c r="BX85" s="457">
        <f t="shared" si="169"/>
        <v>135.94499999999999</v>
      </c>
      <c r="BY85" s="457">
        <f t="shared" si="170"/>
        <v>0</v>
      </c>
      <c r="BZ85" s="457">
        <f t="shared" si="171"/>
        <v>39.701825172665778</v>
      </c>
      <c r="CA85" s="457" t="e">
        <f t="shared" si="224"/>
        <v>#REF!</v>
      </c>
      <c r="CB85" s="458">
        <f t="shared" si="225"/>
        <v>0</v>
      </c>
      <c r="CC85" s="457">
        <f t="shared" si="226"/>
        <v>0</v>
      </c>
      <c r="CD85" s="457">
        <f t="shared" si="227"/>
        <v>0</v>
      </c>
      <c r="CE85" s="457">
        <f t="shared" si="228"/>
        <v>0</v>
      </c>
      <c r="CF85" s="457">
        <f t="shared" si="229"/>
        <v>0</v>
      </c>
      <c r="CG85" s="458">
        <f t="shared" si="178"/>
        <v>0</v>
      </c>
      <c r="CH85" s="457">
        <f t="shared" si="230"/>
        <v>0</v>
      </c>
      <c r="CI85" s="457">
        <f t="shared" si="231"/>
        <v>0</v>
      </c>
      <c r="CJ85" s="458">
        <f t="shared" si="232"/>
        <v>0</v>
      </c>
      <c r="CK85" s="458">
        <f t="shared" si="182"/>
        <v>78.492566786234818</v>
      </c>
      <c r="CL85" s="457">
        <f t="shared" si="183"/>
        <v>254.1393919589006</v>
      </c>
      <c r="CM85" s="504"/>
      <c r="CN85" s="504"/>
    </row>
    <row r="86" spans="1:92" s="207" customFormat="1" ht="14.25" hidden="1" customHeight="1" x14ac:dyDescent="0.25">
      <c r="A86" s="389" t="str">
        <f>IF(D86="",CONCATENATE("Кабель ",IF(C86="а","А",""),$A$9),CONCATENATE("Кабель ",IF(C86="а","А",""),$A$9," ",D86,"*",F86,IF(G86="ок"," (ож)","")," - ",B86," ",IF(G86="мс"," фас. ",""),$A$2))</f>
        <v>Кабель АВВГ 2*35 - 0,66 ГОСТ 16442-80</v>
      </c>
      <c r="B86" s="450">
        <v>0.66</v>
      </c>
      <c r="C86" s="451" t="s">
        <v>164</v>
      </c>
      <c r="D86" s="412">
        <v>2</v>
      </c>
      <c r="E86" s="413" t="s">
        <v>40</v>
      </c>
      <c r="F86" s="423">
        <v>35</v>
      </c>
      <c r="G86" s="414" t="s">
        <v>154</v>
      </c>
      <c r="H86" s="461">
        <v>2.61</v>
      </c>
      <c r="I86" s="476">
        <v>7</v>
      </c>
      <c r="J86" s="477" t="s">
        <v>40</v>
      </c>
      <c r="K86" s="470">
        <f>ROUNDUP(SQRT(F86/I86/PI()*4*1.07),2)</f>
        <v>2.61</v>
      </c>
      <c r="L86" s="501">
        <v>3.57</v>
      </c>
      <c r="M86" s="475"/>
      <c r="N86" s="475"/>
      <c r="O86" s="475"/>
      <c r="P86" s="475"/>
      <c r="Q86" s="483">
        <f t="shared" si="184"/>
        <v>0.89000000000000012</v>
      </c>
      <c r="R86" s="484">
        <f>IF(B86=0.66,VLOOKUP(F86,'Данные ТНПА'!$B$8:$C$16,2,0),
IF(B86=1,VLOOKUP(F86,'Данные ТНПА'!$B$17:$C$37,2,0),"ошибка"))</f>
        <v>1.1000000000000001</v>
      </c>
      <c r="S86" s="485">
        <f t="shared" si="120"/>
        <v>5.35</v>
      </c>
      <c r="T86" s="486"/>
      <c r="U86" s="487"/>
      <c r="V86" s="485">
        <f t="shared" si="121"/>
        <v>5.77</v>
      </c>
      <c r="W86" s="486"/>
      <c r="X86" s="487"/>
      <c r="Y86" s="489">
        <f t="shared" si="122"/>
        <v>0</v>
      </c>
      <c r="Z86" s="491">
        <f t="shared" si="123"/>
        <v>11.54</v>
      </c>
      <c r="AA86" s="237">
        <f t="shared" si="124"/>
        <v>0</v>
      </c>
      <c r="AB86" s="452">
        <f t="shared" si="185"/>
        <v>11.54</v>
      </c>
      <c r="AC86" s="201">
        <f t="shared" si="126"/>
        <v>0</v>
      </c>
      <c r="AD86" s="203">
        <f t="shared" si="186"/>
        <v>0</v>
      </c>
      <c r="AE86" s="37" t="str">
        <f t="shared" si="128"/>
        <v/>
      </c>
      <c r="AF86" s="202">
        <f t="shared" si="187"/>
        <v>0</v>
      </c>
      <c r="AG86" s="201">
        <f t="shared" si="188"/>
        <v>0</v>
      </c>
      <c r="AH86" s="61">
        <f t="shared" si="131"/>
        <v>11.54</v>
      </c>
      <c r="AI86" s="443">
        <f t="shared" si="115"/>
        <v>0</v>
      </c>
      <c r="AJ86" s="444">
        <f t="shared" si="189"/>
        <v>0</v>
      </c>
      <c r="AK86" s="445">
        <f t="shared" si="190"/>
        <v>0</v>
      </c>
      <c r="AL86" s="446">
        <f t="shared" si="191"/>
        <v>0</v>
      </c>
      <c r="AM86" s="447">
        <f t="shared" si="192"/>
        <v>0</v>
      </c>
      <c r="AN86" s="24">
        <f t="shared" si="193"/>
        <v>11.54</v>
      </c>
      <c r="AO86" s="443">
        <f t="shared" si="137"/>
        <v>0</v>
      </c>
      <c r="AP86" s="444">
        <f t="shared" si="194"/>
        <v>0</v>
      </c>
      <c r="AQ86" s="445">
        <f t="shared" si="195"/>
        <v>0</v>
      </c>
      <c r="AR86" s="446">
        <f t="shared" si="196"/>
        <v>0</v>
      </c>
      <c r="AS86" s="447">
        <f t="shared" si="197"/>
        <v>0</v>
      </c>
      <c r="AT86" s="24">
        <f t="shared" si="198"/>
        <v>11.54</v>
      </c>
      <c r="AU86" s="443">
        <f t="shared" si="143"/>
        <v>0</v>
      </c>
      <c r="AV86" s="444">
        <f t="shared" si="199"/>
        <v>0</v>
      </c>
      <c r="AW86" s="445">
        <f t="shared" si="200"/>
        <v>0</v>
      </c>
      <c r="AX86" s="446">
        <f t="shared" si="201"/>
        <v>0</v>
      </c>
      <c r="AY86" s="447">
        <f t="shared" si="202"/>
        <v>0</v>
      </c>
      <c r="AZ86" s="24">
        <f t="shared" si="203"/>
        <v>11.54</v>
      </c>
      <c r="BA86" s="43">
        <f>IF(BB86=0,0,
IF(D86=1,
(IF(AND(AH86&gt;'Данные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"ошибка_1"))))))),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"ошибка_2"))))))))</f>
        <v>0</v>
      </c>
      <c r="BB86" s="43">
        <f>IF(OR($AI$9=0,AND(D86&gt;1,F86&gt;10)),0,
IF(D86=1,
(IF(AND(AH86&gt;'Данные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"ошибка_1"))))))),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IF(AND(AH86&gt;'Данные ТНПА'!#REF!,AH86&lt;='Данные ТНПА'!#REF!),'Данные ТНПА'!#REF!,
"ошибка_2"))))))))</f>
        <v>0</v>
      </c>
      <c r="BC86" s="43">
        <f t="shared" si="204"/>
        <v>11.54</v>
      </c>
      <c r="BD86" s="237">
        <f t="shared" si="205"/>
        <v>0</v>
      </c>
      <c r="BE86" s="43">
        <f t="shared" si="206"/>
        <v>0</v>
      </c>
      <c r="BF86" s="201">
        <f t="shared" si="207"/>
        <v>0</v>
      </c>
      <c r="BG86" s="201">
        <f t="shared" si="208"/>
        <v>0</v>
      </c>
      <c r="BH86" s="61">
        <f t="shared" si="209"/>
        <v>11.54</v>
      </c>
      <c r="BI86" s="237">
        <f t="shared" si="210"/>
        <v>0</v>
      </c>
      <c r="BJ86" s="247">
        <f t="shared" si="211"/>
        <v>0</v>
      </c>
      <c r="BK86" s="431">
        <f t="shared" si="212"/>
        <v>0</v>
      </c>
      <c r="BL86" s="250">
        <f t="shared" si="213"/>
        <v>0</v>
      </c>
      <c r="BM86" s="237">
        <f t="shared" si="214"/>
        <v>0</v>
      </c>
      <c r="BN86" s="452">
        <f t="shared" si="215"/>
        <v>11.54</v>
      </c>
      <c r="BO86" s="237">
        <f t="shared" si="216"/>
        <v>0</v>
      </c>
      <c r="BP86" s="432">
        <f t="shared" si="217"/>
        <v>0</v>
      </c>
      <c r="BQ86" s="22" t="str">
        <f t="shared" si="218"/>
        <v/>
      </c>
      <c r="BR86" s="250">
        <f t="shared" si="219"/>
        <v>0</v>
      </c>
      <c r="BS86" s="237">
        <f t="shared" si="220"/>
        <v>0</v>
      </c>
      <c r="BT86" s="452">
        <f t="shared" si="221"/>
        <v>11.54</v>
      </c>
      <c r="BU86" s="492">
        <f t="shared" si="222"/>
        <v>1.1749999999999998</v>
      </c>
      <c r="BV86" s="493">
        <f>IF(BT86="","",
IF(AND(BT86&gt;'Данные ТНПА'!$K$8,BT86&lt;='Данные ТНПА'!$L$8),'Данные ТНПА'!$N$8,
IF(AND(BT86&gt;'Данные ТНПА'!$K$9,BT86&lt;='Данные ТНПА'!$L$9),'Данные ТНПА'!$N$9,
IF(AND(BT86&gt;'Данные ТНПА'!$K$10,BT86&lt;='Данные ТНПА'!$L$10),'Данные ТНПА'!$N$10,
IF(AND(BT86&gt;'Данные ТНПА'!$K$11,BT86&lt;='Данные ТНПА'!$L$11),'Данные ТНПА'!$N$11,
IF(AND(BT86&gt;'Данные ТНПА'!$K$12,BT86&lt;='Данные ТНПА'!$L$12),'Данные ТНПА'!$N$12,
IF(AND(BT86&gt;'Данные ТНПА'!$K$13,BT86&lt;='Данные ТНПА'!$L$13),'Данные ТНПА'!$N$13,
IF(AND(BT86&gt;'Данные ТНПА'!$K$14,BT86&lt;='Данные ТНПА'!$L$14),'Данные ТНПА'!$N$14))))))))</f>
        <v>1.5</v>
      </c>
      <c r="BW86" s="493">
        <f t="shared" si="223"/>
        <v>14.54</v>
      </c>
      <c r="BX86" s="457">
        <f t="shared" si="169"/>
        <v>190.32299999999998</v>
      </c>
      <c r="BY86" s="457">
        <f t="shared" si="170"/>
        <v>0</v>
      </c>
      <c r="BZ86" s="457">
        <f t="shared" si="171"/>
        <v>47.908920815594122</v>
      </c>
      <c r="CA86" s="457" t="e">
        <f t="shared" si="224"/>
        <v>#REF!</v>
      </c>
      <c r="CB86" s="458">
        <f t="shared" si="225"/>
        <v>0</v>
      </c>
      <c r="CC86" s="457">
        <f t="shared" si="226"/>
        <v>0</v>
      </c>
      <c r="CD86" s="457">
        <f t="shared" si="227"/>
        <v>0</v>
      </c>
      <c r="CE86" s="457">
        <f t="shared" si="228"/>
        <v>0</v>
      </c>
      <c r="CF86" s="457">
        <f t="shared" si="229"/>
        <v>0</v>
      </c>
      <c r="CG86" s="458">
        <f t="shared" si="178"/>
        <v>0</v>
      </c>
      <c r="CH86" s="457">
        <f t="shared" si="230"/>
        <v>0</v>
      </c>
      <c r="CI86" s="457">
        <f t="shared" si="231"/>
        <v>0</v>
      </c>
      <c r="CJ86" s="458">
        <f t="shared" si="232"/>
        <v>0</v>
      </c>
      <c r="CK86" s="458">
        <f t="shared" si="182"/>
        <v>89.470548154938996</v>
      </c>
      <c r="CL86" s="457">
        <f t="shared" si="183"/>
        <v>327.70246897053312</v>
      </c>
      <c r="CM86" s="504"/>
      <c r="CN86" s="504"/>
    </row>
    <row r="87" spans="1:92" s="207" customFormat="1" ht="14.25" hidden="1" customHeight="1" x14ac:dyDescent="0.25">
      <c r="A87" s="389" t="str">
        <f>IF(D87="",CONCATENATE("Кабель ",IF(C87="а","А",""),$A$9),CONCATENATE("Кабель ",IF(C87="а","А",""),$A$9," ",D87,"*",F87,IF(G87="ок"," (ож)","")," - ",B87," ",IF(G87="мс"," фас. ",""),$A$2))</f>
        <v>Кабель АВВГ 2*50 - 0,66 ГОСТ 16442-80</v>
      </c>
      <c r="B87" s="450">
        <v>0.66</v>
      </c>
      <c r="C87" s="451" t="s">
        <v>164</v>
      </c>
      <c r="D87" s="412">
        <v>2</v>
      </c>
      <c r="E87" s="413" t="s">
        <v>40</v>
      </c>
      <c r="F87" s="423">
        <v>50</v>
      </c>
      <c r="G87" s="414" t="s">
        <v>154</v>
      </c>
      <c r="H87" s="461">
        <v>3.1199999999999997</v>
      </c>
      <c r="I87" s="476">
        <v>7</v>
      </c>
      <c r="J87" s="477" t="s">
        <v>40</v>
      </c>
      <c r="K87" s="470">
        <f>ROUNDUP(SQRT(F87/I87/PI()*4*1.07),2)</f>
        <v>3.1199999999999997</v>
      </c>
      <c r="L87" s="501">
        <v>4.1100000000000003</v>
      </c>
      <c r="M87" s="475"/>
      <c r="N87" s="475"/>
      <c r="O87" s="475"/>
      <c r="P87" s="475"/>
      <c r="Q87" s="483">
        <f t="shared" si="184"/>
        <v>1.07</v>
      </c>
      <c r="R87" s="484">
        <f>IF(B87=0.66,VLOOKUP(F87,'Данные ТНПА'!$B$8:$C$16,2,0),
IF(B87=1,VLOOKUP(F87,'Данные ТНПА'!$B$17:$C$37,2,0),"ошибка"))</f>
        <v>1.3</v>
      </c>
      <c r="S87" s="485">
        <f t="shared" si="120"/>
        <v>6.25</v>
      </c>
      <c r="T87" s="486"/>
      <c r="U87" s="487"/>
      <c r="V87" s="485">
        <f t="shared" si="121"/>
        <v>6.7100000000000009</v>
      </c>
      <c r="W87" s="486"/>
      <c r="X87" s="487"/>
      <c r="Y87" s="489">
        <f t="shared" si="122"/>
        <v>0</v>
      </c>
      <c r="Z87" s="491">
        <f t="shared" si="123"/>
        <v>13.420000000000002</v>
      </c>
      <c r="AA87" s="237">
        <f t="shared" si="124"/>
        <v>0</v>
      </c>
      <c r="AB87" s="452">
        <f t="shared" si="185"/>
        <v>13.420000000000002</v>
      </c>
      <c r="AC87" s="201">
        <f t="shared" si="126"/>
        <v>0</v>
      </c>
      <c r="AD87" s="203">
        <f t="shared" si="186"/>
        <v>0</v>
      </c>
      <c r="AE87" s="37" t="str">
        <f t="shared" si="128"/>
        <v/>
      </c>
      <c r="AF87" s="202">
        <f t="shared" si="187"/>
        <v>0</v>
      </c>
      <c r="AG87" s="201">
        <f t="shared" si="188"/>
        <v>0</v>
      </c>
      <c r="AH87" s="61">
        <f t="shared" si="131"/>
        <v>13.420000000000002</v>
      </c>
      <c r="AI87" s="443">
        <f t="shared" si="115"/>
        <v>0</v>
      </c>
      <c r="AJ87" s="444">
        <f t="shared" si="189"/>
        <v>0</v>
      </c>
      <c r="AK87" s="445">
        <f t="shared" si="190"/>
        <v>0</v>
      </c>
      <c r="AL87" s="446">
        <f t="shared" si="191"/>
        <v>0</v>
      </c>
      <c r="AM87" s="447">
        <f t="shared" si="192"/>
        <v>0</v>
      </c>
      <c r="AN87" s="24">
        <f t="shared" si="193"/>
        <v>13.420000000000002</v>
      </c>
      <c r="AO87" s="443">
        <f t="shared" si="137"/>
        <v>0</v>
      </c>
      <c r="AP87" s="444">
        <f t="shared" si="194"/>
        <v>0</v>
      </c>
      <c r="AQ87" s="445">
        <f t="shared" si="195"/>
        <v>0</v>
      </c>
      <c r="AR87" s="446">
        <f t="shared" si="196"/>
        <v>0</v>
      </c>
      <c r="AS87" s="447">
        <f t="shared" si="197"/>
        <v>0</v>
      </c>
      <c r="AT87" s="24">
        <f t="shared" si="198"/>
        <v>13.420000000000002</v>
      </c>
      <c r="AU87" s="443">
        <f t="shared" si="143"/>
        <v>0</v>
      </c>
      <c r="AV87" s="444">
        <f t="shared" si="199"/>
        <v>0</v>
      </c>
      <c r="AW87" s="445">
        <f t="shared" si="200"/>
        <v>0</v>
      </c>
      <c r="AX87" s="446">
        <f t="shared" si="201"/>
        <v>0</v>
      </c>
      <c r="AY87" s="447">
        <f t="shared" si="202"/>
        <v>0</v>
      </c>
      <c r="AZ87" s="24">
        <f t="shared" si="203"/>
        <v>13.420000000000002</v>
      </c>
      <c r="BA87" s="43">
        <f>IF(BB87=0,0,
IF(D87=1,
(IF(AND(AH87&gt;'Данные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"ошибка_1"))))))),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"ошибка_2"))))))))</f>
        <v>0</v>
      </c>
      <c r="BB87" s="43">
        <f>IF(OR($AI$9=0,AND(D87&gt;1,F87&gt;10)),0,
IF(D87=1,
(IF(AND(AH87&gt;'Данные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"ошибка_1"))))))),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IF(AND(AH87&gt;'Данные ТНПА'!#REF!,AH87&lt;='Данные ТНПА'!#REF!),'Данные ТНПА'!#REF!,
"ошибка_2"))))))))</f>
        <v>0</v>
      </c>
      <c r="BC87" s="43">
        <f t="shared" si="204"/>
        <v>13.420000000000002</v>
      </c>
      <c r="BD87" s="237">
        <f t="shared" si="205"/>
        <v>0</v>
      </c>
      <c r="BE87" s="43">
        <f t="shared" si="206"/>
        <v>0</v>
      </c>
      <c r="BF87" s="201">
        <f t="shared" si="207"/>
        <v>0</v>
      </c>
      <c r="BG87" s="201">
        <f t="shared" si="208"/>
        <v>0</v>
      </c>
      <c r="BH87" s="61">
        <f t="shared" si="209"/>
        <v>13.420000000000002</v>
      </c>
      <c r="BI87" s="237">
        <f t="shared" si="210"/>
        <v>0</v>
      </c>
      <c r="BJ87" s="247">
        <f t="shared" si="211"/>
        <v>0</v>
      </c>
      <c r="BK87" s="431">
        <f t="shared" si="212"/>
        <v>0</v>
      </c>
      <c r="BL87" s="250">
        <f t="shared" si="213"/>
        <v>0</v>
      </c>
      <c r="BM87" s="237">
        <f t="shared" si="214"/>
        <v>0</v>
      </c>
      <c r="BN87" s="452">
        <f t="shared" si="215"/>
        <v>13.420000000000002</v>
      </c>
      <c r="BO87" s="237">
        <f t="shared" si="216"/>
        <v>0</v>
      </c>
      <c r="BP87" s="432">
        <f t="shared" si="217"/>
        <v>0</v>
      </c>
      <c r="BQ87" s="22" t="str">
        <f t="shared" si="218"/>
        <v/>
      </c>
      <c r="BR87" s="250">
        <f t="shared" si="219"/>
        <v>0</v>
      </c>
      <c r="BS87" s="237">
        <f t="shared" si="220"/>
        <v>0</v>
      </c>
      <c r="BT87" s="452">
        <f t="shared" si="221"/>
        <v>13.420000000000002</v>
      </c>
      <c r="BU87" s="492">
        <f t="shared" si="222"/>
        <v>1.1749999999999998</v>
      </c>
      <c r="BV87" s="493">
        <f>IF(BT87="","",
IF(AND(BT87&gt;'Данные ТНПА'!$K$8,BT87&lt;='Данные ТНПА'!$L$8),'Данные ТНПА'!$N$8,
IF(AND(BT87&gt;'Данные ТНПА'!$K$9,BT87&lt;='Данные ТНПА'!$L$9),'Данные ТНПА'!$N$9,
IF(AND(BT87&gt;'Данные ТНПА'!$K$10,BT87&lt;='Данные ТНПА'!$L$10),'Данные ТНПА'!$N$10,
IF(AND(BT87&gt;'Данные ТНПА'!$K$11,BT87&lt;='Данные ТНПА'!$L$11),'Данные ТНПА'!$N$11,
IF(AND(BT87&gt;'Данные ТНПА'!$K$12,BT87&lt;='Данные ТНПА'!$L$12),'Данные ТНПА'!$N$12,
IF(AND(BT87&gt;'Данные ТНПА'!$K$13,BT87&lt;='Данные ТНПА'!$L$13),'Данные ТНПА'!$N$13,
IF(AND(BT87&gt;'Данные ТНПА'!$K$14,BT87&lt;='Данные ТНПА'!$L$14),'Данные ТНПА'!$N$14))))))))</f>
        <v>1.5</v>
      </c>
      <c r="BW87" s="493">
        <f t="shared" si="223"/>
        <v>16.420000000000002</v>
      </c>
      <c r="BX87" s="457">
        <f t="shared" si="169"/>
        <v>271.89</v>
      </c>
      <c r="BY87" s="457">
        <f t="shared" si="170"/>
        <v>0</v>
      </c>
      <c r="BZ87" s="457">
        <f t="shared" si="171"/>
        <v>65.591481428085146</v>
      </c>
      <c r="CA87" s="457" t="e">
        <f t="shared" si="224"/>
        <v>#REF!</v>
      </c>
      <c r="CB87" s="458">
        <f t="shared" si="225"/>
        <v>0</v>
      </c>
      <c r="CC87" s="457">
        <f t="shared" si="226"/>
        <v>0</v>
      </c>
      <c r="CD87" s="457">
        <f t="shared" si="227"/>
        <v>0</v>
      </c>
      <c r="CE87" s="457">
        <f t="shared" si="228"/>
        <v>0</v>
      </c>
      <c r="CF87" s="457">
        <f t="shared" si="229"/>
        <v>0</v>
      </c>
      <c r="CG87" s="458">
        <f t="shared" si="178"/>
        <v>0</v>
      </c>
      <c r="CH87" s="457">
        <f t="shared" si="230"/>
        <v>0</v>
      </c>
      <c r="CI87" s="457">
        <f t="shared" si="231"/>
        <v>0</v>
      </c>
      <c r="CJ87" s="458">
        <f t="shared" si="232"/>
        <v>0</v>
      </c>
      <c r="CK87" s="458">
        <f t="shared" si="182"/>
        <v>102.36967626316643</v>
      </c>
      <c r="CL87" s="457">
        <f t="shared" si="183"/>
        <v>439.85115769125156</v>
      </c>
      <c r="CM87" s="504"/>
      <c r="CN87" s="504"/>
    </row>
    <row r="88" spans="1:92" s="207" customFormat="1" ht="14.25" hidden="1" customHeight="1" x14ac:dyDescent="0.25">
      <c r="A88" s="389" t="str">
        <f>IF(D88="",CONCATENATE("Кабель ",IF(C88="а","А",""),$A$9),CONCATENATE("Кабель ",IF(C88="а","А",""),$A$9," ",D88,"*",F88,IF(G88="ок"," (ож)","")," - ",B88," ",IF(G88="мс"," фас. ",""),$A$2))</f>
        <v>Кабель АВВГ 2*2,5 (ож) - 0,66 ГОСТ 16442-80</v>
      </c>
      <c r="B88" s="450">
        <v>0.66</v>
      </c>
      <c r="C88" s="451" t="s">
        <v>164</v>
      </c>
      <c r="D88" s="412">
        <v>2</v>
      </c>
      <c r="E88" s="413" t="s">
        <v>40</v>
      </c>
      <c r="F88" s="423">
        <v>2.5</v>
      </c>
      <c r="G88" s="414" t="s">
        <v>153</v>
      </c>
      <c r="H88" s="461">
        <v>1.79</v>
      </c>
      <c r="I88" s="497">
        <v>1</v>
      </c>
      <c r="J88" s="498" t="s">
        <v>40</v>
      </c>
      <c r="K88" s="496">
        <f>ROUNDUP(SQRT(F88/PI()*4),2)</f>
        <v>1.79</v>
      </c>
      <c r="L88" s="501">
        <v>4.5199999999999996</v>
      </c>
      <c r="M88" s="475"/>
      <c r="N88" s="475"/>
      <c r="O88" s="475"/>
      <c r="P88" s="475"/>
      <c r="Q88" s="483">
        <f t="shared" si="184"/>
        <v>0.44000000000000006</v>
      </c>
      <c r="R88" s="484">
        <f>IF(B88=0.66,VLOOKUP(F88,'Данные ТНПА'!$B$8:$C$16,2,0),
IF(B88=1,VLOOKUP(F88,'Данные ТНПА'!$B$17:$C$37,2,0),"ошибка"))</f>
        <v>0.6</v>
      </c>
      <c r="S88" s="485">
        <f t="shared" si="120"/>
        <v>2.67</v>
      </c>
      <c r="T88" s="486"/>
      <c r="U88" s="487"/>
      <c r="V88" s="485">
        <f t="shared" si="121"/>
        <v>2.99</v>
      </c>
      <c r="W88" s="486"/>
      <c r="X88" s="487"/>
      <c r="Y88" s="489">
        <f t="shared" si="122"/>
        <v>0</v>
      </c>
      <c r="Z88" s="491">
        <f t="shared" si="123"/>
        <v>5.98</v>
      </c>
      <c r="AA88" s="237">
        <f t="shared" si="124"/>
        <v>0</v>
      </c>
      <c r="AB88" s="452">
        <f t="shared" si="185"/>
        <v>5.98</v>
      </c>
      <c r="AC88" s="201">
        <f t="shared" si="126"/>
        <v>0</v>
      </c>
      <c r="AD88" s="203">
        <f t="shared" si="186"/>
        <v>0</v>
      </c>
      <c r="AE88" s="37" t="str">
        <f t="shared" si="128"/>
        <v/>
      </c>
      <c r="AF88" s="202">
        <f t="shared" si="187"/>
        <v>0</v>
      </c>
      <c r="AG88" s="201">
        <f t="shared" si="188"/>
        <v>0</v>
      </c>
      <c r="AH88" s="61">
        <f t="shared" si="131"/>
        <v>5.98</v>
      </c>
      <c r="AI88" s="443">
        <f t="shared" ref="AI88:AI151" si="233">IF(OR($AI$9=0,AH88&lt;=10,D88=1,AND(D88&gt;1,F88&lt;=10,OR(G88="ок",G88="мк"))),0,1)</f>
        <v>0</v>
      </c>
      <c r="AJ88" s="444">
        <f t="shared" si="189"/>
        <v>0</v>
      </c>
      <c r="AK88" s="445">
        <f t="shared" si="190"/>
        <v>0</v>
      </c>
      <c r="AL88" s="446">
        <f t="shared" si="191"/>
        <v>0</v>
      </c>
      <c r="AM88" s="447">
        <f t="shared" si="192"/>
        <v>0</v>
      </c>
      <c r="AN88" s="24">
        <f t="shared" si="193"/>
        <v>5.98</v>
      </c>
      <c r="AO88" s="443">
        <f t="shared" si="137"/>
        <v>0</v>
      </c>
      <c r="AP88" s="444">
        <f t="shared" si="194"/>
        <v>0</v>
      </c>
      <c r="AQ88" s="445">
        <f t="shared" si="195"/>
        <v>0</v>
      </c>
      <c r="AR88" s="446">
        <f t="shared" si="196"/>
        <v>0</v>
      </c>
      <c r="AS88" s="447">
        <f t="shared" si="197"/>
        <v>0</v>
      </c>
      <c r="AT88" s="24">
        <f t="shared" si="198"/>
        <v>5.98</v>
      </c>
      <c r="AU88" s="443">
        <f t="shared" si="143"/>
        <v>0</v>
      </c>
      <c r="AV88" s="444">
        <f t="shared" si="199"/>
        <v>0</v>
      </c>
      <c r="AW88" s="445">
        <f t="shared" si="200"/>
        <v>0</v>
      </c>
      <c r="AX88" s="446">
        <f t="shared" si="201"/>
        <v>0</v>
      </c>
      <c r="AY88" s="447">
        <f t="shared" si="202"/>
        <v>0</v>
      </c>
      <c r="AZ88" s="24">
        <f t="shared" si="203"/>
        <v>5.98</v>
      </c>
      <c r="BA88" s="43">
        <f>IF(BB88=0,0,
IF(D88=1,
(IF(AND(AH88&gt;'Данные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"ошибка_1"))))))),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"ошибка_2"))))))))</f>
        <v>0</v>
      </c>
      <c r="BB88" s="43">
        <f>IF(OR($AI$9=0,AND(D88&gt;1,F88&gt;10)),0,
IF(D88=1,
(IF(AND(AH88&gt;'Данные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"ошибка_1"))))))),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IF(AND(AH88&gt;'Данные ТНПА'!#REF!,AH88&lt;='Данные ТНПА'!#REF!),'Данные ТНПА'!#REF!,
"ошибка_2"))))))))</f>
        <v>0</v>
      </c>
      <c r="BC88" s="43">
        <f t="shared" si="204"/>
        <v>5.98</v>
      </c>
      <c r="BD88" s="237">
        <f t="shared" si="205"/>
        <v>0</v>
      </c>
      <c r="BE88" s="43">
        <f t="shared" si="206"/>
        <v>0</v>
      </c>
      <c r="BF88" s="201">
        <f t="shared" si="207"/>
        <v>0</v>
      </c>
      <c r="BG88" s="201">
        <f t="shared" si="208"/>
        <v>0</v>
      </c>
      <c r="BH88" s="61">
        <f t="shared" si="209"/>
        <v>5.98</v>
      </c>
      <c r="BI88" s="237">
        <f t="shared" si="210"/>
        <v>0</v>
      </c>
      <c r="BJ88" s="247">
        <f t="shared" si="211"/>
        <v>0</v>
      </c>
      <c r="BK88" s="431">
        <f t="shared" si="212"/>
        <v>0</v>
      </c>
      <c r="BL88" s="250">
        <f t="shared" si="213"/>
        <v>0</v>
      </c>
      <c r="BM88" s="237">
        <f t="shared" si="214"/>
        <v>0</v>
      </c>
      <c r="BN88" s="452">
        <f t="shared" si="215"/>
        <v>5.98</v>
      </c>
      <c r="BO88" s="237">
        <f t="shared" si="216"/>
        <v>0</v>
      </c>
      <c r="BP88" s="432">
        <f t="shared" si="217"/>
        <v>0</v>
      </c>
      <c r="BQ88" s="22" t="str">
        <f t="shared" si="218"/>
        <v/>
      </c>
      <c r="BR88" s="250">
        <f t="shared" si="219"/>
        <v>0</v>
      </c>
      <c r="BS88" s="237">
        <f t="shared" si="220"/>
        <v>0</v>
      </c>
      <c r="BT88" s="452">
        <f t="shared" si="221"/>
        <v>5.98</v>
      </c>
      <c r="BU88" s="492">
        <f t="shared" si="222"/>
        <v>0.92</v>
      </c>
      <c r="BV88" s="493">
        <f>IF(BT88="","",
IF(AND(BT88&gt;'Данные ТНПА'!$K$8,BT88&lt;='Данные ТНПА'!$L$8),'Данные ТНПА'!$N$8,
IF(AND(BT88&gt;'Данные ТНПА'!$K$9,BT88&lt;='Данные ТНПА'!$L$9),'Данные ТНПА'!$N$9,
IF(AND(BT88&gt;'Данные ТНПА'!$K$10,BT88&lt;='Данные ТНПА'!$L$10),'Данные ТНПА'!$N$10,
IF(AND(BT88&gt;'Данные ТНПА'!$K$11,BT88&lt;='Данные ТНПА'!$L$11),'Данные ТНПА'!$N$11,
IF(AND(BT88&gt;'Данные ТНПА'!$K$12,BT88&lt;='Данные ТНПА'!$L$12),'Данные ТНПА'!$N$12,
IF(AND(BT88&gt;'Данные ТНПА'!$K$13,BT88&lt;='Данные ТНПА'!$L$13),'Данные ТНПА'!$N$13,
IF(AND(BT88&gt;'Данные ТНПА'!$K$14,BT88&lt;='Данные ТНПА'!$L$14),'Данные ТНПА'!$N$14))))))))</f>
        <v>1.2</v>
      </c>
      <c r="BW88" s="493">
        <f t="shared" si="223"/>
        <v>8.3800000000000008</v>
      </c>
      <c r="BX88" s="457">
        <f t="shared" si="169"/>
        <v>13.594499999999998</v>
      </c>
      <c r="BY88" s="457">
        <f t="shared" si="170"/>
        <v>0</v>
      </c>
      <c r="BZ88" s="457">
        <f t="shared" si="171"/>
        <v>12.158032181776051</v>
      </c>
      <c r="CA88" s="457" t="e">
        <f t="shared" si="224"/>
        <v>#REF!</v>
      </c>
      <c r="CB88" s="458">
        <f t="shared" si="225"/>
        <v>0</v>
      </c>
      <c r="CC88" s="457">
        <f t="shared" si="226"/>
        <v>0</v>
      </c>
      <c r="CD88" s="457">
        <f t="shared" si="227"/>
        <v>0</v>
      </c>
      <c r="CE88" s="457">
        <f t="shared" si="228"/>
        <v>0</v>
      </c>
      <c r="CF88" s="457">
        <f t="shared" si="229"/>
        <v>0</v>
      </c>
      <c r="CG88" s="458">
        <f t="shared" si="178"/>
        <v>0</v>
      </c>
      <c r="CH88" s="457">
        <f t="shared" si="230"/>
        <v>0</v>
      </c>
      <c r="CI88" s="457">
        <f t="shared" si="231"/>
        <v>0</v>
      </c>
      <c r="CJ88" s="458">
        <f t="shared" si="232"/>
        <v>0</v>
      </c>
      <c r="CK88" s="458">
        <f t="shared" si="182"/>
        <v>39.410953113647977</v>
      </c>
      <c r="CL88" s="457">
        <f t="shared" si="183"/>
        <v>65.163485295424024</v>
      </c>
      <c r="CM88" s="504"/>
      <c r="CN88" s="504"/>
    </row>
    <row r="89" spans="1:92" s="207" customFormat="1" ht="14.25" hidden="1" customHeight="1" x14ac:dyDescent="0.25">
      <c r="A89" s="389" t="str">
        <f>IF(D89="",CONCATENATE("Кабель ",IF(C89="а","А",""),$A$9),CONCATENATE("Кабель ",IF(C89="а","А",""),$A$9," ",D89,"*",F89,IF(G89="ок"," (ож)","")," - ",B89," ",IF(G89="мс"," фас. ",""),$A$2))</f>
        <v>Кабель АВВГ 2*4 (ож) - 0,66 ГОСТ 16442-80</v>
      </c>
      <c r="B89" s="450">
        <v>0.66</v>
      </c>
      <c r="C89" s="451" t="s">
        <v>164</v>
      </c>
      <c r="D89" s="412">
        <v>2</v>
      </c>
      <c r="E89" s="413" t="s">
        <v>40</v>
      </c>
      <c r="F89" s="423">
        <v>4</v>
      </c>
      <c r="G89" s="414" t="s">
        <v>153</v>
      </c>
      <c r="H89" s="461">
        <v>2.2599999999999998</v>
      </c>
      <c r="I89" s="497">
        <v>1</v>
      </c>
      <c r="J89" s="498" t="s">
        <v>40</v>
      </c>
      <c r="K89" s="496">
        <f>ROUNDUP(SQRT(F89/PI()*4),2)</f>
        <v>2.2599999999999998</v>
      </c>
      <c r="L89" s="501">
        <v>4.79</v>
      </c>
      <c r="M89" s="475"/>
      <c r="N89" s="475"/>
      <c r="O89" s="475"/>
      <c r="P89" s="475"/>
      <c r="Q89" s="483">
        <f t="shared" si="184"/>
        <v>0.53</v>
      </c>
      <c r="R89" s="484">
        <f>IF(B89=0.66,VLOOKUP(F89,'Данные ТНПА'!$B$8:$C$16,2,0),
IF(B89=1,VLOOKUP(F89,'Данные ТНПА'!$B$17:$C$37,2,0),"ошибка"))</f>
        <v>0.7</v>
      </c>
      <c r="S89" s="485">
        <f t="shared" si="120"/>
        <v>3.32</v>
      </c>
      <c r="T89" s="486"/>
      <c r="U89" s="487"/>
      <c r="V89" s="485">
        <f t="shared" si="121"/>
        <v>3.6599999999999997</v>
      </c>
      <c r="W89" s="486"/>
      <c r="X89" s="487"/>
      <c r="Y89" s="489">
        <f t="shared" si="122"/>
        <v>0</v>
      </c>
      <c r="Z89" s="491">
        <f t="shared" si="123"/>
        <v>7.3199999999999994</v>
      </c>
      <c r="AA89" s="237">
        <f t="shared" si="124"/>
        <v>0</v>
      </c>
      <c r="AB89" s="452">
        <f t="shared" si="185"/>
        <v>7.3199999999999994</v>
      </c>
      <c r="AC89" s="201">
        <f t="shared" si="126"/>
        <v>0</v>
      </c>
      <c r="AD89" s="203">
        <f t="shared" si="186"/>
        <v>0</v>
      </c>
      <c r="AE89" s="37" t="str">
        <f t="shared" si="128"/>
        <v/>
      </c>
      <c r="AF89" s="202">
        <f t="shared" si="187"/>
        <v>0</v>
      </c>
      <c r="AG89" s="201">
        <f t="shared" si="188"/>
        <v>0</v>
      </c>
      <c r="AH89" s="61">
        <f t="shared" si="131"/>
        <v>7.3199999999999994</v>
      </c>
      <c r="AI89" s="443">
        <f t="shared" si="233"/>
        <v>0</v>
      </c>
      <c r="AJ89" s="444">
        <f t="shared" si="189"/>
        <v>0</v>
      </c>
      <c r="AK89" s="445">
        <f t="shared" si="190"/>
        <v>0</v>
      </c>
      <c r="AL89" s="446">
        <f t="shared" si="191"/>
        <v>0</v>
      </c>
      <c r="AM89" s="447">
        <f t="shared" si="192"/>
        <v>0</v>
      </c>
      <c r="AN89" s="24">
        <f t="shared" si="193"/>
        <v>7.3199999999999994</v>
      </c>
      <c r="AO89" s="443">
        <f t="shared" si="137"/>
        <v>0</v>
      </c>
      <c r="AP89" s="444">
        <f t="shared" si="194"/>
        <v>0</v>
      </c>
      <c r="AQ89" s="445">
        <f t="shared" si="195"/>
        <v>0</v>
      </c>
      <c r="AR89" s="446">
        <f t="shared" si="196"/>
        <v>0</v>
      </c>
      <c r="AS89" s="447">
        <f t="shared" si="197"/>
        <v>0</v>
      </c>
      <c r="AT89" s="24">
        <f t="shared" si="198"/>
        <v>7.3199999999999994</v>
      </c>
      <c r="AU89" s="443">
        <f t="shared" si="143"/>
        <v>0</v>
      </c>
      <c r="AV89" s="444">
        <f t="shared" si="199"/>
        <v>0</v>
      </c>
      <c r="AW89" s="445">
        <f t="shared" si="200"/>
        <v>0</v>
      </c>
      <c r="AX89" s="446">
        <f t="shared" si="201"/>
        <v>0</v>
      </c>
      <c r="AY89" s="447">
        <f t="shared" si="202"/>
        <v>0</v>
      </c>
      <c r="AZ89" s="24">
        <f t="shared" si="203"/>
        <v>7.3199999999999994</v>
      </c>
      <c r="BA89" s="43">
        <f>IF(BB89=0,0,
IF(D89=1,
(IF(AND(AH89&gt;'Данные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"ошибка_1"))))))),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"ошибка_2"))))))))</f>
        <v>0</v>
      </c>
      <c r="BB89" s="43">
        <f>IF(OR($AI$9=0,AND(D89&gt;1,F89&gt;10)),0,
IF(D89=1,
(IF(AND(AH89&gt;'Данные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"ошибка_1"))))))),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IF(AND(AH89&gt;'Данные ТНПА'!#REF!,AH89&lt;='Данные ТНПА'!#REF!),'Данные ТНПА'!#REF!,
"ошибка_2"))))))))</f>
        <v>0</v>
      </c>
      <c r="BC89" s="43">
        <f t="shared" si="204"/>
        <v>7.3199999999999994</v>
      </c>
      <c r="BD89" s="237">
        <f t="shared" si="205"/>
        <v>0</v>
      </c>
      <c r="BE89" s="43">
        <f t="shared" si="206"/>
        <v>0</v>
      </c>
      <c r="BF89" s="201">
        <f t="shared" si="207"/>
        <v>0</v>
      </c>
      <c r="BG89" s="201">
        <f t="shared" si="208"/>
        <v>0</v>
      </c>
      <c r="BH89" s="61">
        <f t="shared" si="209"/>
        <v>7.3199999999999994</v>
      </c>
      <c r="BI89" s="237">
        <f t="shared" si="210"/>
        <v>0</v>
      </c>
      <c r="BJ89" s="247">
        <f t="shared" si="211"/>
        <v>0</v>
      </c>
      <c r="BK89" s="431">
        <f t="shared" si="212"/>
        <v>0</v>
      </c>
      <c r="BL89" s="250">
        <f t="shared" si="213"/>
        <v>0</v>
      </c>
      <c r="BM89" s="237">
        <f t="shared" si="214"/>
        <v>0</v>
      </c>
      <c r="BN89" s="452">
        <f t="shared" si="215"/>
        <v>7.3199999999999994</v>
      </c>
      <c r="BO89" s="237">
        <f t="shared" si="216"/>
        <v>0</v>
      </c>
      <c r="BP89" s="432">
        <f t="shared" si="217"/>
        <v>0</v>
      </c>
      <c r="BQ89" s="22" t="str">
        <f t="shared" si="218"/>
        <v/>
      </c>
      <c r="BR89" s="250">
        <f t="shared" si="219"/>
        <v>0</v>
      </c>
      <c r="BS89" s="237">
        <f t="shared" si="220"/>
        <v>0</v>
      </c>
      <c r="BT89" s="452">
        <f t="shared" si="221"/>
        <v>7.3199999999999994</v>
      </c>
      <c r="BU89" s="492">
        <f t="shared" si="222"/>
        <v>1.1749999999999998</v>
      </c>
      <c r="BV89" s="493">
        <f>IF(BT89="","",
IF(AND(BT89&gt;'Данные ТНПА'!$K$8,BT89&lt;='Данные ТНПА'!$L$8),'Данные ТНПА'!$N$8,
IF(AND(BT89&gt;'Данные ТНПА'!$K$9,BT89&lt;='Данные ТНПА'!$L$9),'Данные ТНПА'!$N$9,
IF(AND(BT89&gt;'Данные ТНПА'!$K$10,BT89&lt;='Данные ТНПА'!$L$10),'Данные ТНПА'!$N$10,
IF(AND(BT89&gt;'Данные ТНПА'!$K$11,BT89&lt;='Данные ТНПА'!$L$11),'Данные ТНПА'!$N$11,
IF(AND(BT89&gt;'Данные ТНПА'!$K$12,BT89&lt;='Данные ТНПА'!$L$12),'Данные ТНПА'!$N$12,
IF(AND(BT89&gt;'Данные ТНПА'!$K$13,BT89&lt;='Данные ТНПА'!$L$13),'Данные ТНПА'!$N$13,
IF(AND(BT89&gt;'Данные ТНПА'!$K$14,BT89&lt;='Данные ТНПА'!$L$14),'Данные ТНПА'!$N$14))))))))</f>
        <v>1.5</v>
      </c>
      <c r="BW89" s="493">
        <f t="shared" si="223"/>
        <v>10.32</v>
      </c>
      <c r="BX89" s="457">
        <f t="shared" si="169"/>
        <v>21.751200000000001</v>
      </c>
      <c r="BY89" s="457">
        <f t="shared" si="170"/>
        <v>0</v>
      </c>
      <c r="BZ89" s="457">
        <f t="shared" si="171"/>
        <v>17.567254310069721</v>
      </c>
      <c r="CA89" s="457" t="e">
        <f t="shared" si="224"/>
        <v>#REF!</v>
      </c>
      <c r="CB89" s="458">
        <f t="shared" si="225"/>
        <v>0</v>
      </c>
      <c r="CC89" s="457">
        <f t="shared" si="226"/>
        <v>0</v>
      </c>
      <c r="CD89" s="457">
        <f t="shared" si="227"/>
        <v>0</v>
      </c>
      <c r="CE89" s="457">
        <f t="shared" si="228"/>
        <v>0</v>
      </c>
      <c r="CF89" s="457">
        <f t="shared" si="229"/>
        <v>0</v>
      </c>
      <c r="CG89" s="458">
        <f t="shared" si="178"/>
        <v>0</v>
      </c>
      <c r="CH89" s="457">
        <f t="shared" si="230"/>
        <v>0</v>
      </c>
      <c r="CI89" s="457">
        <f t="shared" si="231"/>
        <v>0</v>
      </c>
      <c r="CJ89" s="458">
        <f t="shared" si="232"/>
        <v>0</v>
      </c>
      <c r="CK89" s="458">
        <f t="shared" si="182"/>
        <v>60.516122294981749</v>
      </c>
      <c r="CL89" s="457">
        <f t="shared" si="183"/>
        <v>99.834576605051467</v>
      </c>
      <c r="CM89" s="504"/>
      <c r="CN89" s="504"/>
    </row>
    <row r="90" spans="1:92" s="207" customFormat="1" ht="14.25" hidden="1" customHeight="1" x14ac:dyDescent="0.25">
      <c r="A90" s="389" t="str">
        <f>IF(D90="",CONCATENATE("Кабель ",IF(C90="а","А",""),$A$9),CONCATENATE("Кабель ",IF(C90="а","А",""),$A$9," ",D90,"*",F90,IF(G90="ок"," (ож)","")," - ",B90," ",IF(G90="мс"," фас. ",""),$A$2))</f>
        <v>Кабель АВВГ 2*6 (ож) - 0,66 ГОСТ 16442-80</v>
      </c>
      <c r="B90" s="450">
        <v>0.66</v>
      </c>
      <c r="C90" s="451" t="s">
        <v>164</v>
      </c>
      <c r="D90" s="412">
        <v>2</v>
      </c>
      <c r="E90" s="413" t="s">
        <v>40</v>
      </c>
      <c r="F90" s="423">
        <v>6</v>
      </c>
      <c r="G90" s="414" t="s">
        <v>153</v>
      </c>
      <c r="H90" s="461">
        <v>2.7699999999999996</v>
      </c>
      <c r="I90" s="497">
        <v>1</v>
      </c>
      <c r="J90" s="498" t="s">
        <v>40</v>
      </c>
      <c r="K90" s="496">
        <f>ROUNDUP(SQRT(F90/PI()*4),2)</f>
        <v>2.7699999999999996</v>
      </c>
      <c r="L90" s="501">
        <v>5.6499999999999995</v>
      </c>
      <c r="M90" s="475"/>
      <c r="N90" s="475"/>
      <c r="O90" s="475"/>
      <c r="P90" s="475"/>
      <c r="Q90" s="483">
        <f t="shared" si="184"/>
        <v>0.53</v>
      </c>
      <c r="R90" s="484">
        <f>IF(B90=0.66,VLOOKUP(F90,'Данные ТНПА'!$B$8:$C$16,2,0),
IF(B90=1,VLOOKUP(F90,'Данные ТНПА'!$B$17:$C$37,2,0),"ошибка"))</f>
        <v>0.7</v>
      </c>
      <c r="S90" s="485">
        <f t="shared" si="120"/>
        <v>3.8299999999999996</v>
      </c>
      <c r="T90" s="486"/>
      <c r="U90" s="487"/>
      <c r="V90" s="485">
        <f t="shared" si="121"/>
        <v>4.17</v>
      </c>
      <c r="W90" s="486"/>
      <c r="X90" s="487"/>
      <c r="Y90" s="489">
        <f t="shared" si="122"/>
        <v>0</v>
      </c>
      <c r="Z90" s="491">
        <f t="shared" si="123"/>
        <v>8.34</v>
      </c>
      <c r="AA90" s="237">
        <f t="shared" si="124"/>
        <v>0</v>
      </c>
      <c r="AB90" s="452">
        <f t="shared" si="185"/>
        <v>8.34</v>
      </c>
      <c r="AC90" s="201">
        <f t="shared" si="126"/>
        <v>0</v>
      </c>
      <c r="AD90" s="203">
        <f t="shared" si="186"/>
        <v>0</v>
      </c>
      <c r="AE90" s="37" t="str">
        <f t="shared" si="128"/>
        <v/>
      </c>
      <c r="AF90" s="202">
        <f t="shared" si="187"/>
        <v>0</v>
      </c>
      <c r="AG90" s="201">
        <f t="shared" si="188"/>
        <v>0</v>
      </c>
      <c r="AH90" s="61">
        <f t="shared" si="131"/>
        <v>8.34</v>
      </c>
      <c r="AI90" s="443">
        <f t="shared" si="233"/>
        <v>0</v>
      </c>
      <c r="AJ90" s="444">
        <f t="shared" si="189"/>
        <v>0</v>
      </c>
      <c r="AK90" s="445">
        <f t="shared" si="190"/>
        <v>0</v>
      </c>
      <c r="AL90" s="446">
        <f t="shared" si="191"/>
        <v>0</v>
      </c>
      <c r="AM90" s="447">
        <f t="shared" si="192"/>
        <v>0</v>
      </c>
      <c r="AN90" s="24">
        <f t="shared" si="193"/>
        <v>8.34</v>
      </c>
      <c r="AO90" s="443">
        <f t="shared" si="137"/>
        <v>0</v>
      </c>
      <c r="AP90" s="444">
        <f t="shared" si="194"/>
        <v>0</v>
      </c>
      <c r="AQ90" s="445">
        <f t="shared" si="195"/>
        <v>0</v>
      </c>
      <c r="AR90" s="446">
        <f t="shared" si="196"/>
        <v>0</v>
      </c>
      <c r="AS90" s="447">
        <f t="shared" si="197"/>
        <v>0</v>
      </c>
      <c r="AT90" s="24">
        <f t="shared" si="198"/>
        <v>8.34</v>
      </c>
      <c r="AU90" s="443">
        <f t="shared" si="143"/>
        <v>0</v>
      </c>
      <c r="AV90" s="444">
        <f t="shared" si="199"/>
        <v>0</v>
      </c>
      <c r="AW90" s="445">
        <f t="shared" si="200"/>
        <v>0</v>
      </c>
      <c r="AX90" s="446">
        <f t="shared" si="201"/>
        <v>0</v>
      </c>
      <c r="AY90" s="447">
        <f t="shared" si="202"/>
        <v>0</v>
      </c>
      <c r="AZ90" s="24">
        <f t="shared" si="203"/>
        <v>8.34</v>
      </c>
      <c r="BA90" s="43">
        <f>IF(BB90=0,0,
IF(D90=1,
(IF(AND(AH90&gt;'Данные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"ошибка_1"))))))),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"ошибка_2"))))))))</f>
        <v>0</v>
      </c>
      <c r="BB90" s="43">
        <f>IF(OR($AI$9=0,AND(D90&gt;1,F90&gt;10)),0,
IF(D90=1,
(IF(AND(AH90&gt;'Данные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"ошибка_1"))))))),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IF(AND(AH90&gt;'Данные ТНПА'!#REF!,AH90&lt;='Данные ТНПА'!#REF!),'Данные ТНПА'!#REF!,
"ошибка_2"))))))))</f>
        <v>0</v>
      </c>
      <c r="BC90" s="43">
        <f t="shared" si="204"/>
        <v>8.34</v>
      </c>
      <c r="BD90" s="237">
        <f t="shared" si="205"/>
        <v>0</v>
      </c>
      <c r="BE90" s="43">
        <f t="shared" si="206"/>
        <v>0</v>
      </c>
      <c r="BF90" s="201">
        <f t="shared" si="207"/>
        <v>0</v>
      </c>
      <c r="BG90" s="201">
        <f t="shared" si="208"/>
        <v>0</v>
      </c>
      <c r="BH90" s="61">
        <f t="shared" si="209"/>
        <v>8.34</v>
      </c>
      <c r="BI90" s="237">
        <f t="shared" si="210"/>
        <v>0</v>
      </c>
      <c r="BJ90" s="247">
        <f t="shared" si="211"/>
        <v>0</v>
      </c>
      <c r="BK90" s="431">
        <f t="shared" si="212"/>
        <v>0</v>
      </c>
      <c r="BL90" s="250">
        <f t="shared" si="213"/>
        <v>0</v>
      </c>
      <c r="BM90" s="237">
        <f t="shared" si="214"/>
        <v>0</v>
      </c>
      <c r="BN90" s="452">
        <f t="shared" si="215"/>
        <v>8.34</v>
      </c>
      <c r="BO90" s="237">
        <f t="shared" si="216"/>
        <v>0</v>
      </c>
      <c r="BP90" s="432">
        <f t="shared" si="217"/>
        <v>0</v>
      </c>
      <c r="BQ90" s="22" t="str">
        <f t="shared" si="218"/>
        <v/>
      </c>
      <c r="BR90" s="250">
        <f t="shared" si="219"/>
        <v>0</v>
      </c>
      <c r="BS90" s="237">
        <f t="shared" si="220"/>
        <v>0</v>
      </c>
      <c r="BT90" s="452">
        <f t="shared" si="221"/>
        <v>8.34</v>
      </c>
      <c r="BU90" s="492">
        <f t="shared" si="222"/>
        <v>1.1749999999999998</v>
      </c>
      <c r="BV90" s="493">
        <f>IF(BT90="","",
IF(AND(BT90&gt;'Данные ТНПА'!$K$8,BT90&lt;='Данные ТНПА'!$L$8),'Данные ТНПА'!$N$8,
IF(AND(BT90&gt;'Данные ТНПА'!$K$9,BT90&lt;='Данные ТНПА'!$L$9),'Данные ТНПА'!$N$9,
IF(AND(BT90&gt;'Данные ТНПА'!$K$10,BT90&lt;='Данные ТНПА'!$L$10),'Данные ТНПА'!$N$10,
IF(AND(BT90&gt;'Данные ТНПА'!$K$11,BT90&lt;='Данные ТНПА'!$L$11),'Данные ТНПА'!$N$11,
IF(AND(BT90&gt;'Данные ТНПА'!$K$12,BT90&lt;='Данные ТНПА'!$L$12),'Данные ТНПА'!$N$12,
IF(AND(BT90&gt;'Данные ТНПА'!$K$13,BT90&lt;='Данные ТНПА'!$L$13),'Данные ТНПА'!$N$13,
IF(AND(BT90&gt;'Данные ТНПА'!$K$14,BT90&lt;='Данные ТНПА'!$L$14),'Данные ТНПА'!$N$14))))))))</f>
        <v>1.5</v>
      </c>
      <c r="BW90" s="493">
        <f t="shared" si="223"/>
        <v>11.34</v>
      </c>
      <c r="BX90" s="457">
        <f t="shared" si="169"/>
        <v>32.626800000000003</v>
      </c>
      <c r="BY90" s="457">
        <f t="shared" si="170"/>
        <v>0</v>
      </c>
      <c r="BZ90" s="457">
        <f t="shared" si="171"/>
        <v>20.594044748629027</v>
      </c>
      <c r="CA90" s="457" t="e">
        <f t="shared" si="224"/>
        <v>#REF!</v>
      </c>
      <c r="CB90" s="458">
        <f t="shared" si="225"/>
        <v>0</v>
      </c>
      <c r="CC90" s="457">
        <f t="shared" si="226"/>
        <v>0</v>
      </c>
      <c r="CD90" s="457">
        <f t="shared" si="227"/>
        <v>0</v>
      </c>
      <c r="CE90" s="457">
        <f t="shared" si="228"/>
        <v>0</v>
      </c>
      <c r="CF90" s="457">
        <f t="shared" si="229"/>
        <v>0</v>
      </c>
      <c r="CG90" s="458">
        <f t="shared" si="178"/>
        <v>0</v>
      </c>
      <c r="CH90" s="457">
        <f t="shared" si="230"/>
        <v>0</v>
      </c>
      <c r="CI90" s="457">
        <f t="shared" si="231"/>
        <v>0</v>
      </c>
      <c r="CJ90" s="458">
        <f t="shared" si="232"/>
        <v>0</v>
      </c>
      <c r="CK90" s="458">
        <f t="shared" si="182"/>
        <v>67.514585417530668</v>
      </c>
      <c r="CL90" s="457">
        <f t="shared" si="183"/>
        <v>120.7354301661597</v>
      </c>
      <c r="CM90" s="504"/>
      <c r="CN90" s="504"/>
    </row>
    <row r="91" spans="1:92" s="207" customFormat="1" ht="14.25" hidden="1" customHeight="1" x14ac:dyDescent="0.25">
      <c r="A91" s="389" t="str">
        <f>IF(D91="",CONCATENATE("Кабель ",IF(C91="а","А",""),$A$9),CONCATENATE("Кабель ",IF(C91="а","А",""),$A$9," ",D91,"*",F91,IF(G91="ок"," (ож)","")," - ",B91," ",IF(G91="мс"," фас. ",""),$A$2))</f>
        <v>Кабель АВВГ 2*10 (ож) - 0,66 ГОСТ 16442-80</v>
      </c>
      <c r="B91" s="450">
        <v>0.66</v>
      </c>
      <c r="C91" s="451" t="s">
        <v>164</v>
      </c>
      <c r="D91" s="412">
        <v>2</v>
      </c>
      <c r="E91" s="413" t="s">
        <v>40</v>
      </c>
      <c r="F91" s="423">
        <v>10</v>
      </c>
      <c r="G91" s="414" t="s">
        <v>153</v>
      </c>
      <c r="H91" s="461">
        <v>3.57</v>
      </c>
      <c r="I91" s="497">
        <v>1</v>
      </c>
      <c r="J91" s="498" t="s">
        <v>40</v>
      </c>
      <c r="K91" s="496">
        <f>ROUNDUP(SQRT(F91/PI()*4),2)</f>
        <v>3.57</v>
      </c>
      <c r="L91" s="501">
        <v>5.99</v>
      </c>
      <c r="M91" s="475"/>
      <c r="N91" s="475"/>
      <c r="O91" s="475"/>
      <c r="P91" s="475"/>
      <c r="Q91" s="483">
        <f t="shared" si="184"/>
        <v>0.71000000000000008</v>
      </c>
      <c r="R91" s="484">
        <f>IF(B91=0.66,VLOOKUP(F91,'Данные ТНПА'!$B$8:$C$16,2,0),
IF(B91=1,VLOOKUP(F91,'Данные ТНПА'!$B$17:$C$37,2,0),"ошибка"))</f>
        <v>0.9</v>
      </c>
      <c r="S91" s="485">
        <f t="shared" si="120"/>
        <v>4.99</v>
      </c>
      <c r="T91" s="486"/>
      <c r="U91" s="487"/>
      <c r="V91" s="485">
        <f t="shared" si="121"/>
        <v>5.37</v>
      </c>
      <c r="W91" s="486"/>
      <c r="X91" s="487"/>
      <c r="Y91" s="489">
        <f t="shared" si="122"/>
        <v>0</v>
      </c>
      <c r="Z91" s="491">
        <f t="shared" si="123"/>
        <v>10.74</v>
      </c>
      <c r="AA91" s="237">
        <f t="shared" si="124"/>
        <v>0</v>
      </c>
      <c r="AB91" s="452">
        <f t="shared" si="185"/>
        <v>10.74</v>
      </c>
      <c r="AC91" s="201">
        <f t="shared" si="126"/>
        <v>0</v>
      </c>
      <c r="AD91" s="203">
        <f t="shared" si="186"/>
        <v>0</v>
      </c>
      <c r="AE91" s="37" t="str">
        <f t="shared" si="128"/>
        <v/>
      </c>
      <c r="AF91" s="202">
        <f t="shared" si="187"/>
        <v>0</v>
      </c>
      <c r="AG91" s="201">
        <f t="shared" si="188"/>
        <v>0</v>
      </c>
      <c r="AH91" s="61">
        <f t="shared" si="131"/>
        <v>10.74</v>
      </c>
      <c r="AI91" s="443">
        <f t="shared" si="233"/>
        <v>0</v>
      </c>
      <c r="AJ91" s="444">
        <f t="shared" si="189"/>
        <v>0</v>
      </c>
      <c r="AK91" s="445">
        <f t="shared" si="190"/>
        <v>0</v>
      </c>
      <c r="AL91" s="446">
        <f t="shared" si="191"/>
        <v>0</v>
      </c>
      <c r="AM91" s="447">
        <f t="shared" si="192"/>
        <v>0</v>
      </c>
      <c r="AN91" s="24">
        <f t="shared" si="193"/>
        <v>10.74</v>
      </c>
      <c r="AO91" s="443">
        <f t="shared" si="137"/>
        <v>0</v>
      </c>
      <c r="AP91" s="444">
        <f t="shared" si="194"/>
        <v>0</v>
      </c>
      <c r="AQ91" s="445">
        <f t="shared" si="195"/>
        <v>0</v>
      </c>
      <c r="AR91" s="446">
        <f t="shared" si="196"/>
        <v>0</v>
      </c>
      <c r="AS91" s="447">
        <f t="shared" si="197"/>
        <v>0</v>
      </c>
      <c r="AT91" s="24">
        <f t="shared" si="198"/>
        <v>10.74</v>
      </c>
      <c r="AU91" s="443">
        <f t="shared" si="143"/>
        <v>0</v>
      </c>
      <c r="AV91" s="444">
        <f t="shared" si="199"/>
        <v>0</v>
      </c>
      <c r="AW91" s="445">
        <f t="shared" si="200"/>
        <v>0</v>
      </c>
      <c r="AX91" s="446">
        <f t="shared" si="201"/>
        <v>0</v>
      </c>
      <c r="AY91" s="447">
        <f t="shared" si="202"/>
        <v>0</v>
      </c>
      <c r="AZ91" s="24">
        <f t="shared" si="203"/>
        <v>10.74</v>
      </c>
      <c r="BA91" s="43">
        <f>IF(BB91=0,0,
IF(D91=1,
(IF(AND(AH91&gt;'Данные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"ошибка_1"))))))),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"ошибка_2"))))))))</f>
        <v>0</v>
      </c>
      <c r="BB91" s="43">
        <f>IF(OR($AI$9=0,AND(D91&gt;1,F91&gt;10)),0,
IF(D91=1,
(IF(AND(AH91&gt;'Данные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"ошибка_1"))))))),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IF(AND(AH91&gt;'Данные ТНПА'!#REF!,AH91&lt;='Данные ТНПА'!#REF!),'Данные ТНПА'!#REF!,
"ошибка_2"))))))))</f>
        <v>0</v>
      </c>
      <c r="BC91" s="43">
        <f t="shared" si="204"/>
        <v>10.74</v>
      </c>
      <c r="BD91" s="237">
        <f t="shared" si="205"/>
        <v>0</v>
      </c>
      <c r="BE91" s="43">
        <f t="shared" si="206"/>
        <v>0</v>
      </c>
      <c r="BF91" s="201">
        <f t="shared" si="207"/>
        <v>0</v>
      </c>
      <c r="BG91" s="201">
        <f t="shared" si="208"/>
        <v>0</v>
      </c>
      <c r="BH91" s="61">
        <f t="shared" si="209"/>
        <v>10.74</v>
      </c>
      <c r="BI91" s="237">
        <f t="shared" si="210"/>
        <v>0</v>
      </c>
      <c r="BJ91" s="247">
        <f t="shared" si="211"/>
        <v>0</v>
      </c>
      <c r="BK91" s="431">
        <f t="shared" si="212"/>
        <v>0</v>
      </c>
      <c r="BL91" s="250">
        <f t="shared" si="213"/>
        <v>0</v>
      </c>
      <c r="BM91" s="237">
        <f t="shared" si="214"/>
        <v>0</v>
      </c>
      <c r="BN91" s="452">
        <f t="shared" si="215"/>
        <v>10.74</v>
      </c>
      <c r="BO91" s="237">
        <f t="shared" si="216"/>
        <v>0</v>
      </c>
      <c r="BP91" s="432">
        <f t="shared" si="217"/>
        <v>0</v>
      </c>
      <c r="BQ91" s="22" t="str">
        <f t="shared" si="218"/>
        <v/>
      </c>
      <c r="BR91" s="250">
        <f t="shared" si="219"/>
        <v>0</v>
      </c>
      <c r="BS91" s="237">
        <f t="shared" si="220"/>
        <v>0</v>
      </c>
      <c r="BT91" s="452">
        <f t="shared" si="221"/>
        <v>10.74</v>
      </c>
      <c r="BU91" s="492">
        <f t="shared" si="222"/>
        <v>1.1749999999999998</v>
      </c>
      <c r="BV91" s="493">
        <f>IF(BT91="","",
IF(AND(BT91&gt;'Данные ТНПА'!$K$8,BT91&lt;='Данные ТНПА'!$L$8),'Данные ТНПА'!$N$8,
IF(AND(BT91&gt;'Данные ТНПА'!$K$9,BT91&lt;='Данные ТНПА'!$L$9),'Данные ТНПА'!$N$9,
IF(AND(BT91&gt;'Данные ТНПА'!$K$10,BT91&lt;='Данные ТНПА'!$L$10),'Данные ТНПА'!$N$10,
IF(AND(BT91&gt;'Данные ТНПА'!$K$11,BT91&lt;='Данные ТНПА'!$L$11),'Данные ТНПА'!$N$11,
IF(AND(BT91&gt;'Данные ТНПА'!$K$12,BT91&lt;='Данные ТНПА'!$L$12),'Данные ТНПА'!$N$12,
IF(AND(BT91&gt;'Данные ТНПА'!$K$13,BT91&lt;='Данные ТНПА'!$L$13),'Данные ТНПА'!$N$13,
IF(AND(BT91&gt;'Данные ТНПА'!$K$14,BT91&lt;='Данные ТНПА'!$L$14),'Данные ТНПА'!$N$14))))))))</f>
        <v>1.5</v>
      </c>
      <c r="BW91" s="493">
        <f t="shared" si="223"/>
        <v>13.74</v>
      </c>
      <c r="BX91" s="457">
        <f t="shared" si="169"/>
        <v>54.377999999999993</v>
      </c>
      <c r="BY91" s="457">
        <f t="shared" si="170"/>
        <v>0</v>
      </c>
      <c r="BZ91" s="457">
        <f t="shared" si="171"/>
        <v>34.108621664773402</v>
      </c>
      <c r="CA91" s="457" t="e">
        <f t="shared" si="224"/>
        <v>#REF!</v>
      </c>
      <c r="CB91" s="458">
        <f t="shared" si="225"/>
        <v>0</v>
      </c>
      <c r="CC91" s="457">
        <f t="shared" si="226"/>
        <v>0</v>
      </c>
      <c r="CD91" s="457">
        <f t="shared" si="227"/>
        <v>0</v>
      </c>
      <c r="CE91" s="457">
        <f t="shared" si="228"/>
        <v>0</v>
      </c>
      <c r="CF91" s="457">
        <f t="shared" si="229"/>
        <v>0</v>
      </c>
      <c r="CG91" s="458">
        <f t="shared" si="178"/>
        <v>0</v>
      </c>
      <c r="CH91" s="457">
        <f t="shared" si="230"/>
        <v>0</v>
      </c>
      <c r="CI91" s="457">
        <f t="shared" si="231"/>
        <v>0</v>
      </c>
      <c r="CJ91" s="458">
        <f t="shared" si="232"/>
        <v>0</v>
      </c>
      <c r="CK91" s="458">
        <f t="shared" si="182"/>
        <v>83.981557470586935</v>
      </c>
      <c r="CL91" s="457">
        <f t="shared" si="183"/>
        <v>172.46817913536034</v>
      </c>
      <c r="CM91" s="504"/>
      <c r="CN91" s="504"/>
    </row>
    <row r="92" spans="1:92" s="207" customFormat="1" ht="14.25" hidden="1" customHeight="1" x14ac:dyDescent="0.25">
      <c r="A92" s="389" t="str">
        <f>IF(D92="",CONCATENATE("Кабель ",IF(C92="а","А",""),$A$9),CONCATENATE("Кабель ",IF(C92="а","А",""),$A$9," ",D92,"*",F92,IF(G92="ок"," (ож)","")," - ",B92," ",IF(G92="мс"," фас. ",""),$A$2))</f>
        <v>Кабель АВВГ 2*16 (ож) - 0,66 ГОСТ 16442-80</v>
      </c>
      <c r="B92" s="450">
        <v>0.66</v>
      </c>
      <c r="C92" s="451" t="s">
        <v>164</v>
      </c>
      <c r="D92" s="412">
        <v>2</v>
      </c>
      <c r="E92" s="413" t="s">
        <v>40</v>
      </c>
      <c r="F92" s="423">
        <v>16</v>
      </c>
      <c r="G92" s="414" t="s">
        <v>153</v>
      </c>
      <c r="H92" s="461">
        <v>4.5199999999999996</v>
      </c>
      <c r="I92" s="497">
        <v>1</v>
      </c>
      <c r="J92" s="498" t="s">
        <v>40</v>
      </c>
      <c r="K92" s="496">
        <f>ROUNDUP(SQRT(F92/PI()*4),2)</f>
        <v>4.5199999999999996</v>
      </c>
      <c r="L92" s="501">
        <v>6.68</v>
      </c>
      <c r="M92" s="475"/>
      <c r="N92" s="475"/>
      <c r="O92" s="475"/>
      <c r="P92" s="475"/>
      <c r="Q92" s="483">
        <f t="shared" si="184"/>
        <v>0.71000000000000008</v>
      </c>
      <c r="R92" s="484">
        <f>IF(B92=0.66,VLOOKUP(F92,'Данные ТНПА'!$B$8:$C$16,2,0),
IF(B92=1,VLOOKUP(F92,'Данные ТНПА'!$B$17:$C$37,2,0),"ошибка"))</f>
        <v>0.9</v>
      </c>
      <c r="S92" s="485">
        <f t="shared" si="120"/>
        <v>5.9399999999999995</v>
      </c>
      <c r="T92" s="486"/>
      <c r="U92" s="487"/>
      <c r="V92" s="485">
        <f t="shared" si="121"/>
        <v>6.3199999999999994</v>
      </c>
      <c r="W92" s="486"/>
      <c r="X92" s="487"/>
      <c r="Y92" s="489">
        <f t="shared" si="122"/>
        <v>0</v>
      </c>
      <c r="Z92" s="491">
        <f t="shared" si="123"/>
        <v>12.639999999999999</v>
      </c>
      <c r="AA92" s="237">
        <f t="shared" si="124"/>
        <v>0</v>
      </c>
      <c r="AB92" s="452">
        <f t="shared" si="185"/>
        <v>12.639999999999999</v>
      </c>
      <c r="AC92" s="201">
        <f t="shared" si="126"/>
        <v>0</v>
      </c>
      <c r="AD92" s="203">
        <f t="shared" si="186"/>
        <v>0</v>
      </c>
      <c r="AE92" s="37" t="str">
        <f t="shared" si="128"/>
        <v/>
      </c>
      <c r="AF92" s="202">
        <f t="shared" si="187"/>
        <v>0</v>
      </c>
      <c r="AG92" s="201">
        <f t="shared" si="188"/>
        <v>0</v>
      </c>
      <c r="AH92" s="61">
        <f t="shared" si="131"/>
        <v>12.639999999999999</v>
      </c>
      <c r="AI92" s="443">
        <f t="shared" si="233"/>
        <v>0</v>
      </c>
      <c r="AJ92" s="444">
        <f t="shared" si="189"/>
        <v>0</v>
      </c>
      <c r="AK92" s="445">
        <f t="shared" si="190"/>
        <v>0</v>
      </c>
      <c r="AL92" s="446">
        <f t="shared" si="191"/>
        <v>0</v>
      </c>
      <c r="AM92" s="447">
        <f t="shared" si="192"/>
        <v>0</v>
      </c>
      <c r="AN92" s="24">
        <f t="shared" si="193"/>
        <v>12.639999999999999</v>
      </c>
      <c r="AO92" s="443">
        <f t="shared" si="137"/>
        <v>0</v>
      </c>
      <c r="AP92" s="444">
        <f t="shared" si="194"/>
        <v>0</v>
      </c>
      <c r="AQ92" s="445">
        <f t="shared" si="195"/>
        <v>0</v>
      </c>
      <c r="AR92" s="446">
        <f t="shared" si="196"/>
        <v>0</v>
      </c>
      <c r="AS92" s="447">
        <f t="shared" si="197"/>
        <v>0</v>
      </c>
      <c r="AT92" s="24">
        <f t="shared" si="198"/>
        <v>12.639999999999999</v>
      </c>
      <c r="AU92" s="443">
        <f t="shared" si="143"/>
        <v>0</v>
      </c>
      <c r="AV92" s="444">
        <f t="shared" si="199"/>
        <v>0</v>
      </c>
      <c r="AW92" s="445">
        <f t="shared" si="200"/>
        <v>0</v>
      </c>
      <c r="AX92" s="446">
        <f t="shared" si="201"/>
        <v>0</v>
      </c>
      <c r="AY92" s="447">
        <f t="shared" si="202"/>
        <v>0</v>
      </c>
      <c r="AZ92" s="24">
        <f t="shared" si="203"/>
        <v>12.639999999999999</v>
      </c>
      <c r="BA92" s="43">
        <f>IF(BB92=0,0,
IF(D92=1,
(IF(AND(AH92&gt;'Данные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"ошибка_1"))))))),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"ошибка_2"))))))))</f>
        <v>0</v>
      </c>
      <c r="BB92" s="43">
        <f>IF(OR($AI$9=0,AND(D92&gt;1,F92&gt;10)),0,
IF(D92=1,
(IF(AND(AH92&gt;'Данные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"ошибка_1"))))))),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IF(AND(AH92&gt;'Данные ТНПА'!#REF!,AH92&lt;='Данные ТНПА'!#REF!),'Данные ТНПА'!#REF!,
"ошибка_2"))))))))</f>
        <v>0</v>
      </c>
      <c r="BC92" s="43">
        <f t="shared" si="204"/>
        <v>12.639999999999999</v>
      </c>
      <c r="BD92" s="237">
        <f t="shared" si="205"/>
        <v>0</v>
      </c>
      <c r="BE92" s="43">
        <f t="shared" si="206"/>
        <v>0</v>
      </c>
      <c r="BF92" s="201">
        <f t="shared" si="207"/>
        <v>0</v>
      </c>
      <c r="BG92" s="201">
        <f t="shared" si="208"/>
        <v>0</v>
      </c>
      <c r="BH92" s="61">
        <f t="shared" si="209"/>
        <v>12.639999999999999</v>
      </c>
      <c r="BI92" s="237">
        <f t="shared" si="210"/>
        <v>0</v>
      </c>
      <c r="BJ92" s="247">
        <f t="shared" si="211"/>
        <v>0</v>
      </c>
      <c r="BK92" s="431">
        <f t="shared" si="212"/>
        <v>0</v>
      </c>
      <c r="BL92" s="250">
        <f t="shared" si="213"/>
        <v>0</v>
      </c>
      <c r="BM92" s="237">
        <f t="shared" si="214"/>
        <v>0</v>
      </c>
      <c r="BN92" s="452">
        <f t="shared" si="215"/>
        <v>12.639999999999999</v>
      </c>
      <c r="BO92" s="237">
        <f t="shared" si="216"/>
        <v>0</v>
      </c>
      <c r="BP92" s="432">
        <f t="shared" si="217"/>
        <v>0</v>
      </c>
      <c r="BQ92" s="22" t="str">
        <f t="shared" si="218"/>
        <v/>
      </c>
      <c r="BR92" s="250">
        <f t="shared" si="219"/>
        <v>0</v>
      </c>
      <c r="BS92" s="237">
        <f t="shared" si="220"/>
        <v>0</v>
      </c>
      <c r="BT92" s="452">
        <f t="shared" si="221"/>
        <v>12.639999999999999</v>
      </c>
      <c r="BU92" s="492">
        <f t="shared" si="222"/>
        <v>1.1749999999999998</v>
      </c>
      <c r="BV92" s="493">
        <f>IF(BT92="","",
IF(AND(BT92&gt;'Данные ТНПА'!$K$8,BT92&lt;='Данные ТНПА'!$L$8),'Данные ТНПА'!$N$8,
IF(AND(BT92&gt;'Данные ТНПА'!$K$9,BT92&lt;='Данные ТНПА'!$L$9),'Данные ТНПА'!$N$9,
IF(AND(BT92&gt;'Данные ТНПА'!$K$10,BT92&lt;='Данные ТНПА'!$L$10),'Данные ТНПА'!$N$10,
IF(AND(BT92&gt;'Данные ТНПА'!$K$11,BT92&lt;='Данные ТНПА'!$L$11),'Данные ТНПА'!$N$11,
IF(AND(BT92&gt;'Данные ТНПА'!$K$12,BT92&lt;='Данные ТНПА'!$L$12),'Данные ТНПА'!$N$12,
IF(AND(BT92&gt;'Данные ТНПА'!$K$13,BT92&lt;='Данные ТНПА'!$L$13),'Данные ТНПА'!$N$13,
IF(AND(BT92&gt;'Данные ТНПА'!$K$14,BT92&lt;='Данные ТНПА'!$L$14),'Данные ТНПА'!$N$14))))))))</f>
        <v>1.5</v>
      </c>
      <c r="BW92" s="493">
        <f t="shared" si="223"/>
        <v>15.639999999999999</v>
      </c>
      <c r="BX92" s="457">
        <f t="shared" si="169"/>
        <v>87.004800000000003</v>
      </c>
      <c r="BY92" s="457">
        <f t="shared" si="170"/>
        <v>0</v>
      </c>
      <c r="BZ92" s="457">
        <f t="shared" si="171"/>
        <v>41.357657589054106</v>
      </c>
      <c r="CA92" s="457" t="e">
        <f t="shared" si="224"/>
        <v>#REF!</v>
      </c>
      <c r="CB92" s="458">
        <f t="shared" si="225"/>
        <v>0</v>
      </c>
      <c r="CC92" s="457">
        <f t="shared" si="226"/>
        <v>0</v>
      </c>
      <c r="CD92" s="457">
        <f t="shared" si="227"/>
        <v>0</v>
      </c>
      <c r="CE92" s="457">
        <f t="shared" si="228"/>
        <v>0</v>
      </c>
      <c r="CF92" s="457">
        <f t="shared" si="229"/>
        <v>0</v>
      </c>
      <c r="CG92" s="458">
        <f t="shared" si="178"/>
        <v>0</v>
      </c>
      <c r="CH92" s="457">
        <f t="shared" si="230"/>
        <v>0</v>
      </c>
      <c r="CI92" s="457">
        <f t="shared" si="231"/>
        <v>0</v>
      </c>
      <c r="CJ92" s="458">
        <f t="shared" si="232"/>
        <v>0</v>
      </c>
      <c r="CK92" s="458">
        <f t="shared" si="182"/>
        <v>97.017910345923113</v>
      </c>
      <c r="CL92" s="457">
        <f t="shared" si="183"/>
        <v>225.38036793497724</v>
      </c>
      <c r="CM92" s="504"/>
      <c r="CN92" s="504"/>
    </row>
    <row r="93" spans="1:92" s="207" customFormat="1" ht="14.25" hidden="1" customHeight="1" x14ac:dyDescent="0.25">
      <c r="A93" s="389" t="str">
        <f>IF(D93="",CONCATENATE("Кабель ",IF(C93="а","А",""),$A$9),CONCATENATE("Кабель ",IF(C93="а","А",""),$A$9," ",D93,"*",F93,IF(G93="ок"," (ож)","")," - ",B93," ",IF(G93="мс"," фас. ",""),$A$2))</f>
        <v>Кабель АВВГ 2*25 (ож) - 0,66 ГОСТ 16442-80</v>
      </c>
      <c r="B93" s="450">
        <v>0.66</v>
      </c>
      <c r="C93" s="451" t="s">
        <v>164</v>
      </c>
      <c r="D93" s="412">
        <v>2</v>
      </c>
      <c r="E93" s="413" t="s">
        <v>40</v>
      </c>
      <c r="F93" s="423">
        <v>25</v>
      </c>
      <c r="G93" s="414" t="s">
        <v>153</v>
      </c>
      <c r="H93" s="461">
        <v>5.6499999999999995</v>
      </c>
      <c r="I93" s="497">
        <v>1</v>
      </c>
      <c r="J93" s="498" t="s">
        <v>40</v>
      </c>
      <c r="K93" s="496">
        <f>ROUNDUP(SQRT(F93/PI()*4),2)</f>
        <v>5.6499999999999995</v>
      </c>
      <c r="L93" s="501">
        <v>7.1000000000000005</v>
      </c>
      <c r="M93" s="475"/>
      <c r="N93" s="475"/>
      <c r="O93" s="475"/>
      <c r="P93" s="475"/>
      <c r="Q93" s="483">
        <f t="shared" si="184"/>
        <v>0.89000000000000012</v>
      </c>
      <c r="R93" s="484">
        <f>IF(B93=0.66,VLOOKUP(F93,'Данные ТНПА'!$B$8:$C$16,2,0),
IF(B93=1,VLOOKUP(F93,'Данные ТНПА'!$B$17:$C$37,2,0),"ошибка"))</f>
        <v>1.1000000000000001</v>
      </c>
      <c r="S93" s="485">
        <f t="shared" si="120"/>
        <v>7.43</v>
      </c>
      <c r="T93" s="486"/>
      <c r="U93" s="487"/>
      <c r="V93" s="485">
        <f t="shared" si="121"/>
        <v>7.85</v>
      </c>
      <c r="W93" s="486"/>
      <c r="X93" s="487"/>
      <c r="Y93" s="489">
        <f t="shared" si="122"/>
        <v>0</v>
      </c>
      <c r="Z93" s="491">
        <f t="shared" si="123"/>
        <v>15.7</v>
      </c>
      <c r="AA93" s="237">
        <f t="shared" si="124"/>
        <v>0</v>
      </c>
      <c r="AB93" s="452">
        <f t="shared" si="185"/>
        <v>15.7</v>
      </c>
      <c r="AC93" s="201">
        <f t="shared" si="126"/>
        <v>0</v>
      </c>
      <c r="AD93" s="203">
        <f t="shared" si="186"/>
        <v>0</v>
      </c>
      <c r="AE93" s="37" t="str">
        <f t="shared" si="128"/>
        <v/>
      </c>
      <c r="AF93" s="202">
        <f t="shared" si="187"/>
        <v>0</v>
      </c>
      <c r="AG93" s="201">
        <f t="shared" si="188"/>
        <v>0</v>
      </c>
      <c r="AH93" s="61">
        <f t="shared" si="131"/>
        <v>15.7</v>
      </c>
      <c r="AI93" s="443">
        <f t="shared" si="233"/>
        <v>0</v>
      </c>
      <c r="AJ93" s="444">
        <f t="shared" si="189"/>
        <v>0</v>
      </c>
      <c r="AK93" s="445">
        <f t="shared" si="190"/>
        <v>0</v>
      </c>
      <c r="AL93" s="446">
        <f t="shared" si="191"/>
        <v>0</v>
      </c>
      <c r="AM93" s="447">
        <f t="shared" si="192"/>
        <v>0</v>
      </c>
      <c r="AN93" s="24">
        <f t="shared" si="193"/>
        <v>15.7</v>
      </c>
      <c r="AO93" s="443">
        <f t="shared" si="137"/>
        <v>0</v>
      </c>
      <c r="AP93" s="444">
        <f t="shared" si="194"/>
        <v>0</v>
      </c>
      <c r="AQ93" s="445">
        <f t="shared" si="195"/>
        <v>0</v>
      </c>
      <c r="AR93" s="446">
        <f t="shared" si="196"/>
        <v>0</v>
      </c>
      <c r="AS93" s="447">
        <f t="shared" si="197"/>
        <v>0</v>
      </c>
      <c r="AT93" s="24">
        <f t="shared" si="198"/>
        <v>15.7</v>
      </c>
      <c r="AU93" s="443">
        <f t="shared" si="143"/>
        <v>0</v>
      </c>
      <c r="AV93" s="444">
        <f t="shared" si="199"/>
        <v>0</v>
      </c>
      <c r="AW93" s="445">
        <f t="shared" si="200"/>
        <v>0</v>
      </c>
      <c r="AX93" s="446">
        <f t="shared" si="201"/>
        <v>0</v>
      </c>
      <c r="AY93" s="447">
        <f t="shared" si="202"/>
        <v>0</v>
      </c>
      <c r="AZ93" s="24">
        <f t="shared" si="203"/>
        <v>15.7</v>
      </c>
      <c r="BA93" s="43">
        <f>IF(BB93=0,0,
IF(D93=1,
(IF(AND(AH93&gt;'Данные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"ошибка_1"))))))),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"ошибка_2"))))))))</f>
        <v>0</v>
      </c>
      <c r="BB93" s="43">
        <f>IF(OR($AI$9=0,AND(D93&gt;1,F93&gt;10)),0,
IF(D93=1,
(IF(AND(AH93&gt;'Данные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"ошибка_1"))))))),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IF(AND(AH93&gt;'Данные ТНПА'!#REF!,AH93&lt;='Данные ТНПА'!#REF!),'Данные ТНПА'!#REF!,
"ошибка_2"))))))))</f>
        <v>0</v>
      </c>
      <c r="BC93" s="43">
        <f t="shared" si="204"/>
        <v>15.7</v>
      </c>
      <c r="BD93" s="237">
        <f t="shared" si="205"/>
        <v>0</v>
      </c>
      <c r="BE93" s="43">
        <f t="shared" si="206"/>
        <v>0</v>
      </c>
      <c r="BF93" s="201">
        <f t="shared" si="207"/>
        <v>0</v>
      </c>
      <c r="BG93" s="201">
        <f t="shared" si="208"/>
        <v>0</v>
      </c>
      <c r="BH93" s="61">
        <f t="shared" si="209"/>
        <v>15.7</v>
      </c>
      <c r="BI93" s="237">
        <f t="shared" si="210"/>
        <v>0</v>
      </c>
      <c r="BJ93" s="247">
        <f t="shared" si="211"/>
        <v>0</v>
      </c>
      <c r="BK93" s="431">
        <f t="shared" si="212"/>
        <v>0</v>
      </c>
      <c r="BL93" s="250">
        <f t="shared" si="213"/>
        <v>0</v>
      </c>
      <c r="BM93" s="237">
        <f t="shared" si="214"/>
        <v>0</v>
      </c>
      <c r="BN93" s="452">
        <f t="shared" si="215"/>
        <v>15.7</v>
      </c>
      <c r="BO93" s="237">
        <f t="shared" si="216"/>
        <v>0</v>
      </c>
      <c r="BP93" s="432">
        <f t="shared" si="217"/>
        <v>0</v>
      </c>
      <c r="BQ93" s="22" t="str">
        <f t="shared" si="218"/>
        <v/>
      </c>
      <c r="BR93" s="250">
        <f t="shared" si="219"/>
        <v>0</v>
      </c>
      <c r="BS93" s="237">
        <f t="shared" si="220"/>
        <v>0</v>
      </c>
      <c r="BT93" s="452">
        <f t="shared" si="221"/>
        <v>15.7</v>
      </c>
      <c r="BU93" s="492">
        <f t="shared" si="222"/>
        <v>1.3449999999999998</v>
      </c>
      <c r="BV93" s="493">
        <f>IF(BT93="","",
IF(AND(BT93&gt;'Данные ТНПА'!$K$8,BT93&lt;='Данные ТНПА'!$L$8),'Данные ТНПА'!$N$8,
IF(AND(BT93&gt;'Данные ТНПА'!$K$9,BT93&lt;='Данные ТНПА'!$L$9),'Данные ТНПА'!$N$9,
IF(AND(BT93&gt;'Данные ТНПА'!$K$10,BT93&lt;='Данные ТНПА'!$L$10),'Данные ТНПА'!$N$10,
IF(AND(BT93&gt;'Данные ТНПА'!$K$11,BT93&lt;='Данные ТНПА'!$L$11),'Данные ТНПА'!$N$11,
IF(AND(BT93&gt;'Данные ТНПА'!$K$12,BT93&lt;='Данные ТНПА'!$L$12),'Данные ТНПА'!$N$12,
IF(AND(BT93&gt;'Данные ТНПА'!$K$13,BT93&lt;='Данные ТНПА'!$L$13),'Данные ТНПА'!$N$13,
IF(AND(BT93&gt;'Данные ТНПА'!$K$14,BT93&lt;='Данные ТНПА'!$L$14),'Данные ТНПА'!$N$14))))))))</f>
        <v>1.7</v>
      </c>
      <c r="BW93" s="493">
        <f t="shared" si="223"/>
        <v>19.099999999999998</v>
      </c>
      <c r="BX93" s="457">
        <f t="shared" si="169"/>
        <v>135.94499999999999</v>
      </c>
      <c r="BY93" s="457">
        <f t="shared" si="170"/>
        <v>0</v>
      </c>
      <c r="BZ93" s="457">
        <f t="shared" si="171"/>
        <v>62.952154079279772</v>
      </c>
      <c r="CA93" s="457" t="e">
        <f t="shared" si="224"/>
        <v>#REF!</v>
      </c>
      <c r="CB93" s="458">
        <f t="shared" si="225"/>
        <v>0</v>
      </c>
      <c r="CC93" s="457">
        <f t="shared" si="226"/>
        <v>0</v>
      </c>
      <c r="CD93" s="457">
        <f t="shared" si="227"/>
        <v>0</v>
      </c>
      <c r="CE93" s="457">
        <f t="shared" si="228"/>
        <v>0</v>
      </c>
      <c r="CF93" s="457">
        <f t="shared" si="229"/>
        <v>0</v>
      </c>
      <c r="CG93" s="458">
        <f t="shared" si="178"/>
        <v>0</v>
      </c>
      <c r="CH93" s="457">
        <f t="shared" si="230"/>
        <v>0</v>
      </c>
      <c r="CI93" s="457">
        <f t="shared" si="231"/>
        <v>0</v>
      </c>
      <c r="CJ93" s="458">
        <f t="shared" si="232"/>
        <v>0</v>
      </c>
      <c r="CK93" s="458">
        <f t="shared" si="182"/>
        <v>135.30362036927892</v>
      </c>
      <c r="CL93" s="457">
        <f t="shared" si="183"/>
        <v>334.20077444855872</v>
      </c>
      <c r="CM93" s="504"/>
      <c r="CN93" s="504"/>
    </row>
    <row r="94" spans="1:92" s="207" customFormat="1" ht="14.25" hidden="1" customHeight="1" x14ac:dyDescent="0.25">
      <c r="A94" s="389" t="str">
        <f>IF(D94="",CONCATENATE("Кабель ",IF(C94="а","А",""),$A$9),CONCATENATE("Кабель ",IF(C94="а","А",""),$A$9," ",D94,"*",F94,IF(G94="ок"," (ож)","")," - ",B94," ",IF(G94="мс"," фас. ",""),$A$2))</f>
        <v>Кабель АВВГ 2*35 (ож) - 0,66 ГОСТ 16442-80</v>
      </c>
      <c r="B94" s="450">
        <v>0.66</v>
      </c>
      <c r="C94" s="451" t="s">
        <v>164</v>
      </c>
      <c r="D94" s="412">
        <v>2</v>
      </c>
      <c r="E94" s="413" t="s">
        <v>40</v>
      </c>
      <c r="F94" s="423">
        <v>35</v>
      </c>
      <c r="G94" s="414" t="s">
        <v>153</v>
      </c>
      <c r="H94" s="461">
        <v>6.68</v>
      </c>
      <c r="I94" s="497">
        <v>1</v>
      </c>
      <c r="J94" s="498" t="s">
        <v>40</v>
      </c>
      <c r="K94" s="496">
        <f>ROUNDUP(SQRT(F94/PI()*4),2)</f>
        <v>6.68</v>
      </c>
      <c r="L94" s="501">
        <v>7.9799999999999995</v>
      </c>
      <c r="M94" s="475"/>
      <c r="N94" s="475"/>
      <c r="O94" s="475"/>
      <c r="P94" s="475"/>
      <c r="Q94" s="483">
        <f t="shared" si="184"/>
        <v>0.89000000000000012</v>
      </c>
      <c r="R94" s="484">
        <f>IF(B94=0.66,VLOOKUP(F94,'Данные ТНПА'!$B$8:$C$16,2,0),
IF(B94=1,VLOOKUP(F94,'Данные ТНПА'!$B$17:$C$37,2,0),"ошибка"))</f>
        <v>1.1000000000000001</v>
      </c>
      <c r="S94" s="485">
        <f t="shared" si="120"/>
        <v>8.4600000000000009</v>
      </c>
      <c r="T94" s="486"/>
      <c r="U94" s="487"/>
      <c r="V94" s="485">
        <f t="shared" si="121"/>
        <v>8.879999999999999</v>
      </c>
      <c r="W94" s="486"/>
      <c r="X94" s="487"/>
      <c r="Y94" s="489">
        <f t="shared" si="122"/>
        <v>0</v>
      </c>
      <c r="Z94" s="491">
        <f t="shared" si="123"/>
        <v>17.759999999999998</v>
      </c>
      <c r="AA94" s="237">
        <f t="shared" si="124"/>
        <v>0</v>
      </c>
      <c r="AB94" s="452">
        <f t="shared" si="185"/>
        <v>17.759999999999998</v>
      </c>
      <c r="AC94" s="201">
        <f t="shared" si="126"/>
        <v>0</v>
      </c>
      <c r="AD94" s="203">
        <f t="shared" si="186"/>
        <v>0</v>
      </c>
      <c r="AE94" s="37" t="str">
        <f t="shared" si="128"/>
        <v/>
      </c>
      <c r="AF94" s="202">
        <f t="shared" si="187"/>
        <v>0</v>
      </c>
      <c r="AG94" s="201">
        <f t="shared" si="188"/>
        <v>0</v>
      </c>
      <c r="AH94" s="61">
        <f t="shared" si="131"/>
        <v>17.759999999999998</v>
      </c>
      <c r="AI94" s="443">
        <f t="shared" si="233"/>
        <v>0</v>
      </c>
      <c r="AJ94" s="444">
        <f t="shared" si="189"/>
        <v>0</v>
      </c>
      <c r="AK94" s="445">
        <f t="shared" si="190"/>
        <v>0</v>
      </c>
      <c r="AL94" s="446">
        <f t="shared" si="191"/>
        <v>0</v>
      </c>
      <c r="AM94" s="447">
        <f t="shared" si="192"/>
        <v>0</v>
      </c>
      <c r="AN94" s="24">
        <f t="shared" si="193"/>
        <v>17.759999999999998</v>
      </c>
      <c r="AO94" s="443">
        <f t="shared" si="137"/>
        <v>0</v>
      </c>
      <c r="AP94" s="444">
        <f t="shared" si="194"/>
        <v>0</v>
      </c>
      <c r="AQ94" s="445">
        <f t="shared" si="195"/>
        <v>0</v>
      </c>
      <c r="AR94" s="446">
        <f t="shared" si="196"/>
        <v>0</v>
      </c>
      <c r="AS94" s="447">
        <f t="shared" si="197"/>
        <v>0</v>
      </c>
      <c r="AT94" s="24">
        <f t="shared" si="198"/>
        <v>17.759999999999998</v>
      </c>
      <c r="AU94" s="443">
        <f t="shared" si="143"/>
        <v>0</v>
      </c>
      <c r="AV94" s="444">
        <f t="shared" si="199"/>
        <v>0</v>
      </c>
      <c r="AW94" s="445">
        <f t="shared" si="200"/>
        <v>0</v>
      </c>
      <c r="AX94" s="446">
        <f t="shared" si="201"/>
        <v>0</v>
      </c>
      <c r="AY94" s="447">
        <f t="shared" si="202"/>
        <v>0</v>
      </c>
      <c r="AZ94" s="24">
        <f t="shared" si="203"/>
        <v>17.759999999999998</v>
      </c>
      <c r="BA94" s="43">
        <f>IF(BB94=0,0,
IF(D94=1,
(IF(AND(AH94&gt;'Данные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"ошибка_1"))))))),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"ошибка_2"))))))))</f>
        <v>0</v>
      </c>
      <c r="BB94" s="43">
        <f>IF(OR($AI$9=0,AND(D94&gt;1,F94&gt;10)),0,
IF(D94=1,
(IF(AND(AH94&gt;'Данные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"ошибка_1"))))))),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IF(AND(AH94&gt;'Данные ТНПА'!#REF!,AH94&lt;='Данные ТНПА'!#REF!),'Данные ТНПА'!#REF!,
"ошибка_2"))))))))</f>
        <v>0</v>
      </c>
      <c r="BC94" s="43">
        <f t="shared" si="204"/>
        <v>17.759999999999998</v>
      </c>
      <c r="BD94" s="237">
        <f t="shared" si="205"/>
        <v>0</v>
      </c>
      <c r="BE94" s="43">
        <f t="shared" si="206"/>
        <v>0</v>
      </c>
      <c r="BF94" s="201">
        <f t="shared" si="207"/>
        <v>0</v>
      </c>
      <c r="BG94" s="201">
        <f t="shared" si="208"/>
        <v>0</v>
      </c>
      <c r="BH94" s="61">
        <f t="shared" si="209"/>
        <v>17.759999999999998</v>
      </c>
      <c r="BI94" s="237">
        <f t="shared" si="210"/>
        <v>0</v>
      </c>
      <c r="BJ94" s="247">
        <f t="shared" si="211"/>
        <v>0</v>
      </c>
      <c r="BK94" s="431">
        <f t="shared" si="212"/>
        <v>0</v>
      </c>
      <c r="BL94" s="250">
        <f t="shared" si="213"/>
        <v>0</v>
      </c>
      <c r="BM94" s="237">
        <f t="shared" si="214"/>
        <v>0</v>
      </c>
      <c r="BN94" s="452">
        <f t="shared" si="215"/>
        <v>17.759999999999998</v>
      </c>
      <c r="BO94" s="237">
        <f t="shared" si="216"/>
        <v>0</v>
      </c>
      <c r="BP94" s="432">
        <f t="shared" si="217"/>
        <v>0</v>
      </c>
      <c r="BQ94" s="22" t="str">
        <f t="shared" si="218"/>
        <v/>
      </c>
      <c r="BR94" s="250">
        <f t="shared" si="219"/>
        <v>0</v>
      </c>
      <c r="BS94" s="237">
        <f t="shared" si="220"/>
        <v>0</v>
      </c>
      <c r="BT94" s="452">
        <f t="shared" si="221"/>
        <v>17.759999999999998</v>
      </c>
      <c r="BU94" s="492">
        <f t="shared" si="222"/>
        <v>1.3449999999999998</v>
      </c>
      <c r="BV94" s="493">
        <f>IF(BT94="","",
IF(AND(BT94&gt;'Данные ТНПА'!$K$8,BT94&lt;='Данные ТНПА'!$L$8),'Данные ТНПА'!$N$8,
IF(AND(BT94&gt;'Данные ТНПА'!$K$9,BT94&lt;='Данные ТНПА'!$L$9),'Данные ТНПА'!$N$9,
IF(AND(BT94&gt;'Данные ТНПА'!$K$10,BT94&lt;='Данные ТНПА'!$L$10),'Данные ТНПА'!$N$10,
IF(AND(BT94&gt;'Данные ТНПА'!$K$11,BT94&lt;='Данные ТНПА'!$L$11),'Данные ТНПА'!$N$11,
IF(AND(BT94&gt;'Данные ТНПА'!$K$12,BT94&lt;='Данные ТНПА'!$L$12),'Данные ТНПА'!$N$12,
IF(AND(BT94&gt;'Данные ТНПА'!$K$13,BT94&lt;='Данные ТНПА'!$L$13),'Данные ТНПА'!$N$13,
IF(AND(BT94&gt;'Данные ТНПА'!$K$14,BT94&lt;='Данные ТНПА'!$L$14),'Данные ТНПА'!$N$14))))))))</f>
        <v>1.7</v>
      </c>
      <c r="BW94" s="493">
        <f t="shared" si="223"/>
        <v>21.159999999999997</v>
      </c>
      <c r="BX94" s="457">
        <f t="shared" si="169"/>
        <v>190.32299999999998</v>
      </c>
      <c r="BY94" s="457">
        <f t="shared" si="170"/>
        <v>0</v>
      </c>
      <c r="BZ94" s="457">
        <f t="shared" si="171"/>
        <v>72.558186479525432</v>
      </c>
      <c r="CA94" s="457" t="e">
        <f t="shared" si="224"/>
        <v>#REF!</v>
      </c>
      <c r="CB94" s="458">
        <f t="shared" si="225"/>
        <v>0</v>
      </c>
      <c r="CC94" s="457">
        <f t="shared" si="226"/>
        <v>0</v>
      </c>
      <c r="CD94" s="457">
        <f t="shared" si="227"/>
        <v>0</v>
      </c>
      <c r="CE94" s="457">
        <f t="shared" si="228"/>
        <v>0</v>
      </c>
      <c r="CF94" s="457">
        <f t="shared" si="229"/>
        <v>0</v>
      </c>
      <c r="CG94" s="458">
        <f t="shared" si="178"/>
        <v>0</v>
      </c>
      <c r="CH94" s="457">
        <f t="shared" si="230"/>
        <v>0</v>
      </c>
      <c r="CI94" s="457">
        <f t="shared" si="231"/>
        <v>0</v>
      </c>
      <c r="CJ94" s="458">
        <f t="shared" si="232"/>
        <v>0</v>
      </c>
      <c r="CK94" s="458">
        <f t="shared" si="182"/>
        <v>151.32232484977973</v>
      </c>
      <c r="CL94" s="457">
        <f t="shared" si="183"/>
        <v>414.20351132930512</v>
      </c>
      <c r="CM94" s="504"/>
      <c r="CN94" s="504"/>
    </row>
    <row r="95" spans="1:92" s="207" customFormat="1" ht="14.25" hidden="1" customHeight="1" x14ac:dyDescent="0.25">
      <c r="A95" s="389" t="str">
        <f>IF(D95="",CONCATENATE("Кабель ",IF(C95="а","А",""),$A$9),CONCATENATE("Кабель ",IF(C95="а","А",""),$A$9," ",D95,"*",F95,IF(G95="ок"," (ож)","")," - ",B95," ",IF(G95="мс"," фас. ",""),$A$2))</f>
        <v>Кабель АВВГ 2*50 (ож) - 0,66 ГОСТ 16442-80</v>
      </c>
      <c r="B95" s="510">
        <v>0.66</v>
      </c>
      <c r="C95" s="451" t="s">
        <v>164</v>
      </c>
      <c r="D95" s="412">
        <v>2</v>
      </c>
      <c r="E95" s="413" t="s">
        <v>40</v>
      </c>
      <c r="F95" s="423">
        <v>50</v>
      </c>
      <c r="G95" s="414" t="s">
        <v>153</v>
      </c>
      <c r="H95" s="461">
        <v>7.9799999999999995</v>
      </c>
      <c r="I95" s="497">
        <v>1</v>
      </c>
      <c r="J95" s="498" t="s">
        <v>40</v>
      </c>
      <c r="K95" s="496">
        <f>ROUNDUP(SQRT(F95/PI()*4),2)</f>
        <v>7.9799999999999995</v>
      </c>
      <c r="L95" s="501">
        <v>8.15</v>
      </c>
      <c r="M95" s="475"/>
      <c r="N95" s="475"/>
      <c r="O95" s="475"/>
      <c r="P95" s="475"/>
      <c r="Q95" s="483">
        <f t="shared" si="184"/>
        <v>1.07</v>
      </c>
      <c r="R95" s="484">
        <f>IF(B95=0.66,VLOOKUP(F95,'Данные ТНПА'!$B$8:$C$16,2,0),
IF(B95=1,VLOOKUP(F95,'Данные ТНПА'!$B$17:$C$37,2,0),"ошибка"))</f>
        <v>1.3</v>
      </c>
      <c r="S95" s="485">
        <f t="shared" si="120"/>
        <v>10.119999999999999</v>
      </c>
      <c r="T95" s="486"/>
      <c r="U95" s="487"/>
      <c r="V95" s="485">
        <f t="shared" si="121"/>
        <v>10.58</v>
      </c>
      <c r="W95" s="486"/>
      <c r="X95" s="487"/>
      <c r="Y95" s="489">
        <f t="shared" si="122"/>
        <v>0</v>
      </c>
      <c r="Z95" s="491">
        <f t="shared" si="123"/>
        <v>21.16</v>
      </c>
      <c r="AA95" s="237">
        <f t="shared" si="124"/>
        <v>0</v>
      </c>
      <c r="AB95" s="452">
        <f t="shared" si="185"/>
        <v>21.16</v>
      </c>
      <c r="AC95" s="201">
        <f t="shared" si="126"/>
        <v>0</v>
      </c>
      <c r="AD95" s="203">
        <f t="shared" si="186"/>
        <v>0</v>
      </c>
      <c r="AE95" s="37" t="str">
        <f t="shared" si="128"/>
        <v/>
      </c>
      <c r="AF95" s="202">
        <f t="shared" si="187"/>
        <v>0</v>
      </c>
      <c r="AG95" s="201">
        <f t="shared" si="188"/>
        <v>0</v>
      </c>
      <c r="AH95" s="61">
        <f t="shared" si="131"/>
        <v>21.16</v>
      </c>
      <c r="AI95" s="443">
        <f t="shared" si="233"/>
        <v>0</v>
      </c>
      <c r="AJ95" s="444">
        <f t="shared" si="189"/>
        <v>0</v>
      </c>
      <c r="AK95" s="445">
        <f t="shared" si="190"/>
        <v>0</v>
      </c>
      <c r="AL95" s="446">
        <f t="shared" si="191"/>
        <v>0</v>
      </c>
      <c r="AM95" s="447">
        <f t="shared" si="192"/>
        <v>0</v>
      </c>
      <c r="AN95" s="24">
        <f t="shared" si="193"/>
        <v>21.16</v>
      </c>
      <c r="AO95" s="443">
        <f t="shared" si="137"/>
        <v>0</v>
      </c>
      <c r="AP95" s="444">
        <f t="shared" si="194"/>
        <v>0</v>
      </c>
      <c r="AQ95" s="445">
        <f t="shared" si="195"/>
        <v>0</v>
      </c>
      <c r="AR95" s="446">
        <f t="shared" si="196"/>
        <v>0</v>
      </c>
      <c r="AS95" s="447">
        <f t="shared" si="197"/>
        <v>0</v>
      </c>
      <c r="AT95" s="24">
        <f t="shared" si="198"/>
        <v>21.16</v>
      </c>
      <c r="AU95" s="443">
        <f t="shared" si="143"/>
        <v>0</v>
      </c>
      <c r="AV95" s="444">
        <f t="shared" si="199"/>
        <v>0</v>
      </c>
      <c r="AW95" s="445">
        <f t="shared" si="200"/>
        <v>0</v>
      </c>
      <c r="AX95" s="446">
        <f t="shared" si="201"/>
        <v>0</v>
      </c>
      <c r="AY95" s="447">
        <f t="shared" si="202"/>
        <v>0</v>
      </c>
      <c r="AZ95" s="24">
        <f t="shared" si="203"/>
        <v>21.16</v>
      </c>
      <c r="BA95" s="43">
        <f>IF(BB95=0,0,
IF(D95=1,
(IF(AND(AH95&gt;'Данные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"ошибка_1"))))))),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"ошибка_2"))))))))</f>
        <v>0</v>
      </c>
      <c r="BB95" s="43">
        <f>IF(OR($AI$9=0,AND(D95&gt;1,F95&gt;10)),0,
IF(D95=1,
(IF(AND(AH95&gt;'Данные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"ошибка_1"))))))),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IF(AND(AH95&gt;'Данные ТНПА'!#REF!,AH95&lt;='Данные ТНПА'!#REF!),'Данные ТНПА'!#REF!,
"ошибка_2"))))))))</f>
        <v>0</v>
      </c>
      <c r="BC95" s="43">
        <f t="shared" si="204"/>
        <v>21.16</v>
      </c>
      <c r="BD95" s="237">
        <f t="shared" si="205"/>
        <v>0</v>
      </c>
      <c r="BE95" s="43">
        <f t="shared" si="206"/>
        <v>0</v>
      </c>
      <c r="BF95" s="201">
        <f t="shared" si="207"/>
        <v>0</v>
      </c>
      <c r="BG95" s="201">
        <f t="shared" si="208"/>
        <v>0</v>
      </c>
      <c r="BH95" s="61">
        <f t="shared" si="209"/>
        <v>21.16</v>
      </c>
      <c r="BI95" s="237">
        <f t="shared" si="210"/>
        <v>0</v>
      </c>
      <c r="BJ95" s="247">
        <f t="shared" si="211"/>
        <v>0</v>
      </c>
      <c r="BK95" s="431">
        <f t="shared" si="212"/>
        <v>0</v>
      </c>
      <c r="BL95" s="250">
        <f t="shared" si="213"/>
        <v>0</v>
      </c>
      <c r="BM95" s="237">
        <f t="shared" si="214"/>
        <v>0</v>
      </c>
      <c r="BN95" s="452">
        <f t="shared" si="215"/>
        <v>21.16</v>
      </c>
      <c r="BO95" s="237">
        <f t="shared" si="216"/>
        <v>0</v>
      </c>
      <c r="BP95" s="432">
        <f t="shared" si="217"/>
        <v>0</v>
      </c>
      <c r="BQ95" s="22" t="str">
        <f t="shared" si="218"/>
        <v/>
      </c>
      <c r="BR95" s="250">
        <f t="shared" si="219"/>
        <v>0</v>
      </c>
      <c r="BS95" s="237">
        <f t="shared" si="220"/>
        <v>0</v>
      </c>
      <c r="BT95" s="452">
        <f t="shared" si="221"/>
        <v>21.16</v>
      </c>
      <c r="BU95" s="492">
        <f t="shared" si="222"/>
        <v>1.5149999999999999</v>
      </c>
      <c r="BV95" s="493">
        <f>IF(BT95="","",
IF(AND(BT95&gt;'Данные ТНПА'!$K$8,BT95&lt;='Данные ТНПА'!$L$8),'Данные ТНПА'!$N$8,
IF(AND(BT95&gt;'Данные ТНПА'!$K$9,BT95&lt;='Данные ТНПА'!$L$9),'Данные ТНПА'!$N$9,
IF(AND(BT95&gt;'Данные ТНПА'!$K$10,BT95&lt;='Данные ТНПА'!$L$10),'Данные ТНПА'!$N$10,
IF(AND(BT95&gt;'Данные ТНПА'!$K$11,BT95&lt;='Данные ТНПА'!$L$11),'Данные ТНПА'!$N$11,
IF(AND(BT95&gt;'Данные ТНПА'!$K$12,BT95&lt;='Данные ТНПА'!$L$12),'Данные ТНПА'!$N$12,
IF(AND(BT95&gt;'Данные ТНПА'!$K$13,BT95&lt;='Данные ТНПА'!$L$13),'Данные ТНПА'!$N$13,
IF(AND(BT95&gt;'Данные ТНПА'!$K$14,BT95&lt;='Данные ТНПА'!$L$14),'Данные ТНПА'!$N$14))))))))</f>
        <v>1.9</v>
      </c>
      <c r="BW95" s="493">
        <f t="shared" si="223"/>
        <v>24.96</v>
      </c>
      <c r="BX95" s="457">
        <f t="shared" si="169"/>
        <v>271.89</v>
      </c>
      <c r="BY95" s="457">
        <f t="shared" si="170"/>
        <v>0</v>
      </c>
      <c r="BZ95" s="457">
        <f t="shared" si="171"/>
        <v>102.2834729713712</v>
      </c>
      <c r="CA95" s="457" t="e">
        <f t="shared" si="224"/>
        <v>#REF!</v>
      </c>
      <c r="CB95" s="458">
        <f t="shared" si="225"/>
        <v>0</v>
      </c>
      <c r="CC95" s="457">
        <f t="shared" si="226"/>
        <v>0</v>
      </c>
      <c r="CD95" s="457">
        <f t="shared" si="227"/>
        <v>0</v>
      </c>
      <c r="CE95" s="457">
        <f t="shared" si="228"/>
        <v>0</v>
      </c>
      <c r="CF95" s="457">
        <f t="shared" si="229"/>
        <v>0</v>
      </c>
      <c r="CG95" s="458">
        <f t="shared" si="178"/>
        <v>0</v>
      </c>
      <c r="CH95" s="457">
        <f t="shared" si="230"/>
        <v>0</v>
      </c>
      <c r="CI95" s="457">
        <f t="shared" si="231"/>
        <v>0</v>
      </c>
      <c r="CJ95" s="458">
        <f t="shared" si="232"/>
        <v>0</v>
      </c>
      <c r="CK95" s="458">
        <f t="shared" si="182"/>
        <v>200.4121982035019</v>
      </c>
      <c r="CL95" s="457">
        <f t="shared" si="183"/>
        <v>574.58567117487314</v>
      </c>
      <c r="CM95" s="504"/>
      <c r="CN95" s="504"/>
    </row>
    <row r="96" spans="1:92" s="207" customFormat="1" ht="14.25" hidden="1" customHeight="1" x14ac:dyDescent="0.25">
      <c r="A96" s="389" t="str">
        <f>IF(D96="",CONCATENATE("Кабель ",IF(C96="а","А",""),$A$9),CONCATENATE("Кабель ",IF(C96="а","А",""),$A$9," ",D96,"*",F96,IF(G96="ок"," (ож)","")," - ",B96," ",IF(G96="мс"," фас. ",""),$A$2))</f>
        <v>Кабель АВВГ 3*25 - 0,66 ГОСТ 16442-80</v>
      </c>
      <c r="B96" s="511">
        <v>0.66</v>
      </c>
      <c r="C96" s="451" t="s">
        <v>164</v>
      </c>
      <c r="D96" s="412">
        <v>3</v>
      </c>
      <c r="E96" s="413" t="s">
        <v>40</v>
      </c>
      <c r="F96" s="423">
        <v>25</v>
      </c>
      <c r="G96" s="414" t="str">
        <f>IF(I96=1,"ок","мк")</f>
        <v>мк</v>
      </c>
      <c r="H96" s="461">
        <v>2.21</v>
      </c>
      <c r="I96" s="476">
        <v>7</v>
      </c>
      <c r="J96" s="477" t="s">
        <v>40</v>
      </c>
      <c r="K96" s="470">
        <f>ROUNDUP(SQRT(F96/I96/PI()*4*1.07),2)</f>
        <v>2.21</v>
      </c>
      <c r="L96" s="501">
        <v>1.79</v>
      </c>
      <c r="M96" s="475"/>
      <c r="N96" s="475"/>
      <c r="O96" s="475"/>
      <c r="P96" s="475"/>
      <c r="Q96" s="483">
        <f t="shared" si="184"/>
        <v>0.89000000000000012</v>
      </c>
      <c r="R96" s="484">
        <f>IF(B96=0.66,VLOOKUP(F96,'Данные ТНПА'!$B$8:$C$16,2,0),
IF(B96=1,VLOOKUP(F96,'Данные ТНПА'!$B$17:$C$37,2,0),"ошибка"))</f>
        <v>1.1000000000000001</v>
      </c>
      <c r="S96" s="485">
        <f t="shared" si="120"/>
        <v>3.5700000000000003</v>
      </c>
      <c r="T96" s="486"/>
      <c r="U96" s="487"/>
      <c r="V96" s="485">
        <f t="shared" si="121"/>
        <v>3.99</v>
      </c>
      <c r="W96" s="486"/>
      <c r="X96" s="487"/>
      <c r="Y96" s="489">
        <f t="shared" si="122"/>
        <v>0</v>
      </c>
      <c r="Z96" s="491">
        <f t="shared" si="123"/>
        <v>8.5785</v>
      </c>
      <c r="AA96" s="237">
        <f t="shared" si="124"/>
        <v>0</v>
      </c>
      <c r="AB96" s="452">
        <f t="shared" si="185"/>
        <v>8.5785</v>
      </c>
      <c r="AC96" s="201">
        <f t="shared" si="126"/>
        <v>0</v>
      </c>
      <c r="AD96" s="203">
        <f t="shared" si="186"/>
        <v>0</v>
      </c>
      <c r="AE96" s="37" t="str">
        <f t="shared" si="128"/>
        <v/>
      </c>
      <c r="AF96" s="202">
        <f t="shared" si="187"/>
        <v>0</v>
      </c>
      <c r="AG96" s="201">
        <f t="shared" si="188"/>
        <v>0</v>
      </c>
      <c r="AH96" s="61">
        <f t="shared" si="131"/>
        <v>8.5785</v>
      </c>
      <c r="AI96" s="443">
        <f t="shared" si="233"/>
        <v>0</v>
      </c>
      <c r="AJ96" s="444">
        <f t="shared" si="189"/>
        <v>0</v>
      </c>
      <c r="AK96" s="445">
        <f t="shared" si="190"/>
        <v>0</v>
      </c>
      <c r="AL96" s="446">
        <f t="shared" si="191"/>
        <v>0</v>
      </c>
      <c r="AM96" s="447">
        <f t="shared" si="192"/>
        <v>0</v>
      </c>
      <c r="AN96" s="24">
        <f t="shared" si="193"/>
        <v>8.5785</v>
      </c>
      <c r="AO96" s="443">
        <f t="shared" si="137"/>
        <v>0</v>
      </c>
      <c r="AP96" s="444">
        <f t="shared" si="194"/>
        <v>0</v>
      </c>
      <c r="AQ96" s="445">
        <f t="shared" si="195"/>
        <v>0</v>
      </c>
      <c r="AR96" s="446">
        <f t="shared" si="196"/>
        <v>0</v>
      </c>
      <c r="AS96" s="447">
        <f t="shared" si="197"/>
        <v>0</v>
      </c>
      <c r="AT96" s="24">
        <f t="shared" si="198"/>
        <v>8.5785</v>
      </c>
      <c r="AU96" s="443">
        <f t="shared" si="143"/>
        <v>0</v>
      </c>
      <c r="AV96" s="444">
        <f t="shared" si="199"/>
        <v>0</v>
      </c>
      <c r="AW96" s="445">
        <f t="shared" si="200"/>
        <v>0</v>
      </c>
      <c r="AX96" s="446">
        <f t="shared" si="201"/>
        <v>0</v>
      </c>
      <c r="AY96" s="447">
        <f t="shared" si="202"/>
        <v>0</v>
      </c>
      <c r="AZ96" s="24">
        <f t="shared" si="203"/>
        <v>8.5785</v>
      </c>
      <c r="BA96" s="43">
        <f>IF(BB96=0,0,
IF(D96=1,
(IF(AND(AH96&gt;'Данные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"ошибка_1"))))))),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"ошибка_2"))))))))</f>
        <v>0</v>
      </c>
      <c r="BB96" s="43">
        <f>IF(OR($AI$9=0,AND(D96&gt;1,F96&gt;10)),0,
IF(D96=1,
(IF(AND(AH96&gt;'Данные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"ошибка_1"))))))),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IF(AND(AH96&gt;'Данные ТНПА'!#REF!,AH96&lt;='Данные ТНПА'!#REF!),'Данные ТНПА'!#REF!,
"ошибка_2"))))))))</f>
        <v>0</v>
      </c>
      <c r="BC96" s="43">
        <f t="shared" si="204"/>
        <v>8.5785</v>
      </c>
      <c r="BD96" s="237">
        <f t="shared" si="205"/>
        <v>0</v>
      </c>
      <c r="BE96" s="43">
        <f t="shared" si="206"/>
        <v>0</v>
      </c>
      <c r="BF96" s="201">
        <f t="shared" si="207"/>
        <v>0</v>
      </c>
      <c r="BG96" s="201">
        <f t="shared" si="208"/>
        <v>0</v>
      </c>
      <c r="BH96" s="61">
        <f t="shared" si="209"/>
        <v>8.5785</v>
      </c>
      <c r="BI96" s="237">
        <f t="shared" si="210"/>
        <v>0</v>
      </c>
      <c r="BJ96" s="247">
        <f t="shared" si="211"/>
        <v>0</v>
      </c>
      <c r="BK96" s="431">
        <f t="shared" si="212"/>
        <v>0</v>
      </c>
      <c r="BL96" s="250">
        <f t="shared" si="213"/>
        <v>0</v>
      </c>
      <c r="BM96" s="237">
        <f t="shared" si="214"/>
        <v>0</v>
      </c>
      <c r="BN96" s="452">
        <f t="shared" si="215"/>
        <v>8.5785</v>
      </c>
      <c r="BO96" s="237">
        <f t="shared" si="216"/>
        <v>0</v>
      </c>
      <c r="BP96" s="432">
        <f t="shared" si="217"/>
        <v>0</v>
      </c>
      <c r="BQ96" s="22" t="str">
        <f t="shared" si="218"/>
        <v/>
      </c>
      <c r="BR96" s="250">
        <f t="shared" si="219"/>
        <v>0</v>
      </c>
      <c r="BS96" s="237">
        <f t="shared" si="220"/>
        <v>0</v>
      </c>
      <c r="BT96" s="452">
        <f t="shared" si="221"/>
        <v>8.5785</v>
      </c>
      <c r="BU96" s="492">
        <f t="shared" si="222"/>
        <v>1.1749999999999998</v>
      </c>
      <c r="BV96" s="493">
        <f>IF(BT96="","",
IF(AND(BT96&gt;'Данные ТНПА'!$K$8,BT96&lt;='Данные ТНПА'!$L$8),'Данные ТНПА'!$N$8,
IF(AND(BT96&gt;'Данные ТНПА'!$K$9,BT96&lt;='Данные ТНПА'!$L$9),'Данные ТНПА'!$N$9,
IF(AND(BT96&gt;'Данные ТНПА'!$K$10,BT96&lt;='Данные ТНПА'!$L$10),'Данные ТНПА'!$N$10,
IF(AND(BT96&gt;'Данные ТНПА'!$K$11,BT96&lt;='Данные ТНПА'!$L$11),'Данные ТНПА'!$N$11,
IF(AND(BT96&gt;'Данные ТНПА'!$K$12,BT96&lt;='Данные ТНПА'!$L$12),'Данные ТНПА'!$N$12,
IF(AND(BT96&gt;'Данные ТНПА'!$K$13,BT96&lt;='Данные ТНПА'!$L$13),'Данные ТНПА'!$N$13,
IF(AND(BT96&gt;'Данные ТНПА'!$K$14,BT96&lt;='Данные ТНПА'!$L$14),'Данные ТНПА'!$N$14))))))))</f>
        <v>1.5</v>
      </c>
      <c r="BW96" s="493">
        <f t="shared" si="223"/>
        <v>11.5785</v>
      </c>
      <c r="BX96" s="457">
        <f t="shared" si="169"/>
        <v>203.91749999999999</v>
      </c>
      <c r="BY96" s="457">
        <f t="shared" si="170"/>
        <v>0</v>
      </c>
      <c r="BZ96" s="457">
        <f t="shared" si="171"/>
        <v>44.472199515117865</v>
      </c>
      <c r="CA96" s="457" t="e">
        <f t="shared" si="224"/>
        <v>#REF!</v>
      </c>
      <c r="CB96" s="458">
        <f t="shared" si="225"/>
        <v>0</v>
      </c>
      <c r="CC96" s="457">
        <f t="shared" si="226"/>
        <v>0</v>
      </c>
      <c r="CD96" s="457">
        <f t="shared" si="227"/>
        <v>0</v>
      </c>
      <c r="CE96" s="457">
        <f t="shared" si="228"/>
        <v>0</v>
      </c>
      <c r="CF96" s="457">
        <f t="shared" si="229"/>
        <v>0</v>
      </c>
      <c r="CG96" s="458">
        <f t="shared" si="178"/>
        <v>0</v>
      </c>
      <c r="CH96" s="457">
        <f t="shared" si="230"/>
        <v>0</v>
      </c>
      <c r="CI96" s="457">
        <f t="shared" si="231"/>
        <v>0</v>
      </c>
      <c r="CJ96" s="458">
        <f t="shared" si="232"/>
        <v>0</v>
      </c>
      <c r="CK96" s="458">
        <f t="shared" si="182"/>
        <v>69.150990765303135</v>
      </c>
      <c r="CL96" s="457">
        <f t="shared" si="183"/>
        <v>317.54069028042102</v>
      </c>
      <c r="CM96" s="504"/>
      <c r="CN96" s="504"/>
    </row>
    <row r="97" spans="1:92" s="207" customFormat="1" ht="14.25" hidden="1" customHeight="1" x14ac:dyDescent="0.25">
      <c r="A97" s="389" t="str">
        <f>IF(D97="",CONCATENATE("Кабель ",IF(C97="а","А",""),$A$9),CONCATENATE("Кабель ",IF(C97="а","А",""),$A$9," ",D97,"*",F97,IF(G97="ок"," (ож)","")," - ",B97," ",IF(G97="мс"," фас. ",""),$A$2))</f>
        <v>Кабель АВВГ 3*35 - 0,66 ГОСТ 16442-80</v>
      </c>
      <c r="B97" s="450">
        <v>0.66</v>
      </c>
      <c r="C97" s="451" t="s">
        <v>164</v>
      </c>
      <c r="D97" s="412">
        <v>3</v>
      </c>
      <c r="E97" s="413" t="s">
        <v>40</v>
      </c>
      <c r="F97" s="423">
        <v>35</v>
      </c>
      <c r="G97" s="414" t="str">
        <f>IF(I97=1,"ок","мк")</f>
        <v>мк</v>
      </c>
      <c r="H97" s="461">
        <v>2.61</v>
      </c>
      <c r="I97" s="476">
        <v>7</v>
      </c>
      <c r="J97" s="477" t="s">
        <v>40</v>
      </c>
      <c r="K97" s="470">
        <f>ROUNDUP(SQRT(F97/I97/PI()*4*1.07),2)</f>
        <v>2.61</v>
      </c>
      <c r="L97" s="501">
        <v>2.2599999999999998</v>
      </c>
      <c r="M97" s="475"/>
      <c r="N97" s="475"/>
      <c r="O97" s="475"/>
      <c r="P97" s="475"/>
      <c r="Q97" s="483">
        <f t="shared" si="184"/>
        <v>0.89000000000000012</v>
      </c>
      <c r="R97" s="484">
        <f>IF(B97=0.66,VLOOKUP(F97,'Данные ТНПА'!$B$8:$C$16,2,0),
IF(B97=1,VLOOKUP(F97,'Данные ТНПА'!$B$17:$C$37,2,0),"ошибка"))</f>
        <v>1.1000000000000001</v>
      </c>
      <c r="S97" s="485">
        <f t="shared" si="120"/>
        <v>4.04</v>
      </c>
      <c r="T97" s="486"/>
      <c r="U97" s="487"/>
      <c r="V97" s="485">
        <f t="shared" si="121"/>
        <v>4.46</v>
      </c>
      <c r="W97" s="486"/>
      <c r="X97" s="487"/>
      <c r="Y97" s="489">
        <f t="shared" si="122"/>
        <v>0</v>
      </c>
      <c r="Z97" s="491">
        <f t="shared" si="123"/>
        <v>9.5890000000000004</v>
      </c>
      <c r="AA97" s="237">
        <f t="shared" si="124"/>
        <v>0</v>
      </c>
      <c r="AB97" s="452">
        <f t="shared" si="185"/>
        <v>9.5890000000000004</v>
      </c>
      <c r="AC97" s="201">
        <f t="shared" si="126"/>
        <v>0</v>
      </c>
      <c r="AD97" s="203">
        <f t="shared" si="186"/>
        <v>0</v>
      </c>
      <c r="AE97" s="37" t="str">
        <f t="shared" si="128"/>
        <v/>
      </c>
      <c r="AF97" s="202">
        <f t="shared" si="187"/>
        <v>0</v>
      </c>
      <c r="AG97" s="201">
        <f t="shared" si="188"/>
        <v>0</v>
      </c>
      <c r="AH97" s="61">
        <f t="shared" si="131"/>
        <v>9.5890000000000004</v>
      </c>
      <c r="AI97" s="443">
        <f t="shared" si="233"/>
        <v>0</v>
      </c>
      <c r="AJ97" s="444">
        <f t="shared" si="189"/>
        <v>0</v>
      </c>
      <c r="AK97" s="445">
        <f t="shared" si="190"/>
        <v>0</v>
      </c>
      <c r="AL97" s="446">
        <f t="shared" si="191"/>
        <v>0</v>
      </c>
      <c r="AM97" s="447">
        <f t="shared" si="192"/>
        <v>0</v>
      </c>
      <c r="AN97" s="24">
        <f t="shared" si="193"/>
        <v>9.5890000000000004</v>
      </c>
      <c r="AO97" s="443">
        <f t="shared" si="137"/>
        <v>0</v>
      </c>
      <c r="AP97" s="444">
        <f t="shared" si="194"/>
        <v>0</v>
      </c>
      <c r="AQ97" s="445">
        <f t="shared" si="195"/>
        <v>0</v>
      </c>
      <c r="AR97" s="446">
        <f t="shared" si="196"/>
        <v>0</v>
      </c>
      <c r="AS97" s="447">
        <f t="shared" si="197"/>
        <v>0</v>
      </c>
      <c r="AT97" s="24">
        <f t="shared" si="198"/>
        <v>9.5890000000000004</v>
      </c>
      <c r="AU97" s="443">
        <f t="shared" si="143"/>
        <v>0</v>
      </c>
      <c r="AV97" s="444">
        <f t="shared" si="199"/>
        <v>0</v>
      </c>
      <c r="AW97" s="445">
        <f t="shared" si="200"/>
        <v>0</v>
      </c>
      <c r="AX97" s="446">
        <f t="shared" si="201"/>
        <v>0</v>
      </c>
      <c r="AY97" s="447">
        <f t="shared" si="202"/>
        <v>0</v>
      </c>
      <c r="AZ97" s="24">
        <f t="shared" si="203"/>
        <v>9.5890000000000004</v>
      </c>
      <c r="BA97" s="43">
        <f>IF(BB97=0,0,
IF(D97=1,
(IF(AND(AH97&gt;'Данные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"ошибка_1"))))))),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"ошибка_2"))))))))</f>
        <v>0</v>
      </c>
      <c r="BB97" s="43">
        <f>IF(OR($AI$9=0,AND(D97&gt;1,F97&gt;10)),0,
IF(D97=1,
(IF(AND(AH97&gt;'Данные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"ошибка_1"))))))),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IF(AND(AH97&gt;'Данные ТНПА'!#REF!,AH97&lt;='Данные ТНПА'!#REF!),'Данные ТНПА'!#REF!,
"ошибка_2"))))))))</f>
        <v>0</v>
      </c>
      <c r="BC97" s="43">
        <f t="shared" si="204"/>
        <v>9.5890000000000004</v>
      </c>
      <c r="BD97" s="237">
        <f t="shared" si="205"/>
        <v>0</v>
      </c>
      <c r="BE97" s="43">
        <f t="shared" si="206"/>
        <v>0</v>
      </c>
      <c r="BF97" s="201">
        <f t="shared" si="207"/>
        <v>0</v>
      </c>
      <c r="BG97" s="201">
        <f t="shared" si="208"/>
        <v>0</v>
      </c>
      <c r="BH97" s="61">
        <f t="shared" si="209"/>
        <v>9.5890000000000004</v>
      </c>
      <c r="BI97" s="237">
        <f t="shared" si="210"/>
        <v>0</v>
      </c>
      <c r="BJ97" s="247">
        <f t="shared" si="211"/>
        <v>0</v>
      </c>
      <c r="BK97" s="431">
        <f t="shared" si="212"/>
        <v>0</v>
      </c>
      <c r="BL97" s="250">
        <f t="shared" si="213"/>
        <v>0</v>
      </c>
      <c r="BM97" s="237">
        <f t="shared" si="214"/>
        <v>0</v>
      </c>
      <c r="BN97" s="452">
        <f t="shared" si="215"/>
        <v>9.5890000000000004</v>
      </c>
      <c r="BO97" s="237">
        <f t="shared" si="216"/>
        <v>0</v>
      </c>
      <c r="BP97" s="432">
        <f t="shared" si="217"/>
        <v>0</v>
      </c>
      <c r="BQ97" s="22" t="str">
        <f t="shared" si="218"/>
        <v/>
      </c>
      <c r="BR97" s="250">
        <f t="shared" si="219"/>
        <v>0</v>
      </c>
      <c r="BS97" s="237">
        <f t="shared" si="220"/>
        <v>0</v>
      </c>
      <c r="BT97" s="452">
        <f t="shared" si="221"/>
        <v>9.5890000000000004</v>
      </c>
      <c r="BU97" s="492">
        <f t="shared" si="222"/>
        <v>1.1749999999999998</v>
      </c>
      <c r="BV97" s="493">
        <f>IF(BT97="","",
IF(AND(BT97&gt;'Данные ТНПА'!$K$8,BT97&lt;='Данные ТНПА'!$L$8),'Данные ТНПА'!$N$8,
IF(AND(BT97&gt;'Данные ТНПА'!$K$9,BT97&lt;='Данные ТНПА'!$L$9),'Данные ТНПА'!$N$9,
IF(AND(BT97&gt;'Данные ТНПА'!$K$10,BT97&lt;='Данные ТНПА'!$L$10),'Данные ТНПА'!$N$10,
IF(AND(BT97&gt;'Данные ТНПА'!$K$11,BT97&lt;='Данные ТНПА'!$L$11),'Данные ТНПА'!$N$11,
IF(AND(BT97&gt;'Данные ТНПА'!$K$12,BT97&lt;='Данные ТНПА'!$L$12),'Данные ТНПА'!$N$12,
IF(AND(BT97&gt;'Данные ТНПА'!$K$13,BT97&lt;='Данные ТНПА'!$L$13),'Данные ТНПА'!$N$13,
IF(AND(BT97&gt;'Данные ТНПА'!$K$14,BT97&lt;='Данные ТНПА'!$L$14),'Данные ТНПА'!$N$14))))))))</f>
        <v>1.5</v>
      </c>
      <c r="BW97" s="493">
        <f t="shared" si="223"/>
        <v>12.589</v>
      </c>
      <c r="BX97" s="457">
        <f t="shared" si="169"/>
        <v>285.48449999999997</v>
      </c>
      <c r="BY97" s="457">
        <f t="shared" si="170"/>
        <v>0</v>
      </c>
      <c r="BZ97" s="457">
        <f t="shared" si="171"/>
        <v>51.704702550448459</v>
      </c>
      <c r="CA97" s="457" t="e">
        <f t="shared" si="224"/>
        <v>#REF!</v>
      </c>
      <c r="CB97" s="458">
        <f t="shared" si="225"/>
        <v>0</v>
      </c>
      <c r="CC97" s="457">
        <f t="shared" si="226"/>
        <v>0</v>
      </c>
      <c r="CD97" s="457">
        <f t="shared" si="227"/>
        <v>0</v>
      </c>
      <c r="CE97" s="457">
        <f t="shared" si="228"/>
        <v>0</v>
      </c>
      <c r="CF97" s="457">
        <f t="shared" si="229"/>
        <v>0</v>
      </c>
      <c r="CG97" s="458">
        <f t="shared" si="178"/>
        <v>0</v>
      </c>
      <c r="CH97" s="457">
        <f t="shared" si="230"/>
        <v>0</v>
      </c>
      <c r="CI97" s="457">
        <f t="shared" si="231"/>
        <v>0</v>
      </c>
      <c r="CJ97" s="458">
        <f t="shared" si="232"/>
        <v>0</v>
      </c>
      <c r="CK97" s="458">
        <f t="shared" si="182"/>
        <v>76.084272123475358</v>
      </c>
      <c r="CL97" s="457">
        <f t="shared" si="183"/>
        <v>413.27347467392383</v>
      </c>
      <c r="CM97" s="504"/>
      <c r="CN97" s="504"/>
    </row>
    <row r="98" spans="1:92" s="207" customFormat="1" ht="14.25" hidden="1" customHeight="1" x14ac:dyDescent="0.25">
      <c r="A98" s="389" t="str">
        <f>IF(D98="",CONCATENATE("Кабель ",IF(C98="а","А",""),$A$9),CONCATENATE("Кабель ",IF(C98="а","А",""),$A$9," ",D98,"*",F98,IF(G98="ок"," (ож)","")," - ",B98," ",IF(G98="мс"," фас. ",""),$A$2))</f>
        <v>Кабель АВВГ 3*50 - 0,66 ГОСТ 16442-80</v>
      </c>
      <c r="B98" s="450">
        <v>0.66</v>
      </c>
      <c r="C98" s="451" t="s">
        <v>164</v>
      </c>
      <c r="D98" s="412">
        <v>3</v>
      </c>
      <c r="E98" s="413" t="s">
        <v>40</v>
      </c>
      <c r="F98" s="423">
        <v>50</v>
      </c>
      <c r="G98" s="414" t="str">
        <f>IF(I98=1,"ок","мк")</f>
        <v>мк</v>
      </c>
      <c r="H98" s="461">
        <v>3.1199999999999997</v>
      </c>
      <c r="I98" s="476">
        <v>7</v>
      </c>
      <c r="J98" s="477" t="s">
        <v>40</v>
      </c>
      <c r="K98" s="470">
        <f>ROUNDUP(SQRT(F98/I98/PI()*4*1.07),2)</f>
        <v>3.1199999999999997</v>
      </c>
      <c r="L98" s="501">
        <v>2.7699999999999996</v>
      </c>
      <c r="M98" s="475"/>
      <c r="N98" s="475"/>
      <c r="O98" s="475"/>
      <c r="P98" s="475"/>
      <c r="Q98" s="483">
        <f t="shared" si="184"/>
        <v>1.07</v>
      </c>
      <c r="R98" s="484">
        <f>IF(B98=0.66,VLOOKUP(F98,'Данные ТНПА'!$B$8:$C$16,2,0),
IF(B98=1,VLOOKUP(F98,'Данные ТНПА'!$B$17:$C$37,2,0),"ошибка"))</f>
        <v>1.3</v>
      </c>
      <c r="S98" s="485">
        <f t="shared" si="120"/>
        <v>4.91</v>
      </c>
      <c r="T98" s="486"/>
      <c r="U98" s="487"/>
      <c r="V98" s="485">
        <f t="shared" si="121"/>
        <v>5.3699999999999992</v>
      </c>
      <c r="W98" s="486"/>
      <c r="X98" s="487"/>
      <c r="Y98" s="489">
        <f t="shared" si="122"/>
        <v>0</v>
      </c>
      <c r="Z98" s="491">
        <f t="shared" si="123"/>
        <v>11.545499999999997</v>
      </c>
      <c r="AA98" s="237">
        <f t="shared" si="124"/>
        <v>0</v>
      </c>
      <c r="AB98" s="452">
        <f t="shared" si="185"/>
        <v>11.545499999999997</v>
      </c>
      <c r="AC98" s="201">
        <f t="shared" si="126"/>
        <v>0</v>
      </c>
      <c r="AD98" s="203">
        <f t="shared" si="186"/>
        <v>0</v>
      </c>
      <c r="AE98" s="37" t="str">
        <f t="shared" si="128"/>
        <v/>
      </c>
      <c r="AF98" s="202">
        <f t="shared" si="187"/>
        <v>0</v>
      </c>
      <c r="AG98" s="201">
        <f t="shared" si="188"/>
        <v>0</v>
      </c>
      <c r="AH98" s="61">
        <f t="shared" si="131"/>
        <v>11.545499999999997</v>
      </c>
      <c r="AI98" s="443">
        <f t="shared" si="233"/>
        <v>0</v>
      </c>
      <c r="AJ98" s="444">
        <f t="shared" si="189"/>
        <v>0</v>
      </c>
      <c r="AK98" s="445">
        <f t="shared" si="190"/>
        <v>0</v>
      </c>
      <c r="AL98" s="446">
        <f t="shared" si="191"/>
        <v>0</v>
      </c>
      <c r="AM98" s="447">
        <f t="shared" si="192"/>
        <v>0</v>
      </c>
      <c r="AN98" s="24">
        <f t="shared" si="193"/>
        <v>11.545499999999997</v>
      </c>
      <c r="AO98" s="443">
        <f t="shared" si="137"/>
        <v>0</v>
      </c>
      <c r="AP98" s="444">
        <f t="shared" si="194"/>
        <v>0</v>
      </c>
      <c r="AQ98" s="445">
        <f t="shared" si="195"/>
        <v>0</v>
      </c>
      <c r="AR98" s="446">
        <f t="shared" si="196"/>
        <v>0</v>
      </c>
      <c r="AS98" s="447">
        <f t="shared" si="197"/>
        <v>0</v>
      </c>
      <c r="AT98" s="24">
        <f t="shared" si="198"/>
        <v>11.545499999999997</v>
      </c>
      <c r="AU98" s="443">
        <f t="shared" si="143"/>
        <v>0</v>
      </c>
      <c r="AV98" s="444">
        <f t="shared" si="199"/>
        <v>0</v>
      </c>
      <c r="AW98" s="445">
        <f t="shared" si="200"/>
        <v>0</v>
      </c>
      <c r="AX98" s="446">
        <f t="shared" si="201"/>
        <v>0</v>
      </c>
      <c r="AY98" s="447">
        <f t="shared" si="202"/>
        <v>0</v>
      </c>
      <c r="AZ98" s="24">
        <f t="shared" si="203"/>
        <v>11.545499999999997</v>
      </c>
      <c r="BA98" s="43">
        <f>IF(BB98=0,0,
IF(D98=1,
(IF(AND(AH98&gt;'Данные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"ошибка_1"))))))),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"ошибка_2"))))))))</f>
        <v>0</v>
      </c>
      <c r="BB98" s="43">
        <f>IF(OR($AI$9=0,AND(D98&gt;1,F98&gt;10)),0,
IF(D98=1,
(IF(AND(AH98&gt;'Данные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"ошибка_1"))))))),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IF(AND(AH98&gt;'Данные ТНПА'!#REF!,AH98&lt;='Данные ТНПА'!#REF!),'Данные ТНПА'!#REF!,
"ошибка_2"))))))))</f>
        <v>0</v>
      </c>
      <c r="BC98" s="43">
        <f t="shared" si="204"/>
        <v>11.545499999999997</v>
      </c>
      <c r="BD98" s="237">
        <f t="shared" si="205"/>
        <v>0</v>
      </c>
      <c r="BE98" s="43">
        <f t="shared" si="206"/>
        <v>0</v>
      </c>
      <c r="BF98" s="201">
        <f t="shared" si="207"/>
        <v>0</v>
      </c>
      <c r="BG98" s="201">
        <f t="shared" si="208"/>
        <v>0</v>
      </c>
      <c r="BH98" s="61">
        <f t="shared" si="209"/>
        <v>11.545499999999997</v>
      </c>
      <c r="BI98" s="237">
        <f t="shared" si="210"/>
        <v>0</v>
      </c>
      <c r="BJ98" s="247">
        <f t="shared" si="211"/>
        <v>0</v>
      </c>
      <c r="BK98" s="431">
        <f t="shared" si="212"/>
        <v>0</v>
      </c>
      <c r="BL98" s="250">
        <f t="shared" si="213"/>
        <v>0</v>
      </c>
      <c r="BM98" s="237">
        <f t="shared" si="214"/>
        <v>0</v>
      </c>
      <c r="BN98" s="452">
        <f t="shared" si="215"/>
        <v>11.545499999999997</v>
      </c>
      <c r="BO98" s="237">
        <f t="shared" si="216"/>
        <v>0</v>
      </c>
      <c r="BP98" s="432">
        <f t="shared" si="217"/>
        <v>0</v>
      </c>
      <c r="BQ98" s="22" t="str">
        <f t="shared" si="218"/>
        <v/>
      </c>
      <c r="BR98" s="250">
        <f t="shared" si="219"/>
        <v>0</v>
      </c>
      <c r="BS98" s="237">
        <f t="shared" si="220"/>
        <v>0</v>
      </c>
      <c r="BT98" s="452">
        <f t="shared" si="221"/>
        <v>11.545499999999997</v>
      </c>
      <c r="BU98" s="492">
        <f t="shared" si="222"/>
        <v>1.1749999999999998</v>
      </c>
      <c r="BV98" s="493">
        <f>IF(BT98="","",
IF(AND(BT98&gt;'Данные ТНПА'!$K$8,BT98&lt;='Данные ТНПА'!$L$8),'Данные ТНПА'!$N$8,
IF(AND(BT98&gt;'Данные ТНПА'!$K$9,BT98&lt;='Данные ТНПА'!$L$9),'Данные ТНПА'!$N$9,
IF(AND(BT98&gt;'Данные ТНПА'!$K$10,BT98&lt;='Данные ТНПА'!$L$10),'Данные ТНПА'!$N$10,
IF(AND(BT98&gt;'Данные ТНПА'!$K$11,BT98&lt;='Данные ТНПА'!$L$11),'Данные ТНПА'!$N$11,
IF(AND(BT98&gt;'Данные ТНПА'!$K$12,BT98&lt;='Данные ТНПА'!$L$12),'Данные ТНПА'!$N$12,
IF(AND(BT98&gt;'Данные ТНПА'!$K$13,BT98&lt;='Данные ТНПА'!$L$13),'Данные ТНПА'!$N$13,
IF(AND(BT98&gt;'Данные ТНПА'!$K$14,BT98&lt;='Данные ТНПА'!$L$14),'Данные ТНПА'!$N$14))))))))</f>
        <v>1.5</v>
      </c>
      <c r="BW98" s="493">
        <f t="shared" si="223"/>
        <v>14.545499999999997</v>
      </c>
      <c r="BX98" s="457">
        <f t="shared" si="169"/>
        <v>407.83499999999998</v>
      </c>
      <c r="BY98" s="457">
        <f t="shared" si="170"/>
        <v>0</v>
      </c>
      <c r="BZ98" s="457">
        <f t="shared" si="171"/>
        <v>74.017743829659835</v>
      </c>
      <c r="CA98" s="457" t="e">
        <f t="shared" si="224"/>
        <v>#REF!</v>
      </c>
      <c r="CB98" s="458">
        <f t="shared" si="225"/>
        <v>0</v>
      </c>
      <c r="CC98" s="457">
        <f t="shared" si="226"/>
        <v>0</v>
      </c>
      <c r="CD98" s="457">
        <f t="shared" si="227"/>
        <v>0</v>
      </c>
      <c r="CE98" s="457">
        <f t="shared" si="228"/>
        <v>0</v>
      </c>
      <c r="CF98" s="457">
        <f t="shared" si="229"/>
        <v>0</v>
      </c>
      <c r="CG98" s="458">
        <f t="shared" si="178"/>
        <v>0</v>
      </c>
      <c r="CH98" s="457">
        <f t="shared" si="230"/>
        <v>0</v>
      </c>
      <c r="CI98" s="457">
        <f t="shared" si="231"/>
        <v>0</v>
      </c>
      <c r="CJ98" s="458">
        <f t="shared" si="232"/>
        <v>0</v>
      </c>
      <c r="CK98" s="458">
        <f t="shared" si="182"/>
        <v>89.508284965893921</v>
      </c>
      <c r="CL98" s="457">
        <f t="shared" si="183"/>
        <v>571.36102879555369</v>
      </c>
      <c r="CM98" s="504"/>
      <c r="CN98" s="504"/>
    </row>
    <row r="99" spans="1:92" s="207" customFormat="1" ht="14.25" hidden="1" customHeight="1" x14ac:dyDescent="0.25">
      <c r="A99" s="389" t="str">
        <f>IF(D99="",CONCATENATE("Кабель ",IF(C99="а","А",""),$A$9),CONCATENATE("Кабель ",IF(C99="а","А",""),$A$9," ",D99,"*",F99,IF(G99="ок"," (ож)","")," - ",B99," ",IF(G99="мс"," фас. ",""),$A$2))</f>
        <v>Кабель АВВГ 3*2,5 (ож) - 0,66 ГОСТ 16442-80</v>
      </c>
      <c r="B99" s="450">
        <v>0.66</v>
      </c>
      <c r="C99" s="451" t="s">
        <v>164</v>
      </c>
      <c r="D99" s="412">
        <v>3</v>
      </c>
      <c r="E99" s="413" t="s">
        <v>40</v>
      </c>
      <c r="F99" s="423">
        <v>2.5</v>
      </c>
      <c r="G99" s="414" t="str">
        <f>IF(I99=1,"ок","мк")</f>
        <v>ок</v>
      </c>
      <c r="H99" s="461">
        <v>1.79</v>
      </c>
      <c r="I99" s="497">
        <v>1</v>
      </c>
      <c r="J99" s="498" t="s">
        <v>40</v>
      </c>
      <c r="K99" s="496">
        <f>ROUNDUP(SQRT(F99/PI()*4),2)</f>
        <v>1.79</v>
      </c>
      <c r="L99" s="501">
        <v>3.57</v>
      </c>
      <c r="M99" s="475"/>
      <c r="N99" s="475"/>
      <c r="O99" s="475"/>
      <c r="P99" s="475"/>
      <c r="Q99" s="483">
        <f t="shared" si="184"/>
        <v>0.44000000000000006</v>
      </c>
      <c r="R99" s="484">
        <f>IF(B99=0.66,VLOOKUP(F99,'Данные ТНПА'!$B$8:$C$16,2,0),
IF(B99=1,VLOOKUP(F99,'Данные ТНПА'!$B$17:$C$37,2,0),"ошибка"))</f>
        <v>0.6</v>
      </c>
      <c r="S99" s="485">
        <f t="shared" si="120"/>
        <v>2.67</v>
      </c>
      <c r="T99" s="486"/>
      <c r="U99" s="487"/>
      <c r="V99" s="485">
        <f t="shared" si="121"/>
        <v>2.99</v>
      </c>
      <c r="W99" s="486"/>
      <c r="X99" s="487"/>
      <c r="Y99" s="489">
        <f t="shared" si="122"/>
        <v>0</v>
      </c>
      <c r="Z99" s="491">
        <f t="shared" si="123"/>
        <v>6.4285000000000005</v>
      </c>
      <c r="AA99" s="237">
        <f t="shared" si="124"/>
        <v>0</v>
      </c>
      <c r="AB99" s="452">
        <f t="shared" si="185"/>
        <v>6.4285000000000005</v>
      </c>
      <c r="AC99" s="201">
        <f t="shared" si="126"/>
        <v>0</v>
      </c>
      <c r="AD99" s="203">
        <f t="shared" si="186"/>
        <v>0</v>
      </c>
      <c r="AE99" s="37" t="str">
        <f t="shared" si="128"/>
        <v/>
      </c>
      <c r="AF99" s="202">
        <f t="shared" si="187"/>
        <v>0</v>
      </c>
      <c r="AG99" s="201">
        <f t="shared" si="188"/>
        <v>0</v>
      </c>
      <c r="AH99" s="61">
        <f t="shared" si="131"/>
        <v>6.4285000000000005</v>
      </c>
      <c r="AI99" s="443">
        <f t="shared" si="233"/>
        <v>0</v>
      </c>
      <c r="AJ99" s="444">
        <f t="shared" si="189"/>
        <v>0</v>
      </c>
      <c r="AK99" s="445">
        <f t="shared" si="190"/>
        <v>0</v>
      </c>
      <c r="AL99" s="446">
        <f t="shared" si="191"/>
        <v>0</v>
      </c>
      <c r="AM99" s="447">
        <f t="shared" si="192"/>
        <v>0</v>
      </c>
      <c r="AN99" s="24">
        <f t="shared" si="193"/>
        <v>6.4285000000000005</v>
      </c>
      <c r="AO99" s="443">
        <f t="shared" si="137"/>
        <v>0</v>
      </c>
      <c r="AP99" s="444">
        <f t="shared" si="194"/>
        <v>0</v>
      </c>
      <c r="AQ99" s="445">
        <f t="shared" si="195"/>
        <v>0</v>
      </c>
      <c r="AR99" s="446">
        <f t="shared" si="196"/>
        <v>0</v>
      </c>
      <c r="AS99" s="447">
        <f t="shared" si="197"/>
        <v>0</v>
      </c>
      <c r="AT99" s="24">
        <f t="shared" si="198"/>
        <v>6.4285000000000005</v>
      </c>
      <c r="AU99" s="443">
        <f t="shared" si="143"/>
        <v>0</v>
      </c>
      <c r="AV99" s="444">
        <f t="shared" si="199"/>
        <v>0</v>
      </c>
      <c r="AW99" s="445">
        <f t="shared" si="200"/>
        <v>0</v>
      </c>
      <c r="AX99" s="446">
        <f t="shared" si="201"/>
        <v>0</v>
      </c>
      <c r="AY99" s="447">
        <f t="shared" si="202"/>
        <v>0</v>
      </c>
      <c r="AZ99" s="24">
        <f t="shared" si="203"/>
        <v>6.4285000000000005</v>
      </c>
      <c r="BA99" s="43">
        <f>IF(BB99=0,0,
IF(D99=1,
(IF(AND(AH99&gt;'Данные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"ошибка_1"))))))),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"ошибка_2"))))))))</f>
        <v>0</v>
      </c>
      <c r="BB99" s="43">
        <f>IF(OR($AI$9=0,AND(D99&gt;1,F99&gt;10)),0,
IF(D99=1,
(IF(AND(AH99&gt;'Данные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"ошибка_1"))))))),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IF(AND(AH99&gt;'Данные ТНПА'!#REF!,AH99&lt;='Данные ТНПА'!#REF!),'Данные ТНПА'!#REF!,
"ошибка_2"))))))))</f>
        <v>0</v>
      </c>
      <c r="BC99" s="43">
        <f t="shared" si="204"/>
        <v>6.4285000000000005</v>
      </c>
      <c r="BD99" s="237">
        <f t="shared" si="205"/>
        <v>0</v>
      </c>
      <c r="BE99" s="43">
        <f t="shared" si="206"/>
        <v>0</v>
      </c>
      <c r="BF99" s="201">
        <f t="shared" si="207"/>
        <v>0</v>
      </c>
      <c r="BG99" s="201">
        <f t="shared" si="208"/>
        <v>0</v>
      </c>
      <c r="BH99" s="61">
        <f t="shared" si="209"/>
        <v>6.4285000000000005</v>
      </c>
      <c r="BI99" s="237">
        <f t="shared" si="210"/>
        <v>0</v>
      </c>
      <c r="BJ99" s="247">
        <f t="shared" si="211"/>
        <v>0</v>
      </c>
      <c r="BK99" s="431">
        <f t="shared" si="212"/>
        <v>0</v>
      </c>
      <c r="BL99" s="250">
        <f t="shared" si="213"/>
        <v>0</v>
      </c>
      <c r="BM99" s="237">
        <f t="shared" si="214"/>
        <v>0</v>
      </c>
      <c r="BN99" s="452">
        <f t="shared" si="215"/>
        <v>6.4285000000000005</v>
      </c>
      <c r="BO99" s="237">
        <f t="shared" si="216"/>
        <v>0</v>
      </c>
      <c r="BP99" s="432">
        <f t="shared" si="217"/>
        <v>0</v>
      </c>
      <c r="BQ99" s="22" t="str">
        <f t="shared" si="218"/>
        <v/>
      </c>
      <c r="BR99" s="250">
        <f t="shared" si="219"/>
        <v>0</v>
      </c>
      <c r="BS99" s="237">
        <f t="shared" si="220"/>
        <v>0</v>
      </c>
      <c r="BT99" s="452">
        <f t="shared" si="221"/>
        <v>6.4285000000000005</v>
      </c>
      <c r="BU99" s="492">
        <f t="shared" si="222"/>
        <v>1.1749999999999998</v>
      </c>
      <c r="BV99" s="493">
        <f>IF(BT99="","",
IF(AND(BT99&gt;'Данные ТНПА'!$K$8,BT99&lt;='Данные ТНПА'!$L$8),'Данные ТНПА'!$N$8,
IF(AND(BT99&gt;'Данные ТНПА'!$K$9,BT99&lt;='Данные ТНПА'!$L$9),'Данные ТНПА'!$N$9,
IF(AND(BT99&gt;'Данные ТНПА'!$K$10,BT99&lt;='Данные ТНПА'!$L$10),'Данные ТНПА'!$N$10,
IF(AND(BT99&gt;'Данные ТНПА'!$K$11,BT99&lt;='Данные ТНПА'!$L$11),'Данные ТНПА'!$N$11,
IF(AND(BT99&gt;'Данные ТНПА'!$K$12,BT99&lt;='Данные ТНПА'!$L$12),'Данные ТНПА'!$N$12,
IF(AND(BT99&gt;'Данные ТНПА'!$K$13,BT99&lt;='Данные ТНПА'!$L$13),'Данные ТНПА'!$N$13,
IF(AND(BT99&gt;'Данные ТНПА'!$K$14,BT99&lt;='Данные ТНПА'!$L$14),'Данные ТНПА'!$N$14))))))))</f>
        <v>1.5</v>
      </c>
      <c r="BW99" s="493">
        <f t="shared" si="223"/>
        <v>9.4284999999999997</v>
      </c>
      <c r="BX99" s="457">
        <f t="shared" si="169"/>
        <v>20.391749999999998</v>
      </c>
      <c r="BY99" s="457">
        <f t="shared" si="170"/>
        <v>0</v>
      </c>
      <c r="BZ99" s="457">
        <f t="shared" si="171"/>
        <v>18.237048272664076</v>
      </c>
      <c r="CA99" s="457" t="e">
        <f t="shared" si="224"/>
        <v>#REF!</v>
      </c>
      <c r="CB99" s="458">
        <f t="shared" si="225"/>
        <v>0</v>
      </c>
      <c r="CC99" s="457">
        <f t="shared" si="226"/>
        <v>0</v>
      </c>
      <c r="CD99" s="457">
        <f t="shared" si="227"/>
        <v>0</v>
      </c>
      <c r="CE99" s="457">
        <f t="shared" si="228"/>
        <v>0</v>
      </c>
      <c r="CF99" s="457">
        <f t="shared" si="229"/>
        <v>0</v>
      </c>
      <c r="CG99" s="458">
        <f t="shared" si="178"/>
        <v>0</v>
      </c>
      <c r="CH99" s="457">
        <f t="shared" si="230"/>
        <v>0</v>
      </c>
      <c r="CI99" s="457">
        <f t="shared" si="231"/>
        <v>0</v>
      </c>
      <c r="CJ99" s="458">
        <f t="shared" si="232"/>
        <v>0</v>
      </c>
      <c r="CK99" s="458">
        <f t="shared" si="182"/>
        <v>54.399328301106898</v>
      </c>
      <c r="CL99" s="457">
        <f t="shared" si="183"/>
        <v>93.028126573770976</v>
      </c>
      <c r="CM99" s="504"/>
      <c r="CN99" s="504"/>
    </row>
    <row r="100" spans="1:92" s="207" customFormat="1" ht="14.25" hidden="1" customHeight="1" x14ac:dyDescent="0.25">
      <c r="A100" s="389" t="str">
        <f>IF(D100="",CONCATENATE("Кабель ",IF(C100="а","А",""),$A$9),CONCATENATE("Кабель ",IF(C100="а","А",""),$A$9," ",D100,"*",F100,IF(G100="ок"," (ож)","")," - ",B100," ",IF(G100="мс"," фас. ",""),$A$2))</f>
        <v>Кабель АВВГ 3*4 (ож) - 0,66 ГОСТ 16442-80</v>
      </c>
      <c r="B100" s="450">
        <v>0.66</v>
      </c>
      <c r="C100" s="451" t="s">
        <v>164</v>
      </c>
      <c r="D100" s="412">
        <v>3</v>
      </c>
      <c r="E100" s="413" t="s">
        <v>40</v>
      </c>
      <c r="F100" s="423">
        <v>4</v>
      </c>
      <c r="G100" s="414" t="str">
        <f>IF(I100=1,"ок","мк")</f>
        <v>ок</v>
      </c>
      <c r="H100" s="461">
        <v>2.2599999999999998</v>
      </c>
      <c r="I100" s="497">
        <v>1</v>
      </c>
      <c r="J100" s="498" t="s">
        <v>40</v>
      </c>
      <c r="K100" s="496">
        <f>ROUNDUP(SQRT(F100/PI()*4),2)</f>
        <v>2.2599999999999998</v>
      </c>
      <c r="L100" s="501">
        <v>4.5199999999999996</v>
      </c>
      <c r="M100" s="475"/>
      <c r="N100" s="475"/>
      <c r="O100" s="475"/>
      <c r="P100" s="475"/>
      <c r="Q100" s="483">
        <f t="shared" si="184"/>
        <v>0.53</v>
      </c>
      <c r="R100" s="484">
        <f>IF(B100=0.66,VLOOKUP(F100,'Данные ТНПА'!$B$8:$C$16,2,0),
IF(B100=1,VLOOKUP(F100,'Данные ТНПА'!$B$17:$C$37,2,0),"ошибка"))</f>
        <v>0.7</v>
      </c>
      <c r="S100" s="485">
        <f t="shared" si="120"/>
        <v>3.32</v>
      </c>
      <c r="T100" s="486"/>
      <c r="U100" s="487"/>
      <c r="V100" s="485">
        <f t="shared" si="121"/>
        <v>3.6599999999999997</v>
      </c>
      <c r="W100" s="486"/>
      <c r="X100" s="487"/>
      <c r="Y100" s="489">
        <f t="shared" si="122"/>
        <v>0</v>
      </c>
      <c r="Z100" s="491">
        <f t="shared" si="123"/>
        <v>7.8689999999999989</v>
      </c>
      <c r="AA100" s="237">
        <f t="shared" si="124"/>
        <v>0</v>
      </c>
      <c r="AB100" s="452">
        <f t="shared" si="185"/>
        <v>7.8689999999999989</v>
      </c>
      <c r="AC100" s="201">
        <f t="shared" si="126"/>
        <v>0</v>
      </c>
      <c r="AD100" s="203">
        <f t="shared" si="186"/>
        <v>0</v>
      </c>
      <c r="AE100" s="37" t="str">
        <f t="shared" si="128"/>
        <v/>
      </c>
      <c r="AF100" s="202">
        <f t="shared" si="187"/>
        <v>0</v>
      </c>
      <c r="AG100" s="201">
        <f t="shared" si="188"/>
        <v>0</v>
      </c>
      <c r="AH100" s="61">
        <f t="shared" si="131"/>
        <v>7.8689999999999989</v>
      </c>
      <c r="AI100" s="443">
        <f t="shared" si="233"/>
        <v>0</v>
      </c>
      <c r="AJ100" s="444">
        <f t="shared" si="189"/>
        <v>0</v>
      </c>
      <c r="AK100" s="445">
        <f t="shared" si="190"/>
        <v>0</v>
      </c>
      <c r="AL100" s="446">
        <f t="shared" si="191"/>
        <v>0</v>
      </c>
      <c r="AM100" s="447">
        <f t="shared" si="192"/>
        <v>0</v>
      </c>
      <c r="AN100" s="24">
        <f t="shared" si="193"/>
        <v>7.8689999999999989</v>
      </c>
      <c r="AO100" s="443">
        <f t="shared" si="137"/>
        <v>0</v>
      </c>
      <c r="AP100" s="444">
        <f t="shared" si="194"/>
        <v>0</v>
      </c>
      <c r="AQ100" s="445">
        <f t="shared" si="195"/>
        <v>0</v>
      </c>
      <c r="AR100" s="446">
        <f t="shared" si="196"/>
        <v>0</v>
      </c>
      <c r="AS100" s="447">
        <f t="shared" si="197"/>
        <v>0</v>
      </c>
      <c r="AT100" s="24">
        <f t="shared" si="198"/>
        <v>7.8689999999999989</v>
      </c>
      <c r="AU100" s="443">
        <f t="shared" si="143"/>
        <v>0</v>
      </c>
      <c r="AV100" s="444">
        <f t="shared" si="199"/>
        <v>0</v>
      </c>
      <c r="AW100" s="445">
        <f t="shared" si="200"/>
        <v>0</v>
      </c>
      <c r="AX100" s="446">
        <f t="shared" si="201"/>
        <v>0</v>
      </c>
      <c r="AY100" s="447">
        <f t="shared" si="202"/>
        <v>0</v>
      </c>
      <c r="AZ100" s="24">
        <f t="shared" si="203"/>
        <v>7.8689999999999989</v>
      </c>
      <c r="BA100" s="43">
        <f>IF(BB100=0,0,
IF(D100=1,
(IF(AND(AH100&gt;'Данные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"ошибка_1"))))))),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"ошибка_2"))))))))</f>
        <v>0</v>
      </c>
      <c r="BB100" s="43">
        <f>IF(OR($AI$9=0,AND(D100&gt;1,F100&gt;10)),0,
IF(D100=1,
(IF(AND(AH100&gt;'Данные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"ошибка_1"))))))),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IF(AND(AH100&gt;'Данные ТНПА'!#REF!,AH100&lt;='Данные ТНПА'!#REF!),'Данные ТНПА'!#REF!,
"ошибка_2"))))))))</f>
        <v>0</v>
      </c>
      <c r="BC100" s="43">
        <f t="shared" si="204"/>
        <v>7.8689999999999989</v>
      </c>
      <c r="BD100" s="237">
        <f t="shared" si="205"/>
        <v>0</v>
      </c>
      <c r="BE100" s="43">
        <f t="shared" si="206"/>
        <v>0</v>
      </c>
      <c r="BF100" s="201">
        <f t="shared" si="207"/>
        <v>0</v>
      </c>
      <c r="BG100" s="201">
        <f t="shared" si="208"/>
        <v>0</v>
      </c>
      <c r="BH100" s="61">
        <f t="shared" si="209"/>
        <v>7.8689999999999989</v>
      </c>
      <c r="BI100" s="237">
        <f t="shared" si="210"/>
        <v>0</v>
      </c>
      <c r="BJ100" s="247">
        <f t="shared" si="211"/>
        <v>0</v>
      </c>
      <c r="BK100" s="431">
        <f t="shared" si="212"/>
        <v>0</v>
      </c>
      <c r="BL100" s="250">
        <f t="shared" si="213"/>
        <v>0</v>
      </c>
      <c r="BM100" s="237">
        <f t="shared" si="214"/>
        <v>0</v>
      </c>
      <c r="BN100" s="452">
        <f t="shared" si="215"/>
        <v>7.8689999999999989</v>
      </c>
      <c r="BO100" s="237">
        <f t="shared" si="216"/>
        <v>0</v>
      </c>
      <c r="BP100" s="432">
        <f t="shared" si="217"/>
        <v>0</v>
      </c>
      <c r="BQ100" s="22" t="str">
        <f t="shared" si="218"/>
        <v/>
      </c>
      <c r="BR100" s="250">
        <f t="shared" si="219"/>
        <v>0</v>
      </c>
      <c r="BS100" s="237">
        <f t="shared" si="220"/>
        <v>0</v>
      </c>
      <c r="BT100" s="452">
        <f t="shared" si="221"/>
        <v>7.8689999999999989</v>
      </c>
      <c r="BU100" s="492">
        <f t="shared" si="222"/>
        <v>1.1749999999999998</v>
      </c>
      <c r="BV100" s="493">
        <f>IF(BT100="","",
IF(AND(BT100&gt;'Данные ТНПА'!$K$8,BT100&lt;='Данные ТНПА'!$L$8),'Данные ТНПА'!$N$8,
IF(AND(BT100&gt;'Данные ТНПА'!$K$9,BT100&lt;='Данные ТНПА'!$L$9),'Данные ТНПА'!$N$9,
IF(AND(BT100&gt;'Данные ТНПА'!$K$10,BT100&lt;='Данные ТНПА'!$L$10),'Данные ТНПА'!$N$10,
IF(AND(BT100&gt;'Данные ТНПА'!$K$11,BT100&lt;='Данные ТНПА'!$L$11),'Данные ТНПА'!$N$11,
IF(AND(BT100&gt;'Данные ТНПА'!$K$12,BT100&lt;='Данные ТНПА'!$L$12),'Данные ТНПА'!$N$12,
IF(AND(BT100&gt;'Данные ТНПА'!$K$13,BT100&lt;='Данные ТНПА'!$L$13),'Данные ТНПА'!$N$13,
IF(AND(BT100&gt;'Данные ТНПА'!$K$14,BT100&lt;='Данные ТНПА'!$L$14),'Данные ТНПА'!$N$14))))))))</f>
        <v>1.5</v>
      </c>
      <c r="BW100" s="493">
        <f t="shared" si="223"/>
        <v>10.869</v>
      </c>
      <c r="BX100" s="457">
        <f t="shared" si="169"/>
        <v>32.626800000000003</v>
      </c>
      <c r="BY100" s="457">
        <f t="shared" si="170"/>
        <v>0</v>
      </c>
      <c r="BZ100" s="457">
        <f t="shared" si="171"/>
        <v>26.350881465104585</v>
      </c>
      <c r="CA100" s="457" t="e">
        <f t="shared" si="224"/>
        <v>#REF!</v>
      </c>
      <c r="CB100" s="458">
        <f t="shared" si="225"/>
        <v>0</v>
      </c>
      <c r="CC100" s="457">
        <f t="shared" si="226"/>
        <v>0</v>
      </c>
      <c r="CD100" s="457">
        <f t="shared" si="227"/>
        <v>0</v>
      </c>
      <c r="CE100" s="457">
        <f t="shared" si="228"/>
        <v>0</v>
      </c>
      <c r="CF100" s="457">
        <f t="shared" si="229"/>
        <v>0</v>
      </c>
      <c r="CG100" s="458">
        <f t="shared" si="178"/>
        <v>0</v>
      </c>
      <c r="CH100" s="457">
        <f t="shared" si="230"/>
        <v>0</v>
      </c>
      <c r="CI100" s="457">
        <f t="shared" si="231"/>
        <v>0</v>
      </c>
      <c r="CJ100" s="458">
        <f t="shared" si="232"/>
        <v>0</v>
      </c>
      <c r="CK100" s="458">
        <f t="shared" si="182"/>
        <v>64.282942152118366</v>
      </c>
      <c r="CL100" s="457">
        <f t="shared" si="183"/>
        <v>123.26062361722296</v>
      </c>
      <c r="CM100" s="504"/>
      <c r="CN100" s="504"/>
    </row>
    <row r="101" spans="1:92" s="207" customFormat="1" ht="14.25" hidden="1" customHeight="1" x14ac:dyDescent="0.25">
      <c r="A101" s="389" t="str">
        <f>IF(D101="",CONCATENATE("Кабель ",IF(C101="а","А",""),$A$9),CONCATENATE("Кабель ",IF(C101="а","А",""),$A$9," ",D101,"*",F101,IF(G101="ок"," (ож)","")," - ",B101," ",IF(G101="мс"," фас. ",""),$A$2))</f>
        <v>Кабель АВВГ 3*6 (ож) - 0,66 ГОСТ 16442-80</v>
      </c>
      <c r="B101" s="450">
        <v>0.66</v>
      </c>
      <c r="C101" s="451" t="s">
        <v>164</v>
      </c>
      <c r="D101" s="412">
        <v>3</v>
      </c>
      <c r="E101" s="413" t="s">
        <v>40</v>
      </c>
      <c r="F101" s="423">
        <v>6</v>
      </c>
      <c r="G101" s="414" t="str">
        <f>IF(I101=1,"ок","мк")</f>
        <v>ок</v>
      </c>
      <c r="H101" s="461">
        <v>2.7699999999999996</v>
      </c>
      <c r="I101" s="497">
        <v>1</v>
      </c>
      <c r="J101" s="498" t="s">
        <v>40</v>
      </c>
      <c r="K101" s="496">
        <f>ROUNDUP(SQRT(F101/PI()*4),2)</f>
        <v>2.7699999999999996</v>
      </c>
      <c r="L101" s="501">
        <v>5.6499999999999995</v>
      </c>
      <c r="M101" s="475"/>
      <c r="N101" s="475"/>
      <c r="O101" s="475"/>
      <c r="P101" s="475"/>
      <c r="Q101" s="483">
        <f t="shared" si="184"/>
        <v>0.53</v>
      </c>
      <c r="R101" s="484">
        <f>IF(B101=0.66,VLOOKUP(F101,'Данные ТНПА'!$B$8:$C$16,2,0),
IF(B101=1,VLOOKUP(F101,'Данные ТНПА'!$B$17:$C$37,2,0),"ошибка"))</f>
        <v>0.7</v>
      </c>
      <c r="S101" s="485">
        <f t="shared" si="120"/>
        <v>3.8299999999999996</v>
      </c>
      <c r="T101" s="486"/>
      <c r="U101" s="487"/>
      <c r="V101" s="485">
        <f t="shared" si="121"/>
        <v>4.17</v>
      </c>
      <c r="W101" s="486"/>
      <c r="X101" s="487"/>
      <c r="Y101" s="489">
        <f t="shared" si="122"/>
        <v>0</v>
      </c>
      <c r="Z101" s="491">
        <f t="shared" si="123"/>
        <v>8.9654999999999987</v>
      </c>
      <c r="AA101" s="237">
        <f t="shared" si="124"/>
        <v>0</v>
      </c>
      <c r="AB101" s="452">
        <f t="shared" si="185"/>
        <v>8.9654999999999987</v>
      </c>
      <c r="AC101" s="201">
        <f t="shared" si="126"/>
        <v>0</v>
      </c>
      <c r="AD101" s="203">
        <f t="shared" si="186"/>
        <v>0</v>
      </c>
      <c r="AE101" s="37" t="str">
        <f t="shared" si="128"/>
        <v/>
      </c>
      <c r="AF101" s="202">
        <f t="shared" si="187"/>
        <v>0</v>
      </c>
      <c r="AG101" s="201">
        <f t="shared" si="188"/>
        <v>0</v>
      </c>
      <c r="AH101" s="61">
        <f t="shared" si="131"/>
        <v>8.9654999999999987</v>
      </c>
      <c r="AI101" s="443">
        <f t="shared" si="233"/>
        <v>0</v>
      </c>
      <c r="AJ101" s="444">
        <f t="shared" si="189"/>
        <v>0</v>
      </c>
      <c r="AK101" s="445">
        <f t="shared" si="190"/>
        <v>0</v>
      </c>
      <c r="AL101" s="446">
        <f t="shared" si="191"/>
        <v>0</v>
      </c>
      <c r="AM101" s="447">
        <f t="shared" si="192"/>
        <v>0</v>
      </c>
      <c r="AN101" s="24">
        <f t="shared" si="193"/>
        <v>8.9654999999999987</v>
      </c>
      <c r="AO101" s="443">
        <f t="shared" si="137"/>
        <v>0</v>
      </c>
      <c r="AP101" s="444">
        <f t="shared" si="194"/>
        <v>0</v>
      </c>
      <c r="AQ101" s="445">
        <f t="shared" si="195"/>
        <v>0</v>
      </c>
      <c r="AR101" s="446">
        <f t="shared" si="196"/>
        <v>0</v>
      </c>
      <c r="AS101" s="447">
        <f t="shared" si="197"/>
        <v>0</v>
      </c>
      <c r="AT101" s="24">
        <f t="shared" si="198"/>
        <v>8.9654999999999987</v>
      </c>
      <c r="AU101" s="443">
        <f t="shared" si="143"/>
        <v>0</v>
      </c>
      <c r="AV101" s="444">
        <f t="shared" si="199"/>
        <v>0</v>
      </c>
      <c r="AW101" s="445">
        <f t="shared" si="200"/>
        <v>0</v>
      </c>
      <c r="AX101" s="446">
        <f t="shared" si="201"/>
        <v>0</v>
      </c>
      <c r="AY101" s="447">
        <f t="shared" si="202"/>
        <v>0</v>
      </c>
      <c r="AZ101" s="24">
        <f t="shared" si="203"/>
        <v>8.9654999999999987</v>
      </c>
      <c r="BA101" s="43">
        <f>IF(BB101=0,0,
IF(D101=1,
(IF(AND(AH101&gt;'Данные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"ошибка_1"))))))),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"ошибка_2"))))))))</f>
        <v>0</v>
      </c>
      <c r="BB101" s="43">
        <f>IF(OR($AI$9=0,AND(D101&gt;1,F101&gt;10)),0,
IF(D101=1,
(IF(AND(AH101&gt;'Данные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"ошибка_1"))))))),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IF(AND(AH101&gt;'Данные ТНПА'!#REF!,AH101&lt;='Данные ТНПА'!#REF!),'Данные ТНПА'!#REF!,
"ошибка_2"))))))))</f>
        <v>0</v>
      </c>
      <c r="BC101" s="43">
        <f t="shared" si="204"/>
        <v>8.9654999999999987</v>
      </c>
      <c r="BD101" s="237">
        <f t="shared" si="205"/>
        <v>0</v>
      </c>
      <c r="BE101" s="43">
        <f t="shared" si="206"/>
        <v>0</v>
      </c>
      <c r="BF101" s="201">
        <f t="shared" si="207"/>
        <v>0</v>
      </c>
      <c r="BG101" s="201">
        <f t="shared" si="208"/>
        <v>0</v>
      </c>
      <c r="BH101" s="61">
        <f t="shared" si="209"/>
        <v>8.9654999999999987</v>
      </c>
      <c r="BI101" s="237">
        <f t="shared" si="210"/>
        <v>0</v>
      </c>
      <c r="BJ101" s="247">
        <f t="shared" si="211"/>
        <v>0</v>
      </c>
      <c r="BK101" s="431">
        <f t="shared" si="212"/>
        <v>0</v>
      </c>
      <c r="BL101" s="250">
        <f t="shared" si="213"/>
        <v>0</v>
      </c>
      <c r="BM101" s="237">
        <f t="shared" si="214"/>
        <v>0</v>
      </c>
      <c r="BN101" s="452">
        <f t="shared" si="215"/>
        <v>8.9654999999999987</v>
      </c>
      <c r="BO101" s="237">
        <f t="shared" si="216"/>
        <v>0</v>
      </c>
      <c r="BP101" s="432">
        <f t="shared" si="217"/>
        <v>0</v>
      </c>
      <c r="BQ101" s="22" t="str">
        <f t="shared" si="218"/>
        <v/>
      </c>
      <c r="BR101" s="250">
        <f t="shared" si="219"/>
        <v>0</v>
      </c>
      <c r="BS101" s="237">
        <f t="shared" si="220"/>
        <v>0</v>
      </c>
      <c r="BT101" s="452">
        <f t="shared" si="221"/>
        <v>8.9654999999999987</v>
      </c>
      <c r="BU101" s="492">
        <f t="shared" si="222"/>
        <v>1.1749999999999998</v>
      </c>
      <c r="BV101" s="493">
        <f>IF(BT101="","",
IF(AND(BT101&gt;'Данные ТНПА'!$K$8,BT101&lt;='Данные ТНПА'!$L$8),'Данные ТНПА'!$N$8,
IF(AND(BT101&gt;'Данные ТНПА'!$K$9,BT101&lt;='Данные ТНПА'!$L$9),'Данные ТНПА'!$N$9,
IF(AND(BT101&gt;'Данные ТНПА'!$K$10,BT101&lt;='Данные ТНПА'!$L$10),'Данные ТНПА'!$N$10,
IF(AND(BT101&gt;'Данные ТНПА'!$K$11,BT101&lt;='Данные ТНПА'!$L$11),'Данные ТНПА'!$N$11,
IF(AND(BT101&gt;'Данные ТНПА'!$K$12,BT101&lt;='Данные ТНПА'!$L$12),'Данные ТНПА'!$N$12,
IF(AND(BT101&gt;'Данные ТНПА'!$K$13,BT101&lt;='Данные ТНПА'!$L$13),'Данные ТНПА'!$N$13,
IF(AND(BT101&gt;'Данные ТНПА'!$K$14,BT101&lt;='Данные ТНПА'!$L$14),'Данные ТНПА'!$N$14))))))))</f>
        <v>1.5</v>
      </c>
      <c r="BW101" s="493">
        <f t="shared" si="223"/>
        <v>11.965499999999999</v>
      </c>
      <c r="BX101" s="457">
        <f t="shared" si="169"/>
        <v>48.940200000000004</v>
      </c>
      <c r="BY101" s="457">
        <f t="shared" si="170"/>
        <v>0</v>
      </c>
      <c r="BZ101" s="457">
        <f t="shared" si="171"/>
        <v>30.891067122943543</v>
      </c>
      <c r="CA101" s="457" t="e">
        <f t="shared" si="224"/>
        <v>#REF!</v>
      </c>
      <c r="CB101" s="458">
        <f t="shared" si="225"/>
        <v>0</v>
      </c>
      <c r="CC101" s="457">
        <f t="shared" si="226"/>
        <v>0</v>
      </c>
      <c r="CD101" s="457">
        <f t="shared" si="227"/>
        <v>0</v>
      </c>
      <c r="CE101" s="457">
        <f t="shared" si="228"/>
        <v>0</v>
      </c>
      <c r="CF101" s="457">
        <f t="shared" si="229"/>
        <v>0</v>
      </c>
      <c r="CG101" s="458">
        <f t="shared" si="178"/>
        <v>0</v>
      </c>
      <c r="CH101" s="457">
        <f t="shared" si="230"/>
        <v>0</v>
      </c>
      <c r="CI101" s="457">
        <f t="shared" si="231"/>
        <v>0</v>
      </c>
      <c r="CJ101" s="458">
        <f t="shared" si="232"/>
        <v>0</v>
      </c>
      <c r="CK101" s="458">
        <f t="shared" si="182"/>
        <v>71.80629000885844</v>
      </c>
      <c r="CL101" s="457">
        <f t="shared" si="183"/>
        <v>151.637557131802</v>
      </c>
      <c r="CM101" s="504"/>
      <c r="CN101" s="504"/>
    </row>
    <row r="102" spans="1:92" s="207" customFormat="1" ht="14.25" hidden="1" customHeight="1" x14ac:dyDescent="0.25">
      <c r="A102" s="389" t="str">
        <f>IF(D102="",CONCATENATE("Кабель ",IF(C102="а","А",""),$A$9),CONCATENATE("Кабель ",IF(C102="а","А",""),$A$9," ",D102,"*",F102,IF(G102="ок"," (ож)","")," - ",B102," ",IF(G102="мс"," фас. ",""),$A$2))</f>
        <v>Кабель АВВГ 3*10 (ож) - 0,66 ГОСТ 16442-80</v>
      </c>
      <c r="B102" s="450">
        <v>0.66</v>
      </c>
      <c r="C102" s="451" t="s">
        <v>164</v>
      </c>
      <c r="D102" s="412">
        <v>3</v>
      </c>
      <c r="E102" s="413" t="s">
        <v>40</v>
      </c>
      <c r="F102" s="423">
        <v>10</v>
      </c>
      <c r="G102" s="414" t="str">
        <f>IF(I102=1,"ок","мк")</f>
        <v>ок</v>
      </c>
      <c r="H102" s="461">
        <v>3.57</v>
      </c>
      <c r="I102" s="497">
        <v>1</v>
      </c>
      <c r="J102" s="498" t="s">
        <v>40</v>
      </c>
      <c r="K102" s="496">
        <f>ROUNDUP(SQRT(F102/PI()*4),2)</f>
        <v>3.57</v>
      </c>
      <c r="L102" s="501">
        <v>6.68</v>
      </c>
      <c r="M102" s="475"/>
      <c r="N102" s="475"/>
      <c r="O102" s="475"/>
      <c r="P102" s="475"/>
      <c r="Q102" s="483">
        <f t="shared" si="184"/>
        <v>0.71000000000000008</v>
      </c>
      <c r="R102" s="484">
        <f>IF(B102=0.66,VLOOKUP(F102,'Данные ТНПА'!$B$8:$C$16,2,0),
IF(B102=1,VLOOKUP(F102,'Данные ТНПА'!$B$17:$C$37,2,0),"ошибка"))</f>
        <v>0.9</v>
      </c>
      <c r="S102" s="485">
        <f t="shared" si="120"/>
        <v>4.99</v>
      </c>
      <c r="T102" s="486"/>
      <c r="U102" s="487"/>
      <c r="V102" s="485">
        <f t="shared" si="121"/>
        <v>5.37</v>
      </c>
      <c r="W102" s="486"/>
      <c r="X102" s="487"/>
      <c r="Y102" s="489">
        <f t="shared" si="122"/>
        <v>0</v>
      </c>
      <c r="Z102" s="491">
        <f t="shared" si="123"/>
        <v>11.545500000000001</v>
      </c>
      <c r="AA102" s="237">
        <f t="shared" si="124"/>
        <v>0</v>
      </c>
      <c r="AB102" s="452">
        <f t="shared" si="185"/>
        <v>11.545500000000001</v>
      </c>
      <c r="AC102" s="201">
        <f t="shared" si="126"/>
        <v>0</v>
      </c>
      <c r="AD102" s="203">
        <f t="shared" si="186"/>
        <v>0</v>
      </c>
      <c r="AE102" s="37" t="str">
        <f t="shared" si="128"/>
        <v/>
      </c>
      <c r="AF102" s="202">
        <f t="shared" si="187"/>
        <v>0</v>
      </c>
      <c r="AG102" s="201">
        <f t="shared" si="188"/>
        <v>0</v>
      </c>
      <c r="AH102" s="61">
        <f t="shared" si="131"/>
        <v>11.545500000000001</v>
      </c>
      <c r="AI102" s="443">
        <f t="shared" si="233"/>
        <v>0</v>
      </c>
      <c r="AJ102" s="444">
        <f t="shared" si="189"/>
        <v>0</v>
      </c>
      <c r="AK102" s="445">
        <f t="shared" si="190"/>
        <v>0</v>
      </c>
      <c r="AL102" s="446">
        <f t="shared" si="191"/>
        <v>0</v>
      </c>
      <c r="AM102" s="447">
        <f t="shared" si="192"/>
        <v>0</v>
      </c>
      <c r="AN102" s="24">
        <f t="shared" si="193"/>
        <v>11.545500000000001</v>
      </c>
      <c r="AO102" s="443">
        <f t="shared" si="137"/>
        <v>0</v>
      </c>
      <c r="AP102" s="444">
        <f t="shared" si="194"/>
        <v>0</v>
      </c>
      <c r="AQ102" s="445">
        <f t="shared" si="195"/>
        <v>0</v>
      </c>
      <c r="AR102" s="446">
        <f t="shared" si="196"/>
        <v>0</v>
      </c>
      <c r="AS102" s="447">
        <f t="shared" si="197"/>
        <v>0</v>
      </c>
      <c r="AT102" s="24">
        <f t="shared" si="198"/>
        <v>11.545500000000001</v>
      </c>
      <c r="AU102" s="443">
        <f t="shared" si="143"/>
        <v>0</v>
      </c>
      <c r="AV102" s="444">
        <f t="shared" si="199"/>
        <v>0</v>
      </c>
      <c r="AW102" s="445">
        <f t="shared" si="200"/>
        <v>0</v>
      </c>
      <c r="AX102" s="446">
        <f t="shared" si="201"/>
        <v>0</v>
      </c>
      <c r="AY102" s="447">
        <f t="shared" si="202"/>
        <v>0</v>
      </c>
      <c r="AZ102" s="24">
        <f t="shared" si="203"/>
        <v>11.545500000000001</v>
      </c>
      <c r="BA102" s="43">
        <f>IF(BB102=0,0,
IF(D102=1,
(IF(AND(AH102&gt;'Данные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"ошибка_1"))))))),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"ошибка_2"))))))))</f>
        <v>0</v>
      </c>
      <c r="BB102" s="43">
        <f>IF(OR($AI$9=0,AND(D102&gt;1,F102&gt;10)),0,
IF(D102=1,
(IF(AND(AH102&gt;'Данные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"ошибка_1"))))))),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IF(AND(AH102&gt;'Данные ТНПА'!#REF!,AH102&lt;='Данные ТНПА'!#REF!),'Данные ТНПА'!#REF!,
"ошибка_2"))))))))</f>
        <v>0</v>
      </c>
      <c r="BC102" s="43">
        <f t="shared" si="204"/>
        <v>11.545500000000001</v>
      </c>
      <c r="BD102" s="237">
        <f t="shared" si="205"/>
        <v>0</v>
      </c>
      <c r="BE102" s="43">
        <f t="shared" si="206"/>
        <v>0</v>
      </c>
      <c r="BF102" s="201">
        <f t="shared" si="207"/>
        <v>0</v>
      </c>
      <c r="BG102" s="201">
        <f t="shared" si="208"/>
        <v>0</v>
      </c>
      <c r="BH102" s="61">
        <f t="shared" si="209"/>
        <v>11.545500000000001</v>
      </c>
      <c r="BI102" s="237">
        <f t="shared" si="210"/>
        <v>0</v>
      </c>
      <c r="BJ102" s="247">
        <f t="shared" si="211"/>
        <v>0</v>
      </c>
      <c r="BK102" s="431">
        <f t="shared" si="212"/>
        <v>0</v>
      </c>
      <c r="BL102" s="250">
        <f t="shared" si="213"/>
        <v>0</v>
      </c>
      <c r="BM102" s="237">
        <f t="shared" si="214"/>
        <v>0</v>
      </c>
      <c r="BN102" s="452">
        <f t="shared" si="215"/>
        <v>11.545500000000001</v>
      </c>
      <c r="BO102" s="237">
        <f t="shared" si="216"/>
        <v>0</v>
      </c>
      <c r="BP102" s="432">
        <f t="shared" si="217"/>
        <v>0</v>
      </c>
      <c r="BQ102" s="22" t="str">
        <f t="shared" si="218"/>
        <v/>
      </c>
      <c r="BR102" s="250">
        <f t="shared" si="219"/>
        <v>0</v>
      </c>
      <c r="BS102" s="237">
        <f t="shared" si="220"/>
        <v>0</v>
      </c>
      <c r="BT102" s="452">
        <f t="shared" si="221"/>
        <v>11.545500000000001</v>
      </c>
      <c r="BU102" s="492">
        <f t="shared" si="222"/>
        <v>1.1749999999999998</v>
      </c>
      <c r="BV102" s="493">
        <f>IF(BT102="","",
IF(AND(BT102&gt;'Данные ТНПА'!$K$8,BT102&lt;='Данные ТНПА'!$L$8),'Данные ТНПА'!$N$8,
IF(AND(BT102&gt;'Данные ТНПА'!$K$9,BT102&lt;='Данные ТНПА'!$L$9),'Данные ТНПА'!$N$9,
IF(AND(BT102&gt;'Данные ТНПА'!$K$10,BT102&lt;='Данные ТНПА'!$L$10),'Данные ТНПА'!$N$10,
IF(AND(BT102&gt;'Данные ТНПА'!$K$11,BT102&lt;='Данные ТНПА'!$L$11),'Данные ТНПА'!$N$11,
IF(AND(BT102&gt;'Данные ТНПА'!$K$12,BT102&lt;='Данные ТНПА'!$L$12),'Данные ТНПА'!$N$12,
IF(AND(BT102&gt;'Данные ТНПА'!$K$13,BT102&lt;='Данные ТНПА'!$L$13),'Данные ТНПА'!$N$13,
IF(AND(BT102&gt;'Данные ТНПА'!$K$14,BT102&lt;='Данные ТНПА'!$L$14),'Данные ТНПА'!$N$14))))))))</f>
        <v>1.5</v>
      </c>
      <c r="BW102" s="493">
        <f t="shared" si="223"/>
        <v>14.545500000000001</v>
      </c>
      <c r="BX102" s="457">
        <f t="shared" si="169"/>
        <v>81.566999999999993</v>
      </c>
      <c r="BY102" s="457">
        <f t="shared" si="170"/>
        <v>0</v>
      </c>
      <c r="BZ102" s="457">
        <f t="shared" si="171"/>
        <v>51.162932497160099</v>
      </c>
      <c r="CA102" s="457" t="e">
        <f t="shared" si="224"/>
        <v>#REF!</v>
      </c>
      <c r="CB102" s="458">
        <f t="shared" si="225"/>
        <v>0</v>
      </c>
      <c r="CC102" s="457">
        <f t="shared" si="226"/>
        <v>0</v>
      </c>
      <c r="CD102" s="457">
        <f t="shared" si="227"/>
        <v>0</v>
      </c>
      <c r="CE102" s="457">
        <f t="shared" si="228"/>
        <v>0</v>
      </c>
      <c r="CF102" s="457">
        <f t="shared" si="229"/>
        <v>0</v>
      </c>
      <c r="CG102" s="458">
        <f t="shared" si="178"/>
        <v>0</v>
      </c>
      <c r="CH102" s="457">
        <f t="shared" si="230"/>
        <v>0</v>
      </c>
      <c r="CI102" s="457">
        <f t="shared" si="231"/>
        <v>0</v>
      </c>
      <c r="CJ102" s="458">
        <f t="shared" si="232"/>
        <v>0</v>
      </c>
      <c r="CK102" s="458">
        <f t="shared" si="182"/>
        <v>89.508284965893935</v>
      </c>
      <c r="CL102" s="457">
        <f t="shared" si="183"/>
        <v>222.23821746305401</v>
      </c>
      <c r="CM102" s="504"/>
      <c r="CN102" s="504"/>
    </row>
    <row r="103" spans="1:92" s="207" customFormat="1" ht="14.25" hidden="1" customHeight="1" x14ac:dyDescent="0.25">
      <c r="A103" s="389" t="str">
        <f>IF(D103="",CONCATENATE("Кабель ",IF(C103="а","А",""),$A$9),CONCATENATE("Кабель ",IF(C103="а","А",""),$A$9," ",D103,"*",F103,IF(G103="ок"," (ож)","")," - ",B103," ",IF(G103="мс"," фас. ",""),$A$2))</f>
        <v>Кабель АВВГ 3*16 (ож) - 0,66 ГОСТ 16442-80</v>
      </c>
      <c r="B103" s="450">
        <v>0.66</v>
      </c>
      <c r="C103" s="451" t="s">
        <v>164</v>
      </c>
      <c r="D103" s="412">
        <v>3</v>
      </c>
      <c r="E103" s="413" t="s">
        <v>40</v>
      </c>
      <c r="F103" s="423">
        <v>16</v>
      </c>
      <c r="G103" s="414" t="str">
        <f>IF(I103=1,"ок","мк")</f>
        <v>ок</v>
      </c>
      <c r="H103" s="461">
        <v>4.5199999999999996</v>
      </c>
      <c r="I103" s="497">
        <v>1</v>
      </c>
      <c r="J103" s="498" t="s">
        <v>40</v>
      </c>
      <c r="K103" s="496">
        <f>ROUNDUP(SQRT(F103/PI()*4),2)</f>
        <v>4.5199999999999996</v>
      </c>
      <c r="L103" s="501">
        <v>5.99</v>
      </c>
      <c r="M103" s="475"/>
      <c r="N103" s="475"/>
      <c r="O103" s="475"/>
      <c r="P103" s="475"/>
      <c r="Q103" s="483">
        <f t="shared" si="184"/>
        <v>0.71000000000000008</v>
      </c>
      <c r="R103" s="484">
        <f>IF(B103=0.66,VLOOKUP(F103,'Данные ТНПА'!$B$8:$C$16,2,0),
IF(B103=1,VLOOKUP(F103,'Данные ТНПА'!$B$17:$C$37,2,0),"ошибка"))</f>
        <v>0.9</v>
      </c>
      <c r="S103" s="485">
        <f t="shared" si="120"/>
        <v>5.9399999999999995</v>
      </c>
      <c r="T103" s="486"/>
      <c r="U103" s="487"/>
      <c r="V103" s="485">
        <f t="shared" si="121"/>
        <v>6.3199999999999994</v>
      </c>
      <c r="W103" s="486"/>
      <c r="X103" s="487"/>
      <c r="Y103" s="489">
        <f t="shared" si="122"/>
        <v>0</v>
      </c>
      <c r="Z103" s="491">
        <f t="shared" si="123"/>
        <v>13.587999999999997</v>
      </c>
      <c r="AA103" s="237">
        <f t="shared" si="124"/>
        <v>0</v>
      </c>
      <c r="AB103" s="452">
        <f t="shared" si="185"/>
        <v>13.587999999999997</v>
      </c>
      <c r="AC103" s="201">
        <f t="shared" si="126"/>
        <v>0</v>
      </c>
      <c r="AD103" s="203">
        <f t="shared" si="186"/>
        <v>0</v>
      </c>
      <c r="AE103" s="37" t="str">
        <f t="shared" si="128"/>
        <v/>
      </c>
      <c r="AF103" s="202">
        <f t="shared" si="187"/>
        <v>0</v>
      </c>
      <c r="AG103" s="201">
        <f t="shared" si="188"/>
        <v>0</v>
      </c>
      <c r="AH103" s="61">
        <f t="shared" si="131"/>
        <v>13.587999999999997</v>
      </c>
      <c r="AI103" s="443">
        <f t="shared" si="233"/>
        <v>0</v>
      </c>
      <c r="AJ103" s="444">
        <f t="shared" si="189"/>
        <v>0</v>
      </c>
      <c r="AK103" s="445">
        <f t="shared" si="190"/>
        <v>0</v>
      </c>
      <c r="AL103" s="446">
        <f t="shared" si="191"/>
        <v>0</v>
      </c>
      <c r="AM103" s="447">
        <f t="shared" si="192"/>
        <v>0</v>
      </c>
      <c r="AN103" s="24">
        <f t="shared" si="193"/>
        <v>13.587999999999997</v>
      </c>
      <c r="AO103" s="443">
        <f t="shared" si="137"/>
        <v>0</v>
      </c>
      <c r="AP103" s="444">
        <f t="shared" si="194"/>
        <v>0</v>
      </c>
      <c r="AQ103" s="445">
        <f t="shared" si="195"/>
        <v>0</v>
      </c>
      <c r="AR103" s="446">
        <f t="shared" si="196"/>
        <v>0</v>
      </c>
      <c r="AS103" s="447">
        <f t="shared" si="197"/>
        <v>0</v>
      </c>
      <c r="AT103" s="24">
        <f t="shared" si="198"/>
        <v>13.587999999999997</v>
      </c>
      <c r="AU103" s="443">
        <f t="shared" si="143"/>
        <v>0</v>
      </c>
      <c r="AV103" s="444">
        <f t="shared" si="199"/>
        <v>0</v>
      </c>
      <c r="AW103" s="445">
        <f t="shared" si="200"/>
        <v>0</v>
      </c>
      <c r="AX103" s="446">
        <f t="shared" si="201"/>
        <v>0</v>
      </c>
      <c r="AY103" s="447">
        <f t="shared" si="202"/>
        <v>0</v>
      </c>
      <c r="AZ103" s="24">
        <f t="shared" si="203"/>
        <v>13.587999999999997</v>
      </c>
      <c r="BA103" s="43">
        <f>IF(BB103=0,0,
IF(D103=1,
(IF(AND(AH103&gt;'Данные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"ошибка_1"))))))),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"ошибка_2"))))))))</f>
        <v>0</v>
      </c>
      <c r="BB103" s="43">
        <f>IF(OR($AI$9=0,AND(D103&gt;1,F103&gt;10)),0,
IF(D103=1,
(IF(AND(AH103&gt;'Данные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"ошибка_1"))))))),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IF(AND(AH103&gt;'Данные ТНПА'!#REF!,AH103&lt;='Данные ТНПА'!#REF!),'Данные ТНПА'!#REF!,
"ошибка_2"))))))))</f>
        <v>0</v>
      </c>
      <c r="BC103" s="43">
        <f t="shared" si="204"/>
        <v>13.587999999999997</v>
      </c>
      <c r="BD103" s="237">
        <f t="shared" si="205"/>
        <v>0</v>
      </c>
      <c r="BE103" s="43">
        <f t="shared" si="206"/>
        <v>0</v>
      </c>
      <c r="BF103" s="201">
        <f t="shared" si="207"/>
        <v>0</v>
      </c>
      <c r="BG103" s="201">
        <f t="shared" si="208"/>
        <v>0</v>
      </c>
      <c r="BH103" s="61">
        <f t="shared" si="209"/>
        <v>13.587999999999997</v>
      </c>
      <c r="BI103" s="237">
        <f t="shared" si="210"/>
        <v>0</v>
      </c>
      <c r="BJ103" s="247">
        <f t="shared" si="211"/>
        <v>0</v>
      </c>
      <c r="BK103" s="431">
        <f t="shared" si="212"/>
        <v>0</v>
      </c>
      <c r="BL103" s="250">
        <f t="shared" si="213"/>
        <v>0</v>
      </c>
      <c r="BM103" s="237">
        <f t="shared" si="214"/>
        <v>0</v>
      </c>
      <c r="BN103" s="452">
        <f t="shared" si="215"/>
        <v>13.587999999999997</v>
      </c>
      <c r="BO103" s="237">
        <f t="shared" si="216"/>
        <v>0</v>
      </c>
      <c r="BP103" s="432">
        <f t="shared" si="217"/>
        <v>0</v>
      </c>
      <c r="BQ103" s="22" t="str">
        <f t="shared" si="218"/>
        <v/>
      </c>
      <c r="BR103" s="250">
        <f t="shared" si="219"/>
        <v>0</v>
      </c>
      <c r="BS103" s="237">
        <f t="shared" si="220"/>
        <v>0</v>
      </c>
      <c r="BT103" s="452">
        <f t="shared" si="221"/>
        <v>13.587999999999997</v>
      </c>
      <c r="BU103" s="492">
        <f t="shared" si="222"/>
        <v>1.1749999999999998</v>
      </c>
      <c r="BV103" s="493">
        <f>IF(BT103="","",
IF(AND(BT103&gt;'Данные ТНПА'!$K$8,BT103&lt;='Данные ТНПА'!$L$8),'Данные ТНПА'!$N$8,
IF(AND(BT103&gt;'Данные ТНПА'!$K$9,BT103&lt;='Данные ТНПА'!$L$9),'Данные ТНПА'!$N$9,
IF(AND(BT103&gt;'Данные ТНПА'!$K$10,BT103&lt;='Данные ТНПА'!$L$10),'Данные ТНПА'!$N$10,
IF(AND(BT103&gt;'Данные ТНПА'!$K$11,BT103&lt;='Данные ТНПА'!$L$11),'Данные ТНПА'!$N$11,
IF(AND(BT103&gt;'Данные ТНПА'!$K$12,BT103&lt;='Данные ТНПА'!$L$12),'Данные ТНПА'!$N$12,
IF(AND(BT103&gt;'Данные ТНПА'!$K$13,BT103&lt;='Данные ТНПА'!$L$13),'Данные ТНПА'!$N$13,
IF(AND(BT103&gt;'Данные ТНПА'!$K$14,BT103&lt;='Данные ТНПА'!$L$14),'Данные ТНПА'!$N$14))))))))</f>
        <v>1.5</v>
      </c>
      <c r="BW103" s="493">
        <f t="shared" si="223"/>
        <v>16.587999999999997</v>
      </c>
      <c r="BX103" s="457">
        <f t="shared" si="169"/>
        <v>130.50720000000001</v>
      </c>
      <c r="BY103" s="457">
        <f t="shared" si="170"/>
        <v>0</v>
      </c>
      <c r="BZ103" s="457">
        <f t="shared" si="171"/>
        <v>62.036486383581163</v>
      </c>
      <c r="CA103" s="457" t="e">
        <f t="shared" si="224"/>
        <v>#REF!</v>
      </c>
      <c r="CB103" s="458">
        <f t="shared" si="225"/>
        <v>0</v>
      </c>
      <c r="CC103" s="457">
        <f t="shared" si="226"/>
        <v>0</v>
      </c>
      <c r="CD103" s="457">
        <f t="shared" si="227"/>
        <v>0</v>
      </c>
      <c r="CE103" s="457">
        <f t="shared" si="228"/>
        <v>0</v>
      </c>
      <c r="CF103" s="457">
        <f t="shared" si="229"/>
        <v>0</v>
      </c>
      <c r="CG103" s="458">
        <f t="shared" si="178"/>
        <v>0</v>
      </c>
      <c r="CH103" s="457">
        <f t="shared" si="230"/>
        <v>0</v>
      </c>
      <c r="CI103" s="457">
        <f t="shared" si="231"/>
        <v>0</v>
      </c>
      <c r="CJ103" s="458">
        <f t="shared" si="232"/>
        <v>0</v>
      </c>
      <c r="CK103" s="458">
        <f t="shared" si="182"/>
        <v>103.52236430688035</v>
      </c>
      <c r="CL103" s="457">
        <f t="shared" si="183"/>
        <v>296.06605069046157</v>
      </c>
      <c r="CM103" s="504"/>
      <c r="CN103" s="504"/>
    </row>
    <row r="104" spans="1:92" s="207" customFormat="1" ht="14.25" hidden="1" customHeight="1" x14ac:dyDescent="0.25">
      <c r="A104" s="389" t="str">
        <f>IF(D104="",CONCATENATE("Кабель ",IF(C104="а","А",""),$A$9),CONCATENATE("Кабель ",IF(C104="а","А",""),$A$9," ",D104,"*",F104,IF(G104="ок"," (ож)","")," - ",B104," ",IF(G104="мс"," фас. ",""),$A$2))</f>
        <v>Кабель АВВГ 3*25 (ож) - 0,66 ГОСТ 16442-80</v>
      </c>
      <c r="B104" s="450">
        <v>0.66</v>
      </c>
      <c r="C104" s="451" t="s">
        <v>164</v>
      </c>
      <c r="D104" s="412">
        <v>3</v>
      </c>
      <c r="E104" s="413" t="s">
        <v>40</v>
      </c>
      <c r="F104" s="423">
        <v>25</v>
      </c>
      <c r="G104" s="414" t="str">
        <f>IF(I104=1,"ок","мк")</f>
        <v>ок</v>
      </c>
      <c r="H104" s="461">
        <v>5.6499999999999995</v>
      </c>
      <c r="I104" s="497">
        <v>1</v>
      </c>
      <c r="J104" s="498" t="s">
        <v>40</v>
      </c>
      <c r="K104" s="496">
        <f>ROUNDUP(SQRT(F104/PI()*4),2)</f>
        <v>5.6499999999999995</v>
      </c>
      <c r="L104" s="501">
        <v>7.1000000000000005</v>
      </c>
      <c r="M104" s="475"/>
      <c r="N104" s="475"/>
      <c r="O104" s="475"/>
      <c r="P104" s="475"/>
      <c r="Q104" s="483">
        <f t="shared" si="184"/>
        <v>0.89000000000000012</v>
      </c>
      <c r="R104" s="484">
        <f>IF(B104=0.66,VLOOKUP(F104,'Данные ТНПА'!$B$8:$C$16,2,0),
IF(B104=1,VLOOKUP(F104,'Данные ТНПА'!$B$17:$C$37,2,0),"ошибка"))</f>
        <v>1.1000000000000001</v>
      </c>
      <c r="S104" s="485">
        <f t="shared" si="120"/>
        <v>7.43</v>
      </c>
      <c r="T104" s="486"/>
      <c r="U104" s="487"/>
      <c r="V104" s="485">
        <f t="shared" si="121"/>
        <v>7.85</v>
      </c>
      <c r="W104" s="486"/>
      <c r="X104" s="487"/>
      <c r="Y104" s="489">
        <f t="shared" si="122"/>
        <v>0</v>
      </c>
      <c r="Z104" s="491">
        <f t="shared" si="123"/>
        <v>16.877499999999998</v>
      </c>
      <c r="AA104" s="237">
        <f t="shared" si="124"/>
        <v>0</v>
      </c>
      <c r="AB104" s="452">
        <f t="shared" si="185"/>
        <v>16.877499999999998</v>
      </c>
      <c r="AC104" s="201">
        <f t="shared" si="126"/>
        <v>0</v>
      </c>
      <c r="AD104" s="203">
        <f t="shared" si="186"/>
        <v>0</v>
      </c>
      <c r="AE104" s="37" t="str">
        <f t="shared" si="128"/>
        <v/>
      </c>
      <c r="AF104" s="202">
        <f t="shared" si="187"/>
        <v>0</v>
      </c>
      <c r="AG104" s="201">
        <f t="shared" si="188"/>
        <v>0</v>
      </c>
      <c r="AH104" s="61">
        <f t="shared" si="131"/>
        <v>16.877499999999998</v>
      </c>
      <c r="AI104" s="443">
        <f t="shared" si="233"/>
        <v>0</v>
      </c>
      <c r="AJ104" s="444">
        <f t="shared" si="189"/>
        <v>0</v>
      </c>
      <c r="AK104" s="445">
        <f t="shared" si="190"/>
        <v>0</v>
      </c>
      <c r="AL104" s="446">
        <f t="shared" si="191"/>
        <v>0</v>
      </c>
      <c r="AM104" s="447">
        <f t="shared" si="192"/>
        <v>0</v>
      </c>
      <c r="AN104" s="24">
        <f t="shared" si="193"/>
        <v>16.877499999999998</v>
      </c>
      <c r="AO104" s="443">
        <f t="shared" si="137"/>
        <v>0</v>
      </c>
      <c r="AP104" s="444">
        <f t="shared" si="194"/>
        <v>0</v>
      </c>
      <c r="AQ104" s="445">
        <f t="shared" si="195"/>
        <v>0</v>
      </c>
      <c r="AR104" s="446">
        <f t="shared" si="196"/>
        <v>0</v>
      </c>
      <c r="AS104" s="447">
        <f t="shared" si="197"/>
        <v>0</v>
      </c>
      <c r="AT104" s="24">
        <f t="shared" si="198"/>
        <v>16.877499999999998</v>
      </c>
      <c r="AU104" s="443">
        <f t="shared" si="143"/>
        <v>0</v>
      </c>
      <c r="AV104" s="444">
        <f t="shared" si="199"/>
        <v>0</v>
      </c>
      <c r="AW104" s="445">
        <f t="shared" si="200"/>
        <v>0</v>
      </c>
      <c r="AX104" s="446">
        <f t="shared" si="201"/>
        <v>0</v>
      </c>
      <c r="AY104" s="447">
        <f t="shared" si="202"/>
        <v>0</v>
      </c>
      <c r="AZ104" s="24">
        <f t="shared" si="203"/>
        <v>16.877499999999998</v>
      </c>
      <c r="BA104" s="43">
        <f>IF(BB104=0,0,
IF(D104=1,
(IF(AND(AH104&gt;'Данные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"ошибка_1"))))))),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"ошибка_2"))))))))</f>
        <v>0</v>
      </c>
      <c r="BB104" s="43">
        <f>IF(OR($AI$9=0,AND(D104&gt;1,F104&gt;10)),0,
IF(D104=1,
(IF(AND(AH104&gt;'Данные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"ошибка_1"))))))),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IF(AND(AH104&gt;'Данные ТНПА'!#REF!,AH104&lt;='Данные ТНПА'!#REF!),'Данные ТНПА'!#REF!,
"ошибка_2"))))))))</f>
        <v>0</v>
      </c>
      <c r="BC104" s="43">
        <f t="shared" si="204"/>
        <v>16.877499999999998</v>
      </c>
      <c r="BD104" s="237">
        <f t="shared" si="205"/>
        <v>0</v>
      </c>
      <c r="BE104" s="43">
        <f t="shared" si="206"/>
        <v>0</v>
      </c>
      <c r="BF104" s="201">
        <f t="shared" si="207"/>
        <v>0</v>
      </c>
      <c r="BG104" s="201">
        <f t="shared" si="208"/>
        <v>0</v>
      </c>
      <c r="BH104" s="61">
        <f t="shared" si="209"/>
        <v>16.877499999999998</v>
      </c>
      <c r="BI104" s="237">
        <f t="shared" si="210"/>
        <v>0</v>
      </c>
      <c r="BJ104" s="247">
        <f t="shared" si="211"/>
        <v>0</v>
      </c>
      <c r="BK104" s="431">
        <f t="shared" si="212"/>
        <v>0</v>
      </c>
      <c r="BL104" s="250">
        <f t="shared" si="213"/>
        <v>0</v>
      </c>
      <c r="BM104" s="237">
        <f t="shared" si="214"/>
        <v>0</v>
      </c>
      <c r="BN104" s="452">
        <f t="shared" si="215"/>
        <v>16.877499999999998</v>
      </c>
      <c r="BO104" s="237">
        <f t="shared" si="216"/>
        <v>0</v>
      </c>
      <c r="BP104" s="432">
        <f t="shared" si="217"/>
        <v>0</v>
      </c>
      <c r="BQ104" s="22" t="str">
        <f t="shared" si="218"/>
        <v/>
      </c>
      <c r="BR104" s="250">
        <f t="shared" si="219"/>
        <v>0</v>
      </c>
      <c r="BS104" s="237">
        <f t="shared" si="220"/>
        <v>0</v>
      </c>
      <c r="BT104" s="452">
        <f t="shared" si="221"/>
        <v>16.877499999999998</v>
      </c>
      <c r="BU104" s="492">
        <f t="shared" si="222"/>
        <v>1.3449999999999998</v>
      </c>
      <c r="BV104" s="493">
        <f>IF(BT104="","",
IF(AND(BT104&gt;'Данные ТНПА'!$K$8,BT104&lt;='Данные ТНПА'!$L$8),'Данные ТНПА'!$N$8,
IF(AND(BT104&gt;'Данные ТНПА'!$K$9,BT104&lt;='Данные ТНПА'!$L$9),'Данные ТНПА'!$N$9,
IF(AND(BT104&gt;'Данные ТНПА'!$K$10,BT104&lt;='Данные ТНПА'!$L$10),'Данные ТНПА'!$N$10,
IF(AND(BT104&gt;'Данные ТНПА'!$K$11,BT104&lt;='Данные ТНПА'!$L$11),'Данные ТНПА'!$N$11,
IF(AND(BT104&gt;'Данные ТНПА'!$K$12,BT104&lt;='Данные ТНПА'!$L$12),'Данные ТНПА'!$N$12,
IF(AND(BT104&gt;'Данные ТНПА'!$K$13,BT104&lt;='Данные ТНПА'!$L$13),'Данные ТНПА'!$N$13,
IF(AND(BT104&gt;'Данные ТНПА'!$K$14,BT104&lt;='Данные ТНПА'!$L$14),'Данные ТНПА'!$N$14))))))))</f>
        <v>1.7</v>
      </c>
      <c r="BW104" s="493">
        <f t="shared" si="223"/>
        <v>20.277499999999996</v>
      </c>
      <c r="BX104" s="457">
        <f t="shared" si="169"/>
        <v>203.91749999999999</v>
      </c>
      <c r="BY104" s="457">
        <f t="shared" si="170"/>
        <v>0</v>
      </c>
      <c r="BZ104" s="457">
        <f t="shared" si="171"/>
        <v>94.428231118919655</v>
      </c>
      <c r="CA104" s="457" t="e">
        <f t="shared" si="224"/>
        <v>#REF!</v>
      </c>
      <c r="CB104" s="458">
        <f t="shared" si="225"/>
        <v>0</v>
      </c>
      <c r="CC104" s="457">
        <f t="shared" si="226"/>
        <v>0</v>
      </c>
      <c r="CD104" s="457">
        <f t="shared" si="227"/>
        <v>0</v>
      </c>
      <c r="CE104" s="457">
        <f t="shared" si="228"/>
        <v>0</v>
      </c>
      <c r="CF104" s="457">
        <f t="shared" si="229"/>
        <v>0</v>
      </c>
      <c r="CG104" s="458">
        <f t="shared" si="178"/>
        <v>0</v>
      </c>
      <c r="CH104" s="457">
        <f t="shared" si="230"/>
        <v>0</v>
      </c>
      <c r="CI104" s="457">
        <f t="shared" si="231"/>
        <v>0</v>
      </c>
      <c r="CJ104" s="458">
        <f t="shared" si="232"/>
        <v>0</v>
      </c>
      <c r="CK104" s="458">
        <f t="shared" si="182"/>
        <v>144.45994295461369</v>
      </c>
      <c r="CL104" s="457">
        <f t="shared" si="183"/>
        <v>442.80567407353328</v>
      </c>
      <c r="CM104" s="504"/>
      <c r="CN104" s="504"/>
    </row>
    <row r="105" spans="1:92" s="207" customFormat="1" ht="14.25" hidden="1" customHeight="1" x14ac:dyDescent="0.25">
      <c r="A105" s="389" t="str">
        <f>IF(D105="",CONCATENATE("Кабель ",IF(C105="а","А",""),$A$9),CONCATENATE("Кабель ",IF(C105="а","А",""),$A$9," ",D105,"*",F105,IF(G105="ок"," (ож)","")," - ",B105," ",IF(G105="мс"," фас. ",""),$A$2))</f>
        <v>Кабель АВВГ 3*35 (ож) - 0,66 ГОСТ 16442-80</v>
      </c>
      <c r="B105" s="450">
        <v>0.66</v>
      </c>
      <c r="C105" s="451" t="s">
        <v>164</v>
      </c>
      <c r="D105" s="412">
        <v>3</v>
      </c>
      <c r="E105" s="413" t="s">
        <v>40</v>
      </c>
      <c r="F105" s="423">
        <v>35</v>
      </c>
      <c r="G105" s="414" t="str">
        <f>IF(I105=1,"ок","мк")</f>
        <v>ок</v>
      </c>
      <c r="H105" s="461">
        <v>6.68</v>
      </c>
      <c r="I105" s="497">
        <v>1</v>
      </c>
      <c r="J105" s="498" t="s">
        <v>40</v>
      </c>
      <c r="K105" s="496">
        <f>ROUNDUP(SQRT(F105/PI()*4),2)</f>
        <v>6.68</v>
      </c>
      <c r="L105" s="501">
        <v>8.15</v>
      </c>
      <c r="M105" s="475"/>
      <c r="N105" s="475"/>
      <c r="O105" s="475"/>
      <c r="P105" s="475"/>
      <c r="Q105" s="483">
        <f t="shared" si="184"/>
        <v>0.89000000000000012</v>
      </c>
      <c r="R105" s="484">
        <f>IF(B105=0.66,VLOOKUP(F105,'Данные ТНПА'!$B$8:$C$16,2,0),
IF(B105=1,VLOOKUP(F105,'Данные ТНПА'!$B$17:$C$37,2,0),"ошибка"))</f>
        <v>1.1000000000000001</v>
      </c>
      <c r="S105" s="485">
        <f t="shared" si="120"/>
        <v>8.4600000000000009</v>
      </c>
      <c r="T105" s="486"/>
      <c r="U105" s="487"/>
      <c r="V105" s="485">
        <f t="shared" si="121"/>
        <v>8.879999999999999</v>
      </c>
      <c r="W105" s="486"/>
      <c r="X105" s="487"/>
      <c r="Y105" s="489">
        <f t="shared" si="122"/>
        <v>0</v>
      </c>
      <c r="Z105" s="491">
        <f t="shared" si="123"/>
        <v>19.091999999999999</v>
      </c>
      <c r="AA105" s="237">
        <f t="shared" si="124"/>
        <v>0</v>
      </c>
      <c r="AB105" s="452">
        <f t="shared" si="185"/>
        <v>19.091999999999999</v>
      </c>
      <c r="AC105" s="201">
        <f t="shared" si="126"/>
        <v>0</v>
      </c>
      <c r="AD105" s="203">
        <f t="shared" si="186"/>
        <v>0</v>
      </c>
      <c r="AE105" s="37" t="str">
        <f t="shared" si="128"/>
        <v/>
      </c>
      <c r="AF105" s="202">
        <f t="shared" si="187"/>
        <v>0</v>
      </c>
      <c r="AG105" s="201">
        <f t="shared" si="188"/>
        <v>0</v>
      </c>
      <c r="AH105" s="61">
        <f t="shared" si="131"/>
        <v>19.091999999999999</v>
      </c>
      <c r="AI105" s="443">
        <f t="shared" si="233"/>
        <v>0</v>
      </c>
      <c r="AJ105" s="444">
        <f t="shared" si="189"/>
        <v>0</v>
      </c>
      <c r="AK105" s="445">
        <f t="shared" si="190"/>
        <v>0</v>
      </c>
      <c r="AL105" s="446">
        <f t="shared" si="191"/>
        <v>0</v>
      </c>
      <c r="AM105" s="447">
        <f t="shared" si="192"/>
        <v>0</v>
      </c>
      <c r="AN105" s="24">
        <f t="shared" si="193"/>
        <v>19.091999999999999</v>
      </c>
      <c r="AO105" s="443">
        <f t="shared" si="137"/>
        <v>0</v>
      </c>
      <c r="AP105" s="444">
        <f t="shared" si="194"/>
        <v>0</v>
      </c>
      <c r="AQ105" s="445">
        <f t="shared" si="195"/>
        <v>0</v>
      </c>
      <c r="AR105" s="446">
        <f t="shared" si="196"/>
        <v>0</v>
      </c>
      <c r="AS105" s="447">
        <f t="shared" si="197"/>
        <v>0</v>
      </c>
      <c r="AT105" s="24">
        <f t="shared" si="198"/>
        <v>19.091999999999999</v>
      </c>
      <c r="AU105" s="443">
        <f t="shared" si="143"/>
        <v>0</v>
      </c>
      <c r="AV105" s="444">
        <f t="shared" si="199"/>
        <v>0</v>
      </c>
      <c r="AW105" s="445">
        <f t="shared" si="200"/>
        <v>0</v>
      </c>
      <c r="AX105" s="446">
        <f t="shared" si="201"/>
        <v>0</v>
      </c>
      <c r="AY105" s="447">
        <f t="shared" si="202"/>
        <v>0</v>
      </c>
      <c r="AZ105" s="24">
        <f t="shared" si="203"/>
        <v>19.091999999999999</v>
      </c>
      <c r="BA105" s="43">
        <f>IF(BB105=0,0,
IF(D105=1,
(IF(AND(AH105&gt;'Данные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"ошибка_1"))))))),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"ошибка_2"))))))))</f>
        <v>0</v>
      </c>
      <c r="BB105" s="43">
        <f>IF(OR($AI$9=0,AND(D105&gt;1,F105&gt;10)),0,
IF(D105=1,
(IF(AND(AH105&gt;'Данные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"ошибка_1"))))))),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IF(AND(AH105&gt;'Данные ТНПА'!#REF!,AH105&lt;='Данные ТНПА'!#REF!),'Данные ТНПА'!#REF!,
"ошибка_2"))))))))</f>
        <v>0</v>
      </c>
      <c r="BC105" s="43">
        <f t="shared" si="204"/>
        <v>19.091999999999999</v>
      </c>
      <c r="BD105" s="237">
        <f t="shared" si="205"/>
        <v>0</v>
      </c>
      <c r="BE105" s="43">
        <f t="shared" si="206"/>
        <v>0</v>
      </c>
      <c r="BF105" s="201">
        <f t="shared" si="207"/>
        <v>0</v>
      </c>
      <c r="BG105" s="201">
        <f t="shared" si="208"/>
        <v>0</v>
      </c>
      <c r="BH105" s="61">
        <f t="shared" si="209"/>
        <v>19.091999999999999</v>
      </c>
      <c r="BI105" s="237">
        <f t="shared" si="210"/>
        <v>0</v>
      </c>
      <c r="BJ105" s="247">
        <f t="shared" si="211"/>
        <v>0</v>
      </c>
      <c r="BK105" s="431">
        <f t="shared" si="212"/>
        <v>0</v>
      </c>
      <c r="BL105" s="250">
        <f t="shared" si="213"/>
        <v>0</v>
      </c>
      <c r="BM105" s="237">
        <f t="shared" si="214"/>
        <v>0</v>
      </c>
      <c r="BN105" s="452">
        <f t="shared" si="215"/>
        <v>19.091999999999999</v>
      </c>
      <c r="BO105" s="237">
        <f t="shared" si="216"/>
        <v>0</v>
      </c>
      <c r="BP105" s="432">
        <f t="shared" si="217"/>
        <v>0</v>
      </c>
      <c r="BQ105" s="22" t="str">
        <f t="shared" si="218"/>
        <v/>
      </c>
      <c r="BR105" s="250">
        <f t="shared" si="219"/>
        <v>0</v>
      </c>
      <c r="BS105" s="237">
        <f t="shared" si="220"/>
        <v>0</v>
      </c>
      <c r="BT105" s="452">
        <f t="shared" si="221"/>
        <v>19.091999999999999</v>
      </c>
      <c r="BU105" s="492">
        <f t="shared" si="222"/>
        <v>1.3449999999999998</v>
      </c>
      <c r="BV105" s="493">
        <f>IF(BT105="","",
IF(AND(BT105&gt;'Данные ТНПА'!$K$8,BT105&lt;='Данные ТНПА'!$L$8),'Данные ТНПА'!$N$8,
IF(AND(BT105&gt;'Данные ТНПА'!$K$9,BT105&lt;='Данные ТНПА'!$L$9),'Данные ТНПА'!$N$9,
IF(AND(BT105&gt;'Данные ТНПА'!$K$10,BT105&lt;='Данные ТНПА'!$L$10),'Данные ТНПА'!$N$10,
IF(AND(BT105&gt;'Данные ТНПА'!$K$11,BT105&lt;='Данные ТНПА'!$L$11),'Данные ТНПА'!$N$11,
IF(AND(BT105&gt;'Данные ТНПА'!$K$12,BT105&lt;='Данные ТНПА'!$L$12),'Данные ТНПА'!$N$12,
IF(AND(BT105&gt;'Данные ТНПА'!$K$13,BT105&lt;='Данные ТНПА'!$L$13),'Данные ТНПА'!$N$13,
IF(AND(BT105&gt;'Данные ТНПА'!$K$14,BT105&lt;='Данные ТНПА'!$L$14),'Данные ТНПА'!$N$14))))))))</f>
        <v>1.7</v>
      </c>
      <c r="BW105" s="493">
        <f t="shared" si="223"/>
        <v>22.491999999999997</v>
      </c>
      <c r="BX105" s="457">
        <f t="shared" si="169"/>
        <v>285.48449999999997</v>
      </c>
      <c r="BY105" s="457">
        <f t="shared" si="170"/>
        <v>0</v>
      </c>
      <c r="BZ105" s="457">
        <f t="shared" si="171"/>
        <v>108.83727971928813</v>
      </c>
      <c r="CA105" s="457" t="e">
        <f t="shared" si="224"/>
        <v>#REF!</v>
      </c>
      <c r="CB105" s="458">
        <f t="shared" si="225"/>
        <v>0</v>
      </c>
      <c r="CC105" s="457">
        <f t="shared" si="226"/>
        <v>0</v>
      </c>
      <c r="CD105" s="457">
        <f t="shared" si="227"/>
        <v>0</v>
      </c>
      <c r="CE105" s="457">
        <f t="shared" si="228"/>
        <v>0</v>
      </c>
      <c r="CF105" s="457">
        <f t="shared" si="229"/>
        <v>0</v>
      </c>
      <c r="CG105" s="458">
        <f t="shared" si="178"/>
        <v>0</v>
      </c>
      <c r="CH105" s="457">
        <f t="shared" si="230"/>
        <v>0</v>
      </c>
      <c r="CI105" s="457">
        <f t="shared" si="231"/>
        <v>0</v>
      </c>
      <c r="CJ105" s="458">
        <f t="shared" si="232"/>
        <v>0</v>
      </c>
      <c r="CK105" s="458">
        <f t="shared" si="182"/>
        <v>161.68005027115211</v>
      </c>
      <c r="CL105" s="457">
        <f t="shared" si="183"/>
        <v>556.00182999044023</v>
      </c>
      <c r="CM105" s="504"/>
      <c r="CN105" s="504"/>
    </row>
    <row r="106" spans="1:92" s="207" customFormat="1" ht="14.25" hidden="1" customHeight="1" x14ac:dyDescent="0.25">
      <c r="A106" s="389" t="str">
        <f>IF(D106="",CONCATENATE("Кабель ",IF(C106="а","А",""),$A$9),CONCATENATE("Кабель ",IF(C106="а","А",""),$A$9," ",D106,"*",F106,IF(G106="ок"," (ож)","")," - ",B106," ",IF(G106="мс"," фас. ",""),$A$2))</f>
        <v>Кабель АВВГ 4*25 - 0,66 ГОСТ 16442-80</v>
      </c>
      <c r="B106" s="450">
        <v>0.66</v>
      </c>
      <c r="C106" s="451" t="s">
        <v>164</v>
      </c>
      <c r="D106" s="412">
        <v>4</v>
      </c>
      <c r="E106" s="413" t="s">
        <v>40</v>
      </c>
      <c r="F106" s="423">
        <v>25</v>
      </c>
      <c r="G106" s="414" t="str">
        <f>IF(I106=1,"ок","мк")</f>
        <v>мк</v>
      </c>
      <c r="H106" s="461">
        <v>2.21</v>
      </c>
      <c r="I106" s="476">
        <v>7</v>
      </c>
      <c r="J106" s="477" t="s">
        <v>40</v>
      </c>
      <c r="K106" s="470">
        <f>ROUNDUP(SQRT(F106/I106/PI()*4*1.07),2)</f>
        <v>2.21</v>
      </c>
      <c r="L106" s="501">
        <v>1.79</v>
      </c>
      <c r="M106" s="475"/>
      <c r="N106" s="475"/>
      <c r="O106" s="475"/>
      <c r="P106" s="475"/>
      <c r="Q106" s="483">
        <f t="shared" si="184"/>
        <v>0.89000000000000012</v>
      </c>
      <c r="R106" s="484">
        <f>IF(B106=0.66,VLOOKUP(F106,'Данные ТНПА'!$B$8:$C$16,2,0),
IF(B106=1,VLOOKUP(F106,'Данные ТНПА'!$B$17:$C$37,2,0),"ошибка"))</f>
        <v>1.1000000000000001</v>
      </c>
      <c r="S106" s="485">
        <f t="shared" si="120"/>
        <v>3.5700000000000003</v>
      </c>
      <c r="T106" s="486"/>
      <c r="U106" s="487"/>
      <c r="V106" s="485">
        <f t="shared" si="121"/>
        <v>3.99</v>
      </c>
      <c r="W106" s="486"/>
      <c r="X106" s="487"/>
      <c r="Y106" s="489">
        <f t="shared" si="122"/>
        <v>1.7</v>
      </c>
      <c r="Z106" s="491">
        <f t="shared" si="123"/>
        <v>9.6159000000000017</v>
      </c>
      <c r="AA106" s="237">
        <f t="shared" si="124"/>
        <v>0</v>
      </c>
      <c r="AB106" s="452">
        <f t="shared" si="185"/>
        <v>9.6159000000000017</v>
      </c>
      <c r="AC106" s="201">
        <f t="shared" si="126"/>
        <v>0</v>
      </c>
      <c r="AD106" s="203">
        <f t="shared" si="186"/>
        <v>0</v>
      </c>
      <c r="AE106" s="37" t="str">
        <f t="shared" si="128"/>
        <v/>
      </c>
      <c r="AF106" s="202">
        <f t="shared" si="187"/>
        <v>0</v>
      </c>
      <c r="AG106" s="201">
        <f t="shared" si="188"/>
        <v>0</v>
      </c>
      <c r="AH106" s="61">
        <f t="shared" si="131"/>
        <v>9.6159000000000017</v>
      </c>
      <c r="AI106" s="443">
        <f t="shared" si="233"/>
        <v>0</v>
      </c>
      <c r="AJ106" s="444">
        <f t="shared" si="189"/>
        <v>0</v>
      </c>
      <c r="AK106" s="445">
        <f t="shared" si="190"/>
        <v>0</v>
      </c>
      <c r="AL106" s="446">
        <f t="shared" si="191"/>
        <v>0</v>
      </c>
      <c r="AM106" s="447">
        <f t="shared" si="192"/>
        <v>0</v>
      </c>
      <c r="AN106" s="24">
        <f t="shared" si="193"/>
        <v>9.6159000000000017</v>
      </c>
      <c r="AO106" s="443">
        <f t="shared" si="137"/>
        <v>0</v>
      </c>
      <c r="AP106" s="444">
        <f t="shared" si="194"/>
        <v>0</v>
      </c>
      <c r="AQ106" s="445">
        <f t="shared" si="195"/>
        <v>0</v>
      </c>
      <c r="AR106" s="446">
        <f t="shared" si="196"/>
        <v>0</v>
      </c>
      <c r="AS106" s="447">
        <f t="shared" si="197"/>
        <v>0</v>
      </c>
      <c r="AT106" s="24">
        <f t="shared" si="198"/>
        <v>9.6159000000000017</v>
      </c>
      <c r="AU106" s="443">
        <f t="shared" si="143"/>
        <v>0</v>
      </c>
      <c r="AV106" s="444">
        <f t="shared" si="199"/>
        <v>0</v>
      </c>
      <c r="AW106" s="445">
        <f t="shared" si="200"/>
        <v>0</v>
      </c>
      <c r="AX106" s="446">
        <f t="shared" si="201"/>
        <v>0</v>
      </c>
      <c r="AY106" s="447">
        <f t="shared" si="202"/>
        <v>0</v>
      </c>
      <c r="AZ106" s="24">
        <f t="shared" si="203"/>
        <v>9.6159000000000017</v>
      </c>
      <c r="BA106" s="43">
        <f>IF(BB106=0,0,
IF(D106=1,
(IF(AND(AH106&gt;'Данные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"ошибка_1"))))))),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"ошибка_2"))))))))</f>
        <v>0</v>
      </c>
      <c r="BB106" s="43">
        <f>IF(OR($AI$9=0,AND(D106&gt;1,F106&gt;10)),0,
IF(D106=1,
(IF(AND(AH106&gt;'Данные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"ошибка_1"))))))),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IF(AND(AH106&gt;'Данные ТНПА'!#REF!,AH106&lt;='Данные ТНПА'!#REF!),'Данные ТНПА'!#REF!,
"ошибка_2"))))))))</f>
        <v>0</v>
      </c>
      <c r="BC106" s="43">
        <f t="shared" si="204"/>
        <v>9.6159000000000017</v>
      </c>
      <c r="BD106" s="237">
        <f t="shared" si="205"/>
        <v>0</v>
      </c>
      <c r="BE106" s="43">
        <f t="shared" si="206"/>
        <v>0</v>
      </c>
      <c r="BF106" s="201">
        <f t="shared" si="207"/>
        <v>0</v>
      </c>
      <c r="BG106" s="201">
        <f t="shared" si="208"/>
        <v>0</v>
      </c>
      <c r="BH106" s="61">
        <f t="shared" si="209"/>
        <v>9.6159000000000017</v>
      </c>
      <c r="BI106" s="237">
        <f t="shared" si="210"/>
        <v>0</v>
      </c>
      <c r="BJ106" s="247">
        <f t="shared" si="211"/>
        <v>0</v>
      </c>
      <c r="BK106" s="431">
        <f t="shared" si="212"/>
        <v>0</v>
      </c>
      <c r="BL106" s="250">
        <f t="shared" si="213"/>
        <v>0</v>
      </c>
      <c r="BM106" s="237">
        <f t="shared" si="214"/>
        <v>0</v>
      </c>
      <c r="BN106" s="452">
        <f t="shared" si="215"/>
        <v>9.6159000000000017</v>
      </c>
      <c r="BO106" s="237">
        <f t="shared" si="216"/>
        <v>0</v>
      </c>
      <c r="BP106" s="432">
        <f t="shared" si="217"/>
        <v>0</v>
      </c>
      <c r="BQ106" s="22" t="str">
        <f t="shared" si="218"/>
        <v/>
      </c>
      <c r="BR106" s="250">
        <f t="shared" si="219"/>
        <v>0</v>
      </c>
      <c r="BS106" s="237">
        <f t="shared" si="220"/>
        <v>0</v>
      </c>
      <c r="BT106" s="452">
        <f t="shared" si="221"/>
        <v>9.6159000000000017</v>
      </c>
      <c r="BU106" s="492">
        <f t="shared" si="222"/>
        <v>1.1749999999999998</v>
      </c>
      <c r="BV106" s="493">
        <f>IF(BT106="","",
IF(AND(BT106&gt;'Данные ТНПА'!$K$8,BT106&lt;='Данные ТНПА'!$L$8),'Данные ТНПА'!$N$8,
IF(AND(BT106&gt;'Данные ТНПА'!$K$9,BT106&lt;='Данные ТНПА'!$L$9),'Данные ТНПА'!$N$9,
IF(AND(BT106&gt;'Данные ТНПА'!$K$10,BT106&lt;='Данные ТНПА'!$L$10),'Данные ТНПА'!$N$10,
IF(AND(BT106&gt;'Данные ТНПА'!$K$11,BT106&lt;='Данные ТНПА'!$L$11),'Данные ТНПА'!$N$11,
IF(AND(BT106&gt;'Данные ТНПА'!$K$12,BT106&lt;='Данные ТНПА'!$L$12),'Данные ТНПА'!$N$12,
IF(AND(BT106&gt;'Данные ТНПА'!$K$13,BT106&lt;='Данные ТНПА'!$L$13),'Данные ТНПА'!$N$13,
IF(AND(BT106&gt;'Данные ТНПА'!$K$14,BT106&lt;='Данные ТНПА'!$L$14),'Данные ТНПА'!$N$14))))))))</f>
        <v>1.5</v>
      </c>
      <c r="BW106" s="493">
        <f t="shared" si="223"/>
        <v>12.615900000000002</v>
      </c>
      <c r="BX106" s="457">
        <f t="shared" si="169"/>
        <v>271.89</v>
      </c>
      <c r="BY106" s="457">
        <f t="shared" si="170"/>
        <v>0</v>
      </c>
      <c r="BZ106" s="457">
        <f t="shared" si="171"/>
        <v>59.296266020157162</v>
      </c>
      <c r="CA106" s="457" t="e">
        <f t="shared" si="224"/>
        <v>#REF!</v>
      </c>
      <c r="CB106" s="458">
        <f t="shared" si="225"/>
        <v>0</v>
      </c>
      <c r="CC106" s="457">
        <f t="shared" si="226"/>
        <v>0</v>
      </c>
      <c r="CD106" s="457">
        <f t="shared" si="227"/>
        <v>0</v>
      </c>
      <c r="CE106" s="457">
        <f t="shared" si="228"/>
        <v>0</v>
      </c>
      <c r="CF106" s="457">
        <f t="shared" si="229"/>
        <v>0</v>
      </c>
      <c r="CG106" s="458">
        <f t="shared" si="178"/>
        <v>0</v>
      </c>
      <c r="CH106" s="457">
        <f t="shared" si="230"/>
        <v>0</v>
      </c>
      <c r="CI106" s="457">
        <f t="shared" si="231"/>
        <v>0</v>
      </c>
      <c r="CJ106" s="458">
        <f t="shared" si="232"/>
        <v>0</v>
      </c>
      <c r="CK106" s="458">
        <f t="shared" si="182"/>
        <v>76.268839435236714</v>
      </c>
      <c r="CL106" s="457">
        <f t="shared" si="183"/>
        <v>407.45510545539389</v>
      </c>
      <c r="CM106" s="504"/>
      <c r="CN106" s="504"/>
    </row>
    <row r="107" spans="1:92" s="207" customFormat="1" ht="14.25" hidden="1" customHeight="1" x14ac:dyDescent="0.25">
      <c r="A107" s="389" t="str">
        <f>IF(D107="",CONCATENATE("Кабель ",IF(C107="а","А",""),$A$9),CONCATENATE("Кабель ",IF(C107="а","А",""),$A$9," ",D107,"*",F107,IF(G107="ок"," (ож)","")," - ",B107," ",IF(G107="мс"," фас. ",""),$A$2))</f>
        <v>Кабель АВВГ 4*35 - 0,66 ГОСТ 16442-80</v>
      </c>
      <c r="B107" s="450">
        <v>0.66</v>
      </c>
      <c r="C107" s="451" t="s">
        <v>164</v>
      </c>
      <c r="D107" s="412">
        <v>4</v>
      </c>
      <c r="E107" s="413" t="s">
        <v>40</v>
      </c>
      <c r="F107" s="423">
        <v>35</v>
      </c>
      <c r="G107" s="414" t="str">
        <f>IF(I107=1,"ок","мк")</f>
        <v>мк</v>
      </c>
      <c r="H107" s="461">
        <v>2.61</v>
      </c>
      <c r="I107" s="476">
        <v>7</v>
      </c>
      <c r="J107" s="477" t="s">
        <v>40</v>
      </c>
      <c r="K107" s="470">
        <f>ROUNDUP(SQRT(F107/I107/PI()*4*1.07),2)</f>
        <v>2.61</v>
      </c>
      <c r="L107" s="501">
        <v>2.2599999999999998</v>
      </c>
      <c r="M107" s="475"/>
      <c r="N107" s="475"/>
      <c r="O107" s="475"/>
      <c r="P107" s="475"/>
      <c r="Q107" s="483">
        <f t="shared" si="184"/>
        <v>0.89000000000000012</v>
      </c>
      <c r="R107" s="484">
        <f>IF(B107=0.66,VLOOKUP(F107,'Данные ТНПА'!$B$8:$C$16,2,0),
IF(B107=1,VLOOKUP(F107,'Данные ТНПА'!$B$17:$C$37,2,0),"ошибка"))</f>
        <v>1.1000000000000001</v>
      </c>
      <c r="S107" s="485">
        <f t="shared" si="120"/>
        <v>4.04</v>
      </c>
      <c r="T107" s="486"/>
      <c r="U107" s="487"/>
      <c r="V107" s="485">
        <f t="shared" si="121"/>
        <v>4.46</v>
      </c>
      <c r="W107" s="486"/>
      <c r="X107" s="487"/>
      <c r="Y107" s="489">
        <f t="shared" si="122"/>
        <v>1.8</v>
      </c>
      <c r="Z107" s="491">
        <f t="shared" si="123"/>
        <v>10.7486</v>
      </c>
      <c r="AA107" s="237">
        <f t="shared" si="124"/>
        <v>0</v>
      </c>
      <c r="AB107" s="452">
        <f t="shared" si="185"/>
        <v>10.7486</v>
      </c>
      <c r="AC107" s="201">
        <f t="shared" si="126"/>
        <v>0</v>
      </c>
      <c r="AD107" s="203">
        <f t="shared" si="186"/>
        <v>0</v>
      </c>
      <c r="AE107" s="37" t="str">
        <f t="shared" si="128"/>
        <v/>
      </c>
      <c r="AF107" s="202">
        <f t="shared" si="187"/>
        <v>0</v>
      </c>
      <c r="AG107" s="201">
        <f t="shared" si="188"/>
        <v>0</v>
      </c>
      <c r="AH107" s="61">
        <f t="shared" si="131"/>
        <v>10.7486</v>
      </c>
      <c r="AI107" s="443">
        <f t="shared" si="233"/>
        <v>0</v>
      </c>
      <c r="AJ107" s="444">
        <f t="shared" si="189"/>
        <v>0</v>
      </c>
      <c r="AK107" s="445">
        <f t="shared" si="190"/>
        <v>0</v>
      </c>
      <c r="AL107" s="446">
        <f t="shared" si="191"/>
        <v>0</v>
      </c>
      <c r="AM107" s="447">
        <f t="shared" si="192"/>
        <v>0</v>
      </c>
      <c r="AN107" s="24">
        <f t="shared" si="193"/>
        <v>10.7486</v>
      </c>
      <c r="AO107" s="443">
        <f t="shared" si="137"/>
        <v>0</v>
      </c>
      <c r="AP107" s="444">
        <f t="shared" si="194"/>
        <v>0</v>
      </c>
      <c r="AQ107" s="445">
        <f t="shared" si="195"/>
        <v>0</v>
      </c>
      <c r="AR107" s="446">
        <f t="shared" si="196"/>
        <v>0</v>
      </c>
      <c r="AS107" s="447">
        <f t="shared" si="197"/>
        <v>0</v>
      </c>
      <c r="AT107" s="24">
        <f t="shared" si="198"/>
        <v>10.7486</v>
      </c>
      <c r="AU107" s="443">
        <f t="shared" si="143"/>
        <v>0</v>
      </c>
      <c r="AV107" s="444">
        <f t="shared" si="199"/>
        <v>0</v>
      </c>
      <c r="AW107" s="445">
        <f t="shared" si="200"/>
        <v>0</v>
      </c>
      <c r="AX107" s="446">
        <f t="shared" si="201"/>
        <v>0</v>
      </c>
      <c r="AY107" s="447">
        <f t="shared" si="202"/>
        <v>0</v>
      </c>
      <c r="AZ107" s="24">
        <f t="shared" si="203"/>
        <v>10.7486</v>
      </c>
      <c r="BA107" s="43">
        <f>IF(BB107=0,0,
IF(D107=1,
(IF(AND(AH107&gt;'Данные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"ошибка_1"))))))),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"ошибка_2"))))))))</f>
        <v>0</v>
      </c>
      <c r="BB107" s="43">
        <f>IF(OR($AI$9=0,AND(D107&gt;1,F107&gt;10)),0,
IF(D107=1,
(IF(AND(AH107&gt;'Данные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"ошибка_1"))))))),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IF(AND(AH107&gt;'Данные ТНПА'!#REF!,AH107&lt;='Данные ТНПА'!#REF!),'Данные ТНПА'!#REF!,
"ошибка_2"))))))))</f>
        <v>0</v>
      </c>
      <c r="BC107" s="43">
        <f t="shared" si="204"/>
        <v>10.7486</v>
      </c>
      <c r="BD107" s="237">
        <f t="shared" si="205"/>
        <v>0</v>
      </c>
      <c r="BE107" s="43">
        <f t="shared" si="206"/>
        <v>0</v>
      </c>
      <c r="BF107" s="201">
        <f t="shared" si="207"/>
        <v>0</v>
      </c>
      <c r="BG107" s="201">
        <f t="shared" si="208"/>
        <v>0</v>
      </c>
      <c r="BH107" s="61">
        <f t="shared" si="209"/>
        <v>10.7486</v>
      </c>
      <c r="BI107" s="237">
        <f t="shared" si="210"/>
        <v>0</v>
      </c>
      <c r="BJ107" s="247">
        <f t="shared" si="211"/>
        <v>0</v>
      </c>
      <c r="BK107" s="431">
        <f t="shared" si="212"/>
        <v>0</v>
      </c>
      <c r="BL107" s="250">
        <f t="shared" si="213"/>
        <v>0</v>
      </c>
      <c r="BM107" s="237">
        <f t="shared" si="214"/>
        <v>0</v>
      </c>
      <c r="BN107" s="452">
        <f t="shared" si="215"/>
        <v>10.7486</v>
      </c>
      <c r="BO107" s="237">
        <f t="shared" si="216"/>
        <v>0</v>
      </c>
      <c r="BP107" s="432">
        <f t="shared" si="217"/>
        <v>0</v>
      </c>
      <c r="BQ107" s="22" t="str">
        <f t="shared" si="218"/>
        <v/>
      </c>
      <c r="BR107" s="250">
        <f t="shared" si="219"/>
        <v>0</v>
      </c>
      <c r="BS107" s="237">
        <f t="shared" si="220"/>
        <v>0</v>
      </c>
      <c r="BT107" s="452">
        <f t="shared" si="221"/>
        <v>10.7486</v>
      </c>
      <c r="BU107" s="492">
        <f t="shared" si="222"/>
        <v>1.1749999999999998</v>
      </c>
      <c r="BV107" s="493">
        <f>IF(BT107="","",
IF(AND(BT107&gt;'Данные ТНПА'!$K$8,BT107&lt;='Данные ТНПА'!$L$8),'Данные ТНПА'!$N$8,
IF(AND(BT107&gt;'Данные ТНПА'!$K$9,BT107&lt;='Данные ТНПА'!$L$9),'Данные ТНПА'!$N$9,
IF(AND(BT107&gt;'Данные ТНПА'!$K$10,BT107&lt;='Данные ТНПА'!$L$10),'Данные ТНПА'!$N$10,
IF(AND(BT107&gt;'Данные ТНПА'!$K$11,BT107&lt;='Данные ТНПА'!$L$11),'Данные ТНПА'!$N$11,
IF(AND(BT107&gt;'Данные ТНПА'!$K$12,BT107&lt;='Данные ТНПА'!$L$12),'Данные ТНПА'!$N$12,
IF(AND(BT107&gt;'Данные ТНПА'!$K$13,BT107&lt;='Данные ТНПА'!$L$13),'Данные ТНПА'!$N$13,
IF(AND(BT107&gt;'Данные ТНПА'!$K$14,BT107&lt;='Данные ТНПА'!$L$14),'Данные ТНПА'!$N$14))))))))</f>
        <v>1.5</v>
      </c>
      <c r="BW107" s="493">
        <f t="shared" si="223"/>
        <v>13.7486</v>
      </c>
      <c r="BX107" s="457">
        <f t="shared" si="169"/>
        <v>380.64599999999996</v>
      </c>
      <c r="BY107" s="457">
        <f t="shared" si="170"/>
        <v>0</v>
      </c>
      <c r="BZ107" s="457">
        <f t="shared" si="171"/>
        <v>68.939603400597946</v>
      </c>
      <c r="CA107" s="457" t="e">
        <f t="shared" si="224"/>
        <v>#REF!</v>
      </c>
      <c r="CB107" s="458">
        <f t="shared" si="225"/>
        <v>0</v>
      </c>
      <c r="CC107" s="457">
        <f t="shared" si="226"/>
        <v>0</v>
      </c>
      <c r="CD107" s="457">
        <f t="shared" si="227"/>
        <v>0</v>
      </c>
      <c r="CE107" s="457">
        <f t="shared" si="228"/>
        <v>0</v>
      </c>
      <c r="CF107" s="457">
        <f t="shared" si="229"/>
        <v>0</v>
      </c>
      <c r="CG107" s="458">
        <f t="shared" si="178"/>
        <v>0</v>
      </c>
      <c r="CH107" s="457">
        <f t="shared" si="230"/>
        <v>0</v>
      </c>
      <c r="CI107" s="457">
        <f t="shared" si="231"/>
        <v>0</v>
      </c>
      <c r="CJ107" s="458">
        <f t="shared" si="232"/>
        <v>0</v>
      </c>
      <c r="CK107" s="458">
        <f t="shared" si="182"/>
        <v>84.040564120443719</v>
      </c>
      <c r="CL107" s="457">
        <f t="shared" si="183"/>
        <v>533.62616752104168</v>
      </c>
      <c r="CM107" s="504"/>
      <c r="CN107" s="504"/>
    </row>
    <row r="108" spans="1:92" s="207" customFormat="1" ht="14.25" hidden="1" customHeight="1" x14ac:dyDescent="0.25">
      <c r="A108" s="389" t="str">
        <f>IF(D108="",CONCATENATE("Кабель ",IF(C108="а","А",""),$A$9),CONCATENATE("Кабель ",IF(C108="а","А",""),$A$9," ",D108,"*",F108,IF(G108="ок"," (ож)","")," - ",B108," ",IF(G108="мс"," фас. ",""),$A$2))</f>
        <v>Кабель АВВГ 4*50 - 0,66 ГОСТ 16442-80</v>
      </c>
      <c r="B108" s="450">
        <v>0.66</v>
      </c>
      <c r="C108" s="451" t="s">
        <v>164</v>
      </c>
      <c r="D108" s="412">
        <v>4</v>
      </c>
      <c r="E108" s="413" t="s">
        <v>40</v>
      </c>
      <c r="F108" s="423">
        <v>50</v>
      </c>
      <c r="G108" s="414" t="str">
        <f>IF(I108=1,"ок","мк")</f>
        <v>мк</v>
      </c>
      <c r="H108" s="461">
        <v>3.1199999999999997</v>
      </c>
      <c r="I108" s="476">
        <v>7</v>
      </c>
      <c r="J108" s="477" t="s">
        <v>40</v>
      </c>
      <c r="K108" s="470">
        <f>ROUNDUP(SQRT(F108/I108/PI()*4*1.07),2)</f>
        <v>3.1199999999999997</v>
      </c>
      <c r="L108" s="501">
        <v>2.7699999999999996</v>
      </c>
      <c r="M108" s="475"/>
      <c r="N108" s="475"/>
      <c r="O108" s="475"/>
      <c r="P108" s="475"/>
      <c r="Q108" s="483">
        <f t="shared" si="184"/>
        <v>1.07</v>
      </c>
      <c r="R108" s="484">
        <f>IF(B108=0.66,VLOOKUP(F108,'Данные ТНПА'!$B$8:$C$16,2,0),
IF(B108=1,VLOOKUP(F108,'Данные ТНПА'!$B$17:$C$37,2,0),"ошибка"))</f>
        <v>1.3</v>
      </c>
      <c r="S108" s="485">
        <f t="shared" si="120"/>
        <v>4.91</v>
      </c>
      <c r="T108" s="486"/>
      <c r="U108" s="487"/>
      <c r="V108" s="485">
        <f t="shared" si="121"/>
        <v>5.3699999999999992</v>
      </c>
      <c r="W108" s="486"/>
      <c r="X108" s="487"/>
      <c r="Y108" s="489">
        <f t="shared" si="122"/>
        <v>2.2000000000000002</v>
      </c>
      <c r="Z108" s="491">
        <f t="shared" si="123"/>
        <v>12.941699999999999</v>
      </c>
      <c r="AA108" s="237">
        <f t="shared" si="124"/>
        <v>0</v>
      </c>
      <c r="AB108" s="452">
        <f t="shared" si="185"/>
        <v>12.941699999999999</v>
      </c>
      <c r="AC108" s="201">
        <f t="shared" si="126"/>
        <v>0</v>
      </c>
      <c r="AD108" s="203">
        <f t="shared" si="186"/>
        <v>0</v>
      </c>
      <c r="AE108" s="37" t="str">
        <f t="shared" si="128"/>
        <v/>
      </c>
      <c r="AF108" s="202">
        <f t="shared" si="187"/>
        <v>0</v>
      </c>
      <c r="AG108" s="201">
        <f t="shared" si="188"/>
        <v>0</v>
      </c>
      <c r="AH108" s="61">
        <f t="shared" si="131"/>
        <v>12.941699999999999</v>
      </c>
      <c r="AI108" s="443">
        <f t="shared" si="233"/>
        <v>0</v>
      </c>
      <c r="AJ108" s="444">
        <f t="shared" si="189"/>
        <v>0</v>
      </c>
      <c r="AK108" s="445">
        <f t="shared" si="190"/>
        <v>0</v>
      </c>
      <c r="AL108" s="446">
        <f t="shared" si="191"/>
        <v>0</v>
      </c>
      <c r="AM108" s="447">
        <f t="shared" si="192"/>
        <v>0</v>
      </c>
      <c r="AN108" s="24">
        <f t="shared" si="193"/>
        <v>12.941699999999999</v>
      </c>
      <c r="AO108" s="443">
        <f t="shared" si="137"/>
        <v>0</v>
      </c>
      <c r="AP108" s="444">
        <f t="shared" si="194"/>
        <v>0</v>
      </c>
      <c r="AQ108" s="445">
        <f t="shared" si="195"/>
        <v>0</v>
      </c>
      <c r="AR108" s="446">
        <f t="shared" si="196"/>
        <v>0</v>
      </c>
      <c r="AS108" s="447">
        <f t="shared" si="197"/>
        <v>0</v>
      </c>
      <c r="AT108" s="24">
        <f t="shared" si="198"/>
        <v>12.941699999999999</v>
      </c>
      <c r="AU108" s="443">
        <f t="shared" si="143"/>
        <v>0</v>
      </c>
      <c r="AV108" s="444">
        <f t="shared" si="199"/>
        <v>0</v>
      </c>
      <c r="AW108" s="445">
        <f t="shared" si="200"/>
        <v>0</v>
      </c>
      <c r="AX108" s="446">
        <f t="shared" si="201"/>
        <v>0</v>
      </c>
      <c r="AY108" s="447">
        <f t="shared" si="202"/>
        <v>0</v>
      </c>
      <c r="AZ108" s="24">
        <f t="shared" si="203"/>
        <v>12.941699999999999</v>
      </c>
      <c r="BA108" s="43">
        <f>IF(BB108=0,0,
IF(D108=1,
(IF(AND(AH108&gt;'Данные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"ошибка_1"))))))),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"ошибка_2"))))))))</f>
        <v>0</v>
      </c>
      <c r="BB108" s="43">
        <f>IF(OR($AI$9=0,AND(D108&gt;1,F108&gt;10)),0,
IF(D108=1,
(IF(AND(AH108&gt;'Данные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"ошибка_1"))))))),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IF(AND(AH108&gt;'Данные ТНПА'!#REF!,AH108&lt;='Данные ТНПА'!#REF!),'Данные ТНПА'!#REF!,
"ошибка_2"))))))))</f>
        <v>0</v>
      </c>
      <c r="BC108" s="43">
        <f t="shared" si="204"/>
        <v>12.941699999999999</v>
      </c>
      <c r="BD108" s="237">
        <f t="shared" si="205"/>
        <v>0</v>
      </c>
      <c r="BE108" s="43">
        <f t="shared" si="206"/>
        <v>0</v>
      </c>
      <c r="BF108" s="201">
        <f t="shared" si="207"/>
        <v>0</v>
      </c>
      <c r="BG108" s="201">
        <f t="shared" si="208"/>
        <v>0</v>
      </c>
      <c r="BH108" s="61">
        <f t="shared" si="209"/>
        <v>12.941699999999999</v>
      </c>
      <c r="BI108" s="237">
        <f t="shared" si="210"/>
        <v>0</v>
      </c>
      <c r="BJ108" s="247">
        <f t="shared" si="211"/>
        <v>0</v>
      </c>
      <c r="BK108" s="431">
        <f t="shared" si="212"/>
        <v>0</v>
      </c>
      <c r="BL108" s="250">
        <f t="shared" si="213"/>
        <v>0</v>
      </c>
      <c r="BM108" s="237">
        <f t="shared" si="214"/>
        <v>0</v>
      </c>
      <c r="BN108" s="452">
        <f t="shared" si="215"/>
        <v>12.941699999999999</v>
      </c>
      <c r="BO108" s="237">
        <f t="shared" si="216"/>
        <v>0</v>
      </c>
      <c r="BP108" s="432">
        <f t="shared" si="217"/>
        <v>0</v>
      </c>
      <c r="BQ108" s="22" t="str">
        <f t="shared" si="218"/>
        <v/>
      </c>
      <c r="BR108" s="250">
        <f t="shared" si="219"/>
        <v>0</v>
      </c>
      <c r="BS108" s="237">
        <f t="shared" si="220"/>
        <v>0</v>
      </c>
      <c r="BT108" s="452">
        <f t="shared" si="221"/>
        <v>12.941699999999999</v>
      </c>
      <c r="BU108" s="492">
        <f t="shared" si="222"/>
        <v>1.1749999999999998</v>
      </c>
      <c r="BV108" s="493">
        <f>IF(BT108="","",
IF(AND(BT108&gt;'Данные ТНПА'!$K$8,BT108&lt;='Данные ТНПА'!$L$8),'Данные ТНПА'!$N$8,
IF(AND(BT108&gt;'Данные ТНПА'!$K$9,BT108&lt;='Данные ТНПА'!$L$9),'Данные ТНПА'!$N$9,
IF(AND(BT108&gt;'Данные ТНПА'!$K$10,BT108&lt;='Данные ТНПА'!$L$10),'Данные ТНПА'!$N$10,
IF(AND(BT108&gt;'Данные ТНПА'!$K$11,BT108&lt;='Данные ТНПА'!$L$11),'Данные ТНПА'!$N$11,
IF(AND(BT108&gt;'Данные ТНПА'!$K$12,BT108&lt;='Данные ТНПА'!$L$12),'Данные ТНПА'!$N$12,
IF(AND(BT108&gt;'Данные ТНПА'!$K$13,BT108&lt;='Данные ТНПА'!$L$13),'Данные ТНПА'!$N$13,
IF(AND(BT108&gt;'Данные ТНПА'!$K$14,BT108&lt;='Данные ТНПА'!$L$14),'Данные ТНПА'!$N$14))))))))</f>
        <v>1.5</v>
      </c>
      <c r="BW108" s="493">
        <f t="shared" si="223"/>
        <v>15.941699999999999</v>
      </c>
      <c r="BX108" s="457">
        <f t="shared" si="169"/>
        <v>543.78</v>
      </c>
      <c r="BY108" s="457">
        <f t="shared" si="170"/>
        <v>0</v>
      </c>
      <c r="BZ108" s="457">
        <f t="shared" si="171"/>
        <v>98.690325106213109</v>
      </c>
      <c r="CA108" s="457" t="e">
        <f t="shared" si="224"/>
        <v>#REF!</v>
      </c>
      <c r="CB108" s="458">
        <f t="shared" si="225"/>
        <v>0</v>
      </c>
      <c r="CC108" s="457">
        <f t="shared" si="226"/>
        <v>0</v>
      </c>
      <c r="CD108" s="457">
        <f t="shared" si="227"/>
        <v>0</v>
      </c>
      <c r="CE108" s="457">
        <f t="shared" si="228"/>
        <v>0</v>
      </c>
      <c r="CF108" s="457">
        <f t="shared" si="229"/>
        <v>0</v>
      </c>
      <c r="CG108" s="458">
        <f t="shared" si="178"/>
        <v>0</v>
      </c>
      <c r="CH108" s="457">
        <f t="shared" si="230"/>
        <v>0</v>
      </c>
      <c r="CI108" s="457">
        <f t="shared" si="231"/>
        <v>0</v>
      </c>
      <c r="CJ108" s="458">
        <f t="shared" si="232"/>
        <v>0</v>
      </c>
      <c r="CK108" s="458">
        <f t="shared" si="182"/>
        <v>99.087945957759416</v>
      </c>
      <c r="CL108" s="457">
        <f t="shared" si="183"/>
        <v>741.55827106397248</v>
      </c>
      <c r="CM108" s="504"/>
      <c r="CN108" s="504"/>
    </row>
    <row r="109" spans="1:92" s="207" customFormat="1" ht="14.25" hidden="1" customHeight="1" x14ac:dyDescent="0.25">
      <c r="A109" s="389" t="str">
        <f>IF(D109="",CONCATENATE("Кабель ",IF(C109="а","А",""),$A$9),CONCATENATE("Кабель ",IF(C109="а","А",""),$A$9," ",D109,"*",F109,IF(G109="ок"," (ож)","")," - ",B109," ",IF(G109="мс"," фас. ",""),$A$2))</f>
        <v>Кабель АВВГ 4*2,5 (ож) - 0,66 ГОСТ 16442-80</v>
      </c>
      <c r="B109" s="450">
        <v>0.66</v>
      </c>
      <c r="C109" s="451" t="s">
        <v>164</v>
      </c>
      <c r="D109" s="412">
        <v>4</v>
      </c>
      <c r="E109" s="413" t="s">
        <v>40</v>
      </c>
      <c r="F109" s="423">
        <v>2.5</v>
      </c>
      <c r="G109" s="414" t="str">
        <f>IF(I109=1,"ок","мк")</f>
        <v>ок</v>
      </c>
      <c r="H109" s="461">
        <v>1.79</v>
      </c>
      <c r="I109" s="497">
        <v>1</v>
      </c>
      <c r="J109" s="498" t="s">
        <v>40</v>
      </c>
      <c r="K109" s="496">
        <f>ROUNDUP(SQRT(F109/PI()*4),2)</f>
        <v>1.79</v>
      </c>
      <c r="L109" s="501">
        <v>3.57</v>
      </c>
      <c r="M109" s="475"/>
      <c r="N109" s="475"/>
      <c r="O109" s="475"/>
      <c r="P109" s="475"/>
      <c r="Q109" s="483">
        <f t="shared" si="184"/>
        <v>0.44000000000000006</v>
      </c>
      <c r="R109" s="484">
        <f>IF(B109=0.66,VLOOKUP(F109,'Данные ТНПА'!$B$8:$C$16,2,0),
IF(B109=1,VLOOKUP(F109,'Данные ТНПА'!$B$17:$C$37,2,0),"ошибка"))</f>
        <v>0.6</v>
      </c>
      <c r="S109" s="485">
        <f t="shared" si="120"/>
        <v>2.67</v>
      </c>
      <c r="T109" s="486"/>
      <c r="U109" s="487"/>
      <c r="V109" s="485">
        <f t="shared" si="121"/>
        <v>2.99</v>
      </c>
      <c r="W109" s="486"/>
      <c r="X109" s="487"/>
      <c r="Y109" s="489">
        <f t="shared" si="122"/>
        <v>0</v>
      </c>
      <c r="Z109" s="491">
        <f t="shared" si="123"/>
        <v>7.2059000000000006</v>
      </c>
      <c r="AA109" s="237">
        <f t="shared" si="124"/>
        <v>0</v>
      </c>
      <c r="AB109" s="452">
        <f t="shared" si="185"/>
        <v>7.2059000000000006</v>
      </c>
      <c r="AC109" s="201">
        <f t="shared" si="126"/>
        <v>0</v>
      </c>
      <c r="AD109" s="203">
        <f t="shared" si="186"/>
        <v>0</v>
      </c>
      <c r="AE109" s="37" t="str">
        <f t="shared" si="128"/>
        <v/>
      </c>
      <c r="AF109" s="202">
        <f t="shared" si="187"/>
        <v>0</v>
      </c>
      <c r="AG109" s="201">
        <f t="shared" si="188"/>
        <v>0</v>
      </c>
      <c r="AH109" s="61">
        <f t="shared" si="131"/>
        <v>7.2059000000000006</v>
      </c>
      <c r="AI109" s="443">
        <f t="shared" si="233"/>
        <v>0</v>
      </c>
      <c r="AJ109" s="444">
        <f t="shared" si="189"/>
        <v>0</v>
      </c>
      <c r="AK109" s="445">
        <f t="shared" si="190"/>
        <v>0</v>
      </c>
      <c r="AL109" s="446">
        <f t="shared" si="191"/>
        <v>0</v>
      </c>
      <c r="AM109" s="447">
        <f t="shared" si="192"/>
        <v>0</v>
      </c>
      <c r="AN109" s="24">
        <f t="shared" si="193"/>
        <v>7.2059000000000006</v>
      </c>
      <c r="AO109" s="443">
        <f t="shared" si="137"/>
        <v>0</v>
      </c>
      <c r="AP109" s="444">
        <f t="shared" si="194"/>
        <v>0</v>
      </c>
      <c r="AQ109" s="445">
        <f t="shared" si="195"/>
        <v>0</v>
      </c>
      <c r="AR109" s="446">
        <f t="shared" si="196"/>
        <v>0</v>
      </c>
      <c r="AS109" s="447">
        <f t="shared" si="197"/>
        <v>0</v>
      </c>
      <c r="AT109" s="24">
        <f t="shared" si="198"/>
        <v>7.2059000000000006</v>
      </c>
      <c r="AU109" s="443">
        <f t="shared" si="143"/>
        <v>0</v>
      </c>
      <c r="AV109" s="444">
        <f t="shared" si="199"/>
        <v>0</v>
      </c>
      <c r="AW109" s="445">
        <f t="shared" si="200"/>
        <v>0</v>
      </c>
      <c r="AX109" s="446">
        <f t="shared" si="201"/>
        <v>0</v>
      </c>
      <c r="AY109" s="447">
        <f t="shared" si="202"/>
        <v>0</v>
      </c>
      <c r="AZ109" s="24">
        <f t="shared" si="203"/>
        <v>7.2059000000000006</v>
      </c>
      <c r="BA109" s="43">
        <f>IF(BB109=0,0,
IF(D109=1,
(IF(AND(AH109&gt;'Данные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"ошибка_1"))))))),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"ошибка_2"))))))))</f>
        <v>0</v>
      </c>
      <c r="BB109" s="43">
        <f>IF(OR($AI$9=0,AND(D109&gt;1,F109&gt;10)),0,
IF(D109=1,
(IF(AND(AH109&gt;'Данные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"ошибка_1"))))))),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IF(AND(AH109&gt;'Данные ТНПА'!#REF!,AH109&lt;='Данные ТНПА'!#REF!),'Данные ТНПА'!#REF!,
"ошибка_2"))))))))</f>
        <v>0</v>
      </c>
      <c r="BC109" s="43">
        <f t="shared" si="204"/>
        <v>7.2059000000000006</v>
      </c>
      <c r="BD109" s="237">
        <f t="shared" si="205"/>
        <v>0</v>
      </c>
      <c r="BE109" s="43">
        <f t="shared" si="206"/>
        <v>0</v>
      </c>
      <c r="BF109" s="201">
        <f t="shared" si="207"/>
        <v>0</v>
      </c>
      <c r="BG109" s="201">
        <f t="shared" si="208"/>
        <v>0</v>
      </c>
      <c r="BH109" s="61">
        <f t="shared" si="209"/>
        <v>7.2059000000000006</v>
      </c>
      <c r="BI109" s="237">
        <f t="shared" si="210"/>
        <v>0</v>
      </c>
      <c r="BJ109" s="247">
        <f t="shared" si="211"/>
        <v>0</v>
      </c>
      <c r="BK109" s="431">
        <f t="shared" si="212"/>
        <v>0</v>
      </c>
      <c r="BL109" s="250">
        <f t="shared" si="213"/>
        <v>0</v>
      </c>
      <c r="BM109" s="237">
        <f t="shared" si="214"/>
        <v>0</v>
      </c>
      <c r="BN109" s="452">
        <f t="shared" si="215"/>
        <v>7.2059000000000006</v>
      </c>
      <c r="BO109" s="237">
        <f t="shared" si="216"/>
        <v>0</v>
      </c>
      <c r="BP109" s="432">
        <f t="shared" si="217"/>
        <v>0</v>
      </c>
      <c r="BQ109" s="22" t="str">
        <f t="shared" si="218"/>
        <v/>
      </c>
      <c r="BR109" s="250">
        <f t="shared" si="219"/>
        <v>0</v>
      </c>
      <c r="BS109" s="237">
        <f t="shared" si="220"/>
        <v>0</v>
      </c>
      <c r="BT109" s="452">
        <f t="shared" si="221"/>
        <v>7.2059000000000006</v>
      </c>
      <c r="BU109" s="492">
        <f t="shared" si="222"/>
        <v>1.1749999999999998</v>
      </c>
      <c r="BV109" s="493">
        <f>IF(BT109="","",
IF(AND(BT109&gt;'Данные ТНПА'!$K$8,BT109&lt;='Данные ТНПА'!$L$8),'Данные ТНПА'!$N$8,
IF(AND(BT109&gt;'Данные ТНПА'!$K$9,BT109&lt;='Данные ТНПА'!$L$9),'Данные ТНПА'!$N$9,
IF(AND(BT109&gt;'Данные ТНПА'!$K$10,BT109&lt;='Данные ТНПА'!$L$10),'Данные ТНПА'!$N$10,
IF(AND(BT109&gt;'Данные ТНПА'!$K$11,BT109&lt;='Данные ТНПА'!$L$11),'Данные ТНПА'!$N$11,
IF(AND(BT109&gt;'Данные ТНПА'!$K$12,BT109&lt;='Данные ТНПА'!$L$12),'Данные ТНПА'!$N$12,
IF(AND(BT109&gt;'Данные ТНПА'!$K$13,BT109&lt;='Данные ТНПА'!$L$13),'Данные ТНПА'!$N$13,
IF(AND(BT109&gt;'Данные ТНПА'!$K$14,BT109&lt;='Данные ТНПА'!$L$14),'Данные ТНПА'!$N$14))))))))</f>
        <v>1.5</v>
      </c>
      <c r="BW109" s="493">
        <f t="shared" si="223"/>
        <v>10.2059</v>
      </c>
      <c r="BX109" s="457">
        <f t="shared" si="169"/>
        <v>27.188999999999997</v>
      </c>
      <c r="BY109" s="457">
        <f t="shared" si="170"/>
        <v>0</v>
      </c>
      <c r="BZ109" s="457">
        <f t="shared" si="171"/>
        <v>24.316064363552101</v>
      </c>
      <c r="CA109" s="457" t="e">
        <f t="shared" si="224"/>
        <v>#REF!</v>
      </c>
      <c r="CB109" s="458">
        <f t="shared" si="225"/>
        <v>0</v>
      </c>
      <c r="CC109" s="457">
        <f t="shared" si="226"/>
        <v>0</v>
      </c>
      <c r="CD109" s="457">
        <f t="shared" si="227"/>
        <v>0</v>
      </c>
      <c r="CE109" s="457">
        <f t="shared" si="228"/>
        <v>0</v>
      </c>
      <c r="CF109" s="457">
        <f t="shared" si="229"/>
        <v>0</v>
      </c>
      <c r="CG109" s="458">
        <f t="shared" si="178"/>
        <v>0</v>
      </c>
      <c r="CH109" s="457">
        <f t="shared" si="230"/>
        <v>0</v>
      </c>
      <c r="CI109" s="457">
        <f t="shared" si="231"/>
        <v>0</v>
      </c>
      <c r="CJ109" s="458">
        <f t="shared" si="232"/>
        <v>0</v>
      </c>
      <c r="CK109" s="458">
        <f t="shared" si="182"/>
        <v>59.733254998626037</v>
      </c>
      <c r="CL109" s="457">
        <f t="shared" si="183"/>
        <v>111.23831936217813</v>
      </c>
      <c r="CM109" s="504"/>
      <c r="CN109" s="504"/>
    </row>
    <row r="110" spans="1:92" s="207" customFormat="1" ht="14.25" hidden="1" customHeight="1" x14ac:dyDescent="0.25">
      <c r="A110" s="389" t="str">
        <f>IF(D110="",CONCATENATE("Кабель ",IF(C110="а","А",""),$A$9),CONCATENATE("Кабель ",IF(C110="а","А",""),$A$9," ",D110,"*",F110,IF(G110="ок"," (ож)","")," - ",B110," ",IF(G110="мс"," фас. ",""),$A$2))</f>
        <v>Кабель АВВГ 4*4 (ож) - 0,66 ГОСТ 16442-80</v>
      </c>
      <c r="B110" s="450">
        <v>0.66</v>
      </c>
      <c r="C110" s="451" t="s">
        <v>164</v>
      </c>
      <c r="D110" s="412">
        <v>4</v>
      </c>
      <c r="E110" s="413" t="s">
        <v>40</v>
      </c>
      <c r="F110" s="423">
        <v>4</v>
      </c>
      <c r="G110" s="414" t="str">
        <f>IF(I110=1,"ок","мк")</f>
        <v>ок</v>
      </c>
      <c r="H110" s="461">
        <v>2.2599999999999998</v>
      </c>
      <c r="I110" s="497">
        <v>1</v>
      </c>
      <c r="J110" s="498" t="s">
        <v>40</v>
      </c>
      <c r="K110" s="496">
        <f>ROUNDUP(SQRT(F110/PI()*4),2)</f>
        <v>2.2599999999999998</v>
      </c>
      <c r="L110" s="501">
        <v>4.5199999999999996</v>
      </c>
      <c r="M110" s="475"/>
      <c r="N110" s="475"/>
      <c r="O110" s="475"/>
      <c r="P110" s="475"/>
      <c r="Q110" s="483">
        <f t="shared" si="184"/>
        <v>0.53</v>
      </c>
      <c r="R110" s="484">
        <f>IF(B110=0.66,VLOOKUP(F110,'Данные ТНПА'!$B$8:$C$16,2,0),
IF(B110=1,VLOOKUP(F110,'Данные ТНПА'!$B$17:$C$37,2,0),"ошибка"))</f>
        <v>0.7</v>
      </c>
      <c r="S110" s="485">
        <f t="shared" si="120"/>
        <v>3.32</v>
      </c>
      <c r="T110" s="486"/>
      <c r="U110" s="487"/>
      <c r="V110" s="485">
        <f t="shared" si="121"/>
        <v>3.6599999999999997</v>
      </c>
      <c r="W110" s="486"/>
      <c r="X110" s="487"/>
      <c r="Y110" s="489">
        <f t="shared" si="122"/>
        <v>0</v>
      </c>
      <c r="Z110" s="491">
        <f t="shared" si="123"/>
        <v>8.8206000000000007</v>
      </c>
      <c r="AA110" s="237">
        <f t="shared" si="124"/>
        <v>0</v>
      </c>
      <c r="AB110" s="452">
        <f t="shared" si="185"/>
        <v>8.8206000000000007</v>
      </c>
      <c r="AC110" s="201">
        <f t="shared" si="126"/>
        <v>0</v>
      </c>
      <c r="AD110" s="203">
        <f t="shared" si="186"/>
        <v>0</v>
      </c>
      <c r="AE110" s="37" t="str">
        <f t="shared" si="128"/>
        <v/>
      </c>
      <c r="AF110" s="202">
        <f t="shared" si="187"/>
        <v>0</v>
      </c>
      <c r="AG110" s="201">
        <f t="shared" si="188"/>
        <v>0</v>
      </c>
      <c r="AH110" s="61">
        <f t="shared" si="131"/>
        <v>8.8206000000000007</v>
      </c>
      <c r="AI110" s="443">
        <f t="shared" si="233"/>
        <v>0</v>
      </c>
      <c r="AJ110" s="444">
        <f t="shared" si="189"/>
        <v>0</v>
      </c>
      <c r="AK110" s="445">
        <f t="shared" si="190"/>
        <v>0</v>
      </c>
      <c r="AL110" s="446">
        <f t="shared" si="191"/>
        <v>0</v>
      </c>
      <c r="AM110" s="447">
        <f t="shared" si="192"/>
        <v>0</v>
      </c>
      <c r="AN110" s="24">
        <f t="shared" si="193"/>
        <v>8.8206000000000007</v>
      </c>
      <c r="AO110" s="443">
        <f t="shared" si="137"/>
        <v>0</v>
      </c>
      <c r="AP110" s="444">
        <f t="shared" si="194"/>
        <v>0</v>
      </c>
      <c r="AQ110" s="445">
        <f t="shared" si="195"/>
        <v>0</v>
      </c>
      <c r="AR110" s="446">
        <f t="shared" si="196"/>
        <v>0</v>
      </c>
      <c r="AS110" s="447">
        <f t="shared" si="197"/>
        <v>0</v>
      </c>
      <c r="AT110" s="24">
        <f t="shared" si="198"/>
        <v>8.8206000000000007</v>
      </c>
      <c r="AU110" s="443">
        <f t="shared" si="143"/>
        <v>0</v>
      </c>
      <c r="AV110" s="444">
        <f t="shared" si="199"/>
        <v>0</v>
      </c>
      <c r="AW110" s="445">
        <f t="shared" si="200"/>
        <v>0</v>
      </c>
      <c r="AX110" s="446">
        <f t="shared" si="201"/>
        <v>0</v>
      </c>
      <c r="AY110" s="447">
        <f t="shared" si="202"/>
        <v>0</v>
      </c>
      <c r="AZ110" s="24">
        <f t="shared" si="203"/>
        <v>8.8206000000000007</v>
      </c>
      <c r="BA110" s="43">
        <f>IF(BB110=0,0,
IF(D110=1,
(IF(AND(AH110&gt;'Данные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"ошибка_1"))))))),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"ошибка_2"))))))))</f>
        <v>0</v>
      </c>
      <c r="BB110" s="43">
        <f>IF(OR($AI$9=0,AND(D110&gt;1,F110&gt;10)),0,
IF(D110=1,
(IF(AND(AH110&gt;'Данные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"ошибка_1"))))))),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IF(AND(AH110&gt;'Данные ТНПА'!#REF!,AH110&lt;='Данные ТНПА'!#REF!),'Данные ТНПА'!#REF!,
"ошибка_2"))))))))</f>
        <v>0</v>
      </c>
      <c r="BC110" s="43">
        <f t="shared" si="204"/>
        <v>8.8206000000000007</v>
      </c>
      <c r="BD110" s="237">
        <f t="shared" si="205"/>
        <v>0</v>
      </c>
      <c r="BE110" s="43">
        <f t="shared" si="206"/>
        <v>0</v>
      </c>
      <c r="BF110" s="201">
        <f t="shared" si="207"/>
        <v>0</v>
      </c>
      <c r="BG110" s="201">
        <f t="shared" si="208"/>
        <v>0</v>
      </c>
      <c r="BH110" s="61">
        <f t="shared" si="209"/>
        <v>8.8206000000000007</v>
      </c>
      <c r="BI110" s="237">
        <f t="shared" si="210"/>
        <v>0</v>
      </c>
      <c r="BJ110" s="247">
        <f t="shared" si="211"/>
        <v>0</v>
      </c>
      <c r="BK110" s="431">
        <f t="shared" si="212"/>
        <v>0</v>
      </c>
      <c r="BL110" s="250">
        <f t="shared" si="213"/>
        <v>0</v>
      </c>
      <c r="BM110" s="237">
        <f t="shared" si="214"/>
        <v>0</v>
      </c>
      <c r="BN110" s="452">
        <f t="shared" si="215"/>
        <v>8.8206000000000007</v>
      </c>
      <c r="BO110" s="237">
        <f t="shared" si="216"/>
        <v>0</v>
      </c>
      <c r="BP110" s="432">
        <f t="shared" si="217"/>
        <v>0</v>
      </c>
      <c r="BQ110" s="22" t="str">
        <f t="shared" si="218"/>
        <v/>
      </c>
      <c r="BR110" s="250">
        <f t="shared" si="219"/>
        <v>0</v>
      </c>
      <c r="BS110" s="237">
        <f t="shared" si="220"/>
        <v>0</v>
      </c>
      <c r="BT110" s="452">
        <f t="shared" si="221"/>
        <v>8.8206000000000007</v>
      </c>
      <c r="BU110" s="492">
        <f t="shared" si="222"/>
        <v>1.1749999999999998</v>
      </c>
      <c r="BV110" s="493">
        <f>IF(BT110="","",
IF(AND(BT110&gt;'Данные ТНПА'!$K$8,BT110&lt;='Данные ТНПА'!$L$8),'Данные ТНПА'!$N$8,
IF(AND(BT110&gt;'Данные ТНПА'!$K$9,BT110&lt;='Данные ТНПА'!$L$9),'Данные ТНПА'!$N$9,
IF(AND(BT110&gt;'Данные ТНПА'!$K$10,BT110&lt;='Данные ТНПА'!$L$10),'Данные ТНПА'!$N$10,
IF(AND(BT110&gt;'Данные ТНПА'!$K$11,BT110&lt;='Данные ТНПА'!$L$11),'Данные ТНПА'!$N$11,
IF(AND(BT110&gt;'Данные ТНПА'!$K$12,BT110&lt;='Данные ТНПА'!$L$12),'Данные ТНПА'!$N$12,
IF(AND(BT110&gt;'Данные ТНПА'!$K$13,BT110&lt;='Данные ТНПА'!$L$13),'Данные ТНПА'!$N$13,
IF(AND(BT110&gt;'Данные ТНПА'!$K$14,BT110&lt;='Данные ТНПА'!$L$14),'Данные ТНПА'!$N$14))))))))</f>
        <v>1.5</v>
      </c>
      <c r="BW110" s="493">
        <f t="shared" si="223"/>
        <v>11.820600000000001</v>
      </c>
      <c r="BX110" s="457">
        <f t="shared" si="169"/>
        <v>43.502400000000002</v>
      </c>
      <c r="BY110" s="457">
        <f t="shared" si="170"/>
        <v>0</v>
      </c>
      <c r="BZ110" s="457">
        <f t="shared" si="171"/>
        <v>35.134508620139442</v>
      </c>
      <c r="CA110" s="457" t="e">
        <f t="shared" si="224"/>
        <v>#REF!</v>
      </c>
      <c r="CB110" s="458">
        <f t="shared" si="225"/>
        <v>0</v>
      </c>
      <c r="CC110" s="457">
        <f t="shared" si="226"/>
        <v>0</v>
      </c>
      <c r="CD110" s="457">
        <f t="shared" si="227"/>
        <v>0</v>
      </c>
      <c r="CE110" s="457">
        <f t="shared" si="228"/>
        <v>0</v>
      </c>
      <c r="CF110" s="457">
        <f t="shared" si="229"/>
        <v>0</v>
      </c>
      <c r="CG110" s="458">
        <f t="shared" si="178"/>
        <v>0</v>
      </c>
      <c r="CH110" s="457">
        <f t="shared" si="230"/>
        <v>0</v>
      </c>
      <c r="CI110" s="457">
        <f t="shared" si="231"/>
        <v>0</v>
      </c>
      <c r="CJ110" s="458">
        <f t="shared" si="232"/>
        <v>0</v>
      </c>
      <c r="CK110" s="458">
        <f t="shared" si="182"/>
        <v>70.81209657115518</v>
      </c>
      <c r="CL110" s="457">
        <f t="shared" si="183"/>
        <v>149.44900519129465</v>
      </c>
      <c r="CM110" s="504"/>
      <c r="CN110" s="504"/>
    </row>
    <row r="111" spans="1:92" s="207" customFormat="1" ht="14.25" hidden="1" customHeight="1" x14ac:dyDescent="0.25">
      <c r="A111" s="389" t="str">
        <f>IF(D111="",CONCATENATE("Кабель ",IF(C111="а","А",""),$A$9),CONCATENATE("Кабель ",IF(C111="а","А",""),$A$9," ",D111,"*",F111,IF(G111="ок"," (ож)","")," - ",B111," ",IF(G111="мс"," фас. ",""),$A$2))</f>
        <v>Кабель АВВГ 4*6 (ож) - 0,66 ГОСТ 16442-80</v>
      </c>
      <c r="B111" s="450">
        <v>0.66</v>
      </c>
      <c r="C111" s="451" t="s">
        <v>164</v>
      </c>
      <c r="D111" s="412">
        <v>4</v>
      </c>
      <c r="E111" s="413" t="s">
        <v>40</v>
      </c>
      <c r="F111" s="423">
        <v>6</v>
      </c>
      <c r="G111" s="414" t="str">
        <f>IF(I111=1,"ок","мк")</f>
        <v>ок</v>
      </c>
      <c r="H111" s="461">
        <v>2.7699999999999996</v>
      </c>
      <c r="I111" s="497">
        <v>1</v>
      </c>
      <c r="J111" s="498" t="s">
        <v>40</v>
      </c>
      <c r="K111" s="496">
        <f>ROUNDUP(SQRT(F111/PI()*4),2)</f>
        <v>2.7699999999999996</v>
      </c>
      <c r="L111" s="501">
        <v>5.6499999999999995</v>
      </c>
      <c r="M111" s="475"/>
      <c r="N111" s="475"/>
      <c r="O111" s="475"/>
      <c r="P111" s="475"/>
      <c r="Q111" s="483">
        <f t="shared" si="184"/>
        <v>0.53</v>
      </c>
      <c r="R111" s="484">
        <f>IF(B111=0.66,VLOOKUP(F111,'Данные ТНПА'!$B$8:$C$16,2,0),
IF(B111=1,VLOOKUP(F111,'Данные ТНПА'!$B$17:$C$37,2,0),"ошибка"))</f>
        <v>0.7</v>
      </c>
      <c r="S111" s="485">
        <f t="shared" si="120"/>
        <v>3.8299999999999996</v>
      </c>
      <c r="T111" s="486"/>
      <c r="U111" s="487"/>
      <c r="V111" s="485">
        <f t="shared" si="121"/>
        <v>4.17</v>
      </c>
      <c r="W111" s="486"/>
      <c r="X111" s="487"/>
      <c r="Y111" s="489">
        <f t="shared" si="122"/>
        <v>0</v>
      </c>
      <c r="Z111" s="491">
        <f t="shared" si="123"/>
        <v>10.0497</v>
      </c>
      <c r="AA111" s="237">
        <f t="shared" si="124"/>
        <v>0</v>
      </c>
      <c r="AB111" s="452">
        <f t="shared" si="185"/>
        <v>10.0497</v>
      </c>
      <c r="AC111" s="201">
        <f t="shared" si="126"/>
        <v>0</v>
      </c>
      <c r="AD111" s="203">
        <f t="shared" si="186"/>
        <v>0</v>
      </c>
      <c r="AE111" s="37" t="str">
        <f t="shared" si="128"/>
        <v/>
      </c>
      <c r="AF111" s="202">
        <f t="shared" si="187"/>
        <v>0</v>
      </c>
      <c r="AG111" s="201">
        <f t="shared" si="188"/>
        <v>0</v>
      </c>
      <c r="AH111" s="61">
        <f t="shared" si="131"/>
        <v>10.0497</v>
      </c>
      <c r="AI111" s="443">
        <f t="shared" si="233"/>
        <v>0</v>
      </c>
      <c r="AJ111" s="444">
        <f t="shared" si="189"/>
        <v>0</v>
      </c>
      <c r="AK111" s="445">
        <f t="shared" si="190"/>
        <v>0</v>
      </c>
      <c r="AL111" s="446">
        <f t="shared" si="191"/>
        <v>0</v>
      </c>
      <c r="AM111" s="447">
        <f t="shared" si="192"/>
        <v>0</v>
      </c>
      <c r="AN111" s="24">
        <f t="shared" si="193"/>
        <v>10.0497</v>
      </c>
      <c r="AO111" s="443">
        <f t="shared" si="137"/>
        <v>0</v>
      </c>
      <c r="AP111" s="444">
        <f t="shared" si="194"/>
        <v>0</v>
      </c>
      <c r="AQ111" s="445">
        <f t="shared" si="195"/>
        <v>0</v>
      </c>
      <c r="AR111" s="446">
        <f t="shared" si="196"/>
        <v>0</v>
      </c>
      <c r="AS111" s="447">
        <f t="shared" si="197"/>
        <v>0</v>
      </c>
      <c r="AT111" s="24">
        <f t="shared" si="198"/>
        <v>10.0497</v>
      </c>
      <c r="AU111" s="443">
        <f t="shared" si="143"/>
        <v>0</v>
      </c>
      <c r="AV111" s="444">
        <f t="shared" si="199"/>
        <v>0</v>
      </c>
      <c r="AW111" s="445">
        <f t="shared" si="200"/>
        <v>0</v>
      </c>
      <c r="AX111" s="446">
        <f t="shared" si="201"/>
        <v>0</v>
      </c>
      <c r="AY111" s="447">
        <f t="shared" si="202"/>
        <v>0</v>
      </c>
      <c r="AZ111" s="24">
        <f t="shared" si="203"/>
        <v>10.0497</v>
      </c>
      <c r="BA111" s="43">
        <f>IF(BB111=0,0,
IF(D111=1,
(IF(AND(AH111&gt;'Данные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"ошибка_1"))))))),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"ошибка_2"))))))))</f>
        <v>0</v>
      </c>
      <c r="BB111" s="43">
        <f>IF(OR($AI$9=0,AND(D111&gt;1,F111&gt;10)),0,
IF(D111=1,
(IF(AND(AH111&gt;'Данные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"ошибка_1"))))))),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IF(AND(AH111&gt;'Данные ТНПА'!#REF!,AH111&lt;='Данные ТНПА'!#REF!),'Данные ТНПА'!#REF!,
"ошибка_2"))))))))</f>
        <v>0</v>
      </c>
      <c r="BC111" s="43">
        <f t="shared" si="204"/>
        <v>10.0497</v>
      </c>
      <c r="BD111" s="237">
        <f t="shared" si="205"/>
        <v>0</v>
      </c>
      <c r="BE111" s="43">
        <f t="shared" si="206"/>
        <v>0</v>
      </c>
      <c r="BF111" s="201">
        <f t="shared" si="207"/>
        <v>0</v>
      </c>
      <c r="BG111" s="201">
        <f t="shared" si="208"/>
        <v>0</v>
      </c>
      <c r="BH111" s="61">
        <f t="shared" si="209"/>
        <v>10.0497</v>
      </c>
      <c r="BI111" s="237">
        <f t="shared" si="210"/>
        <v>0</v>
      </c>
      <c r="BJ111" s="247">
        <f t="shared" si="211"/>
        <v>0</v>
      </c>
      <c r="BK111" s="431">
        <f t="shared" si="212"/>
        <v>0</v>
      </c>
      <c r="BL111" s="250">
        <f t="shared" si="213"/>
        <v>0</v>
      </c>
      <c r="BM111" s="237">
        <f t="shared" si="214"/>
        <v>0</v>
      </c>
      <c r="BN111" s="452">
        <f t="shared" si="215"/>
        <v>10.0497</v>
      </c>
      <c r="BO111" s="237">
        <f t="shared" si="216"/>
        <v>0</v>
      </c>
      <c r="BP111" s="432">
        <f t="shared" si="217"/>
        <v>0</v>
      </c>
      <c r="BQ111" s="22" t="str">
        <f t="shared" si="218"/>
        <v/>
      </c>
      <c r="BR111" s="250">
        <f t="shared" si="219"/>
        <v>0</v>
      </c>
      <c r="BS111" s="237">
        <f t="shared" si="220"/>
        <v>0</v>
      </c>
      <c r="BT111" s="452">
        <f t="shared" si="221"/>
        <v>10.0497</v>
      </c>
      <c r="BU111" s="492">
        <f t="shared" si="222"/>
        <v>1.1749999999999998</v>
      </c>
      <c r="BV111" s="493">
        <f>IF(BT111="","",
IF(AND(BT111&gt;'Данные ТНПА'!$K$8,BT111&lt;='Данные ТНПА'!$L$8),'Данные ТНПА'!$N$8,
IF(AND(BT111&gt;'Данные ТНПА'!$K$9,BT111&lt;='Данные ТНПА'!$L$9),'Данные ТНПА'!$N$9,
IF(AND(BT111&gt;'Данные ТНПА'!$K$10,BT111&lt;='Данные ТНПА'!$L$10),'Данные ТНПА'!$N$10,
IF(AND(BT111&gt;'Данные ТНПА'!$K$11,BT111&lt;='Данные ТНПА'!$L$11),'Данные ТНПА'!$N$11,
IF(AND(BT111&gt;'Данные ТНПА'!$K$12,BT111&lt;='Данные ТНПА'!$L$12),'Данные ТНПА'!$N$12,
IF(AND(BT111&gt;'Данные ТНПА'!$K$13,BT111&lt;='Данные ТНПА'!$L$13),'Данные ТНПА'!$N$13,
IF(AND(BT111&gt;'Данные ТНПА'!$K$14,BT111&lt;='Данные ТНПА'!$L$14),'Данные ТНПА'!$N$14))))))))</f>
        <v>1.5</v>
      </c>
      <c r="BW111" s="493">
        <f t="shared" si="223"/>
        <v>13.0497</v>
      </c>
      <c r="BX111" s="457">
        <f t="shared" si="169"/>
        <v>65.253600000000006</v>
      </c>
      <c r="BY111" s="457">
        <f t="shared" si="170"/>
        <v>0</v>
      </c>
      <c r="BZ111" s="457">
        <f t="shared" si="171"/>
        <v>41.188089497258055</v>
      </c>
      <c r="CA111" s="457" t="e">
        <f t="shared" si="224"/>
        <v>#REF!</v>
      </c>
      <c r="CB111" s="458">
        <f t="shared" si="225"/>
        <v>0</v>
      </c>
      <c r="CC111" s="457">
        <f t="shared" si="226"/>
        <v>0</v>
      </c>
      <c r="CD111" s="457">
        <f t="shared" si="227"/>
        <v>0</v>
      </c>
      <c r="CE111" s="457">
        <f t="shared" si="228"/>
        <v>0</v>
      </c>
      <c r="CF111" s="457">
        <f t="shared" si="229"/>
        <v>0</v>
      </c>
      <c r="CG111" s="458">
        <f t="shared" si="178"/>
        <v>0</v>
      </c>
      <c r="CH111" s="457">
        <f t="shared" si="230"/>
        <v>0</v>
      </c>
      <c r="CI111" s="457">
        <f t="shared" si="231"/>
        <v>0</v>
      </c>
      <c r="CJ111" s="458">
        <f t="shared" si="232"/>
        <v>0</v>
      </c>
      <c r="CK111" s="458">
        <f t="shared" si="182"/>
        <v>79.245244633826601</v>
      </c>
      <c r="CL111" s="457">
        <f t="shared" si="183"/>
        <v>185.68693413108468</v>
      </c>
      <c r="CM111" s="504"/>
      <c r="CN111" s="504"/>
    </row>
    <row r="112" spans="1:92" s="207" customFormat="1" ht="14.25" hidden="1" customHeight="1" x14ac:dyDescent="0.25">
      <c r="A112" s="389" t="str">
        <f>IF(D112="",CONCATENATE("Кабель ",IF(C112="а","А",""),$A$9),CONCATENATE("Кабель ",IF(C112="а","А",""),$A$9," ",D112,"*",F112,IF(G112="ок"," (ож)","")," - ",B112," ",IF(G112="мс"," фас. ",""),$A$2))</f>
        <v>Кабель АВВГ 4*10 (ож) - 0,66 ГОСТ 16442-80</v>
      </c>
      <c r="B112" s="450">
        <v>0.66</v>
      </c>
      <c r="C112" s="451" t="s">
        <v>164</v>
      </c>
      <c r="D112" s="412">
        <v>4</v>
      </c>
      <c r="E112" s="413" t="s">
        <v>40</v>
      </c>
      <c r="F112" s="423">
        <v>10</v>
      </c>
      <c r="G112" s="414" t="str">
        <f>IF(I112=1,"ок","мк")</f>
        <v>ок</v>
      </c>
      <c r="H112" s="461">
        <v>3.57</v>
      </c>
      <c r="I112" s="497">
        <v>1</v>
      </c>
      <c r="J112" s="498" t="s">
        <v>40</v>
      </c>
      <c r="K112" s="496">
        <f>ROUNDUP(SQRT(F112/PI()*4),2)</f>
        <v>3.57</v>
      </c>
      <c r="L112" s="501">
        <v>6.68</v>
      </c>
      <c r="M112" s="475"/>
      <c r="N112" s="475"/>
      <c r="O112" s="475"/>
      <c r="P112" s="475"/>
      <c r="Q112" s="483">
        <f t="shared" si="184"/>
        <v>0.71000000000000008</v>
      </c>
      <c r="R112" s="484">
        <f>IF(B112=0.66,VLOOKUP(F112,'Данные ТНПА'!$B$8:$C$16,2,0),
IF(B112=1,VLOOKUP(F112,'Данные ТНПА'!$B$17:$C$37,2,0),"ошибка"))</f>
        <v>0.9</v>
      </c>
      <c r="S112" s="485">
        <f t="shared" si="120"/>
        <v>4.99</v>
      </c>
      <c r="T112" s="486"/>
      <c r="U112" s="487"/>
      <c r="V112" s="485">
        <f t="shared" si="121"/>
        <v>5.37</v>
      </c>
      <c r="W112" s="486"/>
      <c r="X112" s="487"/>
      <c r="Y112" s="489">
        <f t="shared" si="122"/>
        <v>0</v>
      </c>
      <c r="Z112" s="491">
        <f t="shared" si="123"/>
        <v>12.941700000000001</v>
      </c>
      <c r="AA112" s="237">
        <f t="shared" si="124"/>
        <v>0</v>
      </c>
      <c r="AB112" s="452">
        <f t="shared" si="185"/>
        <v>12.941700000000001</v>
      </c>
      <c r="AC112" s="201">
        <f t="shared" si="126"/>
        <v>0</v>
      </c>
      <c r="AD112" s="203">
        <f t="shared" si="186"/>
        <v>0</v>
      </c>
      <c r="AE112" s="37" t="str">
        <f t="shared" si="128"/>
        <v/>
      </c>
      <c r="AF112" s="202">
        <f t="shared" si="187"/>
        <v>0</v>
      </c>
      <c r="AG112" s="201">
        <f t="shared" si="188"/>
        <v>0</v>
      </c>
      <c r="AH112" s="61">
        <f t="shared" si="131"/>
        <v>12.941700000000001</v>
      </c>
      <c r="AI112" s="443">
        <f t="shared" si="233"/>
        <v>0</v>
      </c>
      <c r="AJ112" s="444">
        <f t="shared" si="189"/>
        <v>0</v>
      </c>
      <c r="AK112" s="445">
        <f t="shared" si="190"/>
        <v>0</v>
      </c>
      <c r="AL112" s="446">
        <f t="shared" si="191"/>
        <v>0</v>
      </c>
      <c r="AM112" s="447">
        <f t="shared" si="192"/>
        <v>0</v>
      </c>
      <c r="AN112" s="24">
        <f t="shared" si="193"/>
        <v>12.941700000000001</v>
      </c>
      <c r="AO112" s="443">
        <f t="shared" si="137"/>
        <v>0</v>
      </c>
      <c r="AP112" s="444">
        <f t="shared" si="194"/>
        <v>0</v>
      </c>
      <c r="AQ112" s="445">
        <f t="shared" si="195"/>
        <v>0</v>
      </c>
      <c r="AR112" s="446">
        <f t="shared" si="196"/>
        <v>0</v>
      </c>
      <c r="AS112" s="447">
        <f t="shared" si="197"/>
        <v>0</v>
      </c>
      <c r="AT112" s="24">
        <f t="shared" si="198"/>
        <v>12.941700000000001</v>
      </c>
      <c r="AU112" s="443">
        <f t="shared" si="143"/>
        <v>0</v>
      </c>
      <c r="AV112" s="444">
        <f t="shared" si="199"/>
        <v>0</v>
      </c>
      <c r="AW112" s="445">
        <f t="shared" si="200"/>
        <v>0</v>
      </c>
      <c r="AX112" s="446">
        <f t="shared" si="201"/>
        <v>0</v>
      </c>
      <c r="AY112" s="447">
        <f t="shared" si="202"/>
        <v>0</v>
      </c>
      <c r="AZ112" s="24">
        <f t="shared" si="203"/>
        <v>12.941700000000001</v>
      </c>
      <c r="BA112" s="43">
        <f>IF(BB112=0,0,
IF(D112=1,
(IF(AND(AH112&gt;'Данные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"ошибка_1"))))))),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"ошибка_2"))))))))</f>
        <v>0</v>
      </c>
      <c r="BB112" s="43">
        <f>IF(OR($AI$9=0,AND(D112&gt;1,F112&gt;10)),0,
IF(D112=1,
(IF(AND(AH112&gt;'Данные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"ошибка_1"))))))),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IF(AND(AH112&gt;'Данные ТНПА'!#REF!,AH112&lt;='Данные ТНПА'!#REF!),'Данные ТНПА'!#REF!,
"ошибка_2"))))))))</f>
        <v>0</v>
      </c>
      <c r="BC112" s="43">
        <f t="shared" si="204"/>
        <v>12.941700000000001</v>
      </c>
      <c r="BD112" s="237">
        <f t="shared" si="205"/>
        <v>0</v>
      </c>
      <c r="BE112" s="43">
        <f t="shared" si="206"/>
        <v>0</v>
      </c>
      <c r="BF112" s="201">
        <f t="shared" si="207"/>
        <v>0</v>
      </c>
      <c r="BG112" s="201">
        <f t="shared" si="208"/>
        <v>0</v>
      </c>
      <c r="BH112" s="61">
        <f t="shared" si="209"/>
        <v>12.941700000000001</v>
      </c>
      <c r="BI112" s="237">
        <f t="shared" si="210"/>
        <v>0</v>
      </c>
      <c r="BJ112" s="247">
        <f t="shared" si="211"/>
        <v>0</v>
      </c>
      <c r="BK112" s="431">
        <f t="shared" si="212"/>
        <v>0</v>
      </c>
      <c r="BL112" s="250">
        <f t="shared" si="213"/>
        <v>0</v>
      </c>
      <c r="BM112" s="237">
        <f t="shared" si="214"/>
        <v>0</v>
      </c>
      <c r="BN112" s="452">
        <f t="shared" si="215"/>
        <v>12.941700000000001</v>
      </c>
      <c r="BO112" s="237">
        <f t="shared" si="216"/>
        <v>0</v>
      </c>
      <c r="BP112" s="432">
        <f t="shared" si="217"/>
        <v>0</v>
      </c>
      <c r="BQ112" s="22" t="str">
        <f t="shared" si="218"/>
        <v/>
      </c>
      <c r="BR112" s="250">
        <f t="shared" si="219"/>
        <v>0</v>
      </c>
      <c r="BS112" s="237">
        <f t="shared" si="220"/>
        <v>0</v>
      </c>
      <c r="BT112" s="452">
        <f t="shared" si="221"/>
        <v>12.941700000000001</v>
      </c>
      <c r="BU112" s="492">
        <f t="shared" si="222"/>
        <v>1.1749999999999998</v>
      </c>
      <c r="BV112" s="493">
        <f>IF(BT112="","",
IF(AND(BT112&gt;'Данные ТНПА'!$K$8,BT112&lt;='Данные ТНПА'!$L$8),'Данные ТНПА'!$N$8,
IF(AND(BT112&gt;'Данные ТНПА'!$K$9,BT112&lt;='Данные ТНПА'!$L$9),'Данные ТНПА'!$N$9,
IF(AND(BT112&gt;'Данные ТНПА'!$K$10,BT112&lt;='Данные ТНПА'!$L$10),'Данные ТНПА'!$N$10,
IF(AND(BT112&gt;'Данные ТНПА'!$K$11,BT112&lt;='Данные ТНПА'!$L$11),'Данные ТНПА'!$N$11,
IF(AND(BT112&gt;'Данные ТНПА'!$K$12,BT112&lt;='Данные ТНПА'!$L$12),'Данные ТНПА'!$N$12,
IF(AND(BT112&gt;'Данные ТНПА'!$K$13,BT112&lt;='Данные ТНПА'!$L$13),'Данные ТНПА'!$N$13,
IF(AND(BT112&gt;'Данные ТНПА'!$K$14,BT112&lt;='Данные ТНПА'!$L$14),'Данные ТНПА'!$N$14))))))))</f>
        <v>1.5</v>
      </c>
      <c r="BW112" s="493">
        <f t="shared" si="223"/>
        <v>15.941700000000001</v>
      </c>
      <c r="BX112" s="457">
        <f t="shared" si="169"/>
        <v>108.75599999999999</v>
      </c>
      <c r="BY112" s="457">
        <f t="shared" si="170"/>
        <v>0</v>
      </c>
      <c r="BZ112" s="457">
        <f t="shared" si="171"/>
        <v>68.217243329546804</v>
      </c>
      <c r="CA112" s="457" t="e">
        <f t="shared" si="224"/>
        <v>#REF!</v>
      </c>
      <c r="CB112" s="458">
        <f t="shared" si="225"/>
        <v>0</v>
      </c>
      <c r="CC112" s="457">
        <f t="shared" si="226"/>
        <v>0</v>
      </c>
      <c r="CD112" s="457">
        <f t="shared" si="227"/>
        <v>0</v>
      </c>
      <c r="CE112" s="457">
        <f t="shared" si="228"/>
        <v>0</v>
      </c>
      <c r="CF112" s="457">
        <f t="shared" si="229"/>
        <v>0</v>
      </c>
      <c r="CG112" s="458">
        <f t="shared" si="178"/>
        <v>0</v>
      </c>
      <c r="CH112" s="457">
        <f t="shared" si="230"/>
        <v>0</v>
      </c>
      <c r="CI112" s="457">
        <f t="shared" si="231"/>
        <v>0</v>
      </c>
      <c r="CJ112" s="458">
        <f t="shared" si="232"/>
        <v>0</v>
      </c>
      <c r="CK112" s="458">
        <f t="shared" si="182"/>
        <v>99.08794595775943</v>
      </c>
      <c r="CL112" s="457">
        <f t="shared" si="183"/>
        <v>276.06118928730621</v>
      </c>
      <c r="CM112" s="504"/>
      <c r="CN112" s="504"/>
    </row>
    <row r="113" spans="1:92" s="207" customFormat="1" ht="14.25" hidden="1" customHeight="1" x14ac:dyDescent="0.25">
      <c r="A113" s="389" t="str">
        <f>IF(D113="",CONCATENATE("Кабель ",IF(C113="а","А",""),$A$9),CONCATENATE("Кабель ",IF(C113="а","А",""),$A$9," ",D113,"*",F113,IF(G113="ок"," (ож)","")," - ",B113," ",IF(G113="мс"," фас. ",""),$A$2))</f>
        <v>Кабель АВВГ 4*16 (ож) - 0,66 ГОСТ 16442-80</v>
      </c>
      <c r="B113" s="450">
        <v>0.66</v>
      </c>
      <c r="C113" s="451" t="s">
        <v>164</v>
      </c>
      <c r="D113" s="412">
        <v>4</v>
      </c>
      <c r="E113" s="413" t="s">
        <v>40</v>
      </c>
      <c r="F113" s="423">
        <v>16</v>
      </c>
      <c r="G113" s="414" t="str">
        <f>IF(I113=1,"ок","мк")</f>
        <v>ок</v>
      </c>
      <c r="H113" s="461">
        <v>4.5199999999999996</v>
      </c>
      <c r="I113" s="497">
        <v>1</v>
      </c>
      <c r="J113" s="498" t="s">
        <v>40</v>
      </c>
      <c r="K113" s="496">
        <f>ROUNDUP(SQRT(F113/PI()*4),2)</f>
        <v>4.5199999999999996</v>
      </c>
      <c r="L113" s="501">
        <v>5.99</v>
      </c>
      <c r="M113" s="475"/>
      <c r="N113" s="475"/>
      <c r="O113" s="475"/>
      <c r="P113" s="475"/>
      <c r="Q113" s="483">
        <f t="shared" si="184"/>
        <v>0.71000000000000008</v>
      </c>
      <c r="R113" s="484">
        <f>IF(B113=0.66,VLOOKUP(F113,'Данные ТНПА'!$B$8:$C$16,2,0),
IF(B113=1,VLOOKUP(F113,'Данные ТНПА'!$B$17:$C$37,2,0),"ошибка"))</f>
        <v>0.9</v>
      </c>
      <c r="S113" s="485">
        <f t="shared" si="120"/>
        <v>5.9399999999999995</v>
      </c>
      <c r="T113" s="486"/>
      <c r="U113" s="487"/>
      <c r="V113" s="485">
        <f t="shared" si="121"/>
        <v>6.3199999999999994</v>
      </c>
      <c r="W113" s="486"/>
      <c r="X113" s="487"/>
      <c r="Y113" s="489">
        <f t="shared" si="122"/>
        <v>0</v>
      </c>
      <c r="Z113" s="491">
        <f t="shared" si="123"/>
        <v>15.231199999999999</v>
      </c>
      <c r="AA113" s="237">
        <f t="shared" si="124"/>
        <v>0</v>
      </c>
      <c r="AB113" s="452">
        <f t="shared" si="185"/>
        <v>15.231199999999999</v>
      </c>
      <c r="AC113" s="201">
        <f t="shared" si="126"/>
        <v>0</v>
      </c>
      <c r="AD113" s="203">
        <f t="shared" si="186"/>
        <v>0</v>
      </c>
      <c r="AE113" s="37" t="str">
        <f t="shared" si="128"/>
        <v/>
      </c>
      <c r="AF113" s="202">
        <f t="shared" si="187"/>
        <v>0</v>
      </c>
      <c r="AG113" s="201">
        <f t="shared" si="188"/>
        <v>0</v>
      </c>
      <c r="AH113" s="61">
        <f t="shared" si="131"/>
        <v>15.231199999999999</v>
      </c>
      <c r="AI113" s="443">
        <f t="shared" si="233"/>
        <v>0</v>
      </c>
      <c r="AJ113" s="444">
        <f t="shared" si="189"/>
        <v>0</v>
      </c>
      <c r="AK113" s="445">
        <f t="shared" si="190"/>
        <v>0</v>
      </c>
      <c r="AL113" s="446">
        <f t="shared" si="191"/>
        <v>0</v>
      </c>
      <c r="AM113" s="447">
        <f t="shared" si="192"/>
        <v>0</v>
      </c>
      <c r="AN113" s="24">
        <f t="shared" si="193"/>
        <v>15.231199999999999</v>
      </c>
      <c r="AO113" s="443">
        <f t="shared" si="137"/>
        <v>0</v>
      </c>
      <c r="AP113" s="444">
        <f t="shared" si="194"/>
        <v>0</v>
      </c>
      <c r="AQ113" s="445">
        <f t="shared" si="195"/>
        <v>0</v>
      </c>
      <c r="AR113" s="446">
        <f t="shared" si="196"/>
        <v>0</v>
      </c>
      <c r="AS113" s="447">
        <f t="shared" si="197"/>
        <v>0</v>
      </c>
      <c r="AT113" s="24">
        <f t="shared" si="198"/>
        <v>15.231199999999999</v>
      </c>
      <c r="AU113" s="443">
        <f t="shared" si="143"/>
        <v>0</v>
      </c>
      <c r="AV113" s="444">
        <f t="shared" si="199"/>
        <v>0</v>
      </c>
      <c r="AW113" s="445">
        <f t="shared" si="200"/>
        <v>0</v>
      </c>
      <c r="AX113" s="446">
        <f t="shared" si="201"/>
        <v>0</v>
      </c>
      <c r="AY113" s="447">
        <f t="shared" si="202"/>
        <v>0</v>
      </c>
      <c r="AZ113" s="24">
        <f t="shared" si="203"/>
        <v>15.231199999999999</v>
      </c>
      <c r="BA113" s="43">
        <f>IF(BB113=0,0,
IF(D113=1,
(IF(AND(AH113&gt;'Данные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"ошибка_1"))))))),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"ошибка_2"))))))))</f>
        <v>0</v>
      </c>
      <c r="BB113" s="43">
        <f>IF(OR($AI$9=0,AND(D113&gt;1,F113&gt;10)),0,
IF(D113=1,
(IF(AND(AH113&gt;'Данные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"ошибка_1"))))))),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IF(AND(AH113&gt;'Данные ТНПА'!#REF!,AH113&lt;='Данные ТНПА'!#REF!),'Данные ТНПА'!#REF!,
"ошибка_2"))))))))</f>
        <v>0</v>
      </c>
      <c r="BC113" s="43">
        <f t="shared" si="204"/>
        <v>15.231199999999999</v>
      </c>
      <c r="BD113" s="237">
        <f t="shared" si="205"/>
        <v>0</v>
      </c>
      <c r="BE113" s="43">
        <f t="shared" si="206"/>
        <v>0</v>
      </c>
      <c r="BF113" s="201">
        <f t="shared" si="207"/>
        <v>0</v>
      </c>
      <c r="BG113" s="201">
        <f t="shared" si="208"/>
        <v>0</v>
      </c>
      <c r="BH113" s="61">
        <f t="shared" si="209"/>
        <v>15.231199999999999</v>
      </c>
      <c r="BI113" s="237">
        <f t="shared" si="210"/>
        <v>0</v>
      </c>
      <c r="BJ113" s="247">
        <f t="shared" si="211"/>
        <v>0</v>
      </c>
      <c r="BK113" s="431">
        <f t="shared" si="212"/>
        <v>0</v>
      </c>
      <c r="BL113" s="250">
        <f t="shared" si="213"/>
        <v>0</v>
      </c>
      <c r="BM113" s="237">
        <f t="shared" si="214"/>
        <v>0</v>
      </c>
      <c r="BN113" s="452">
        <f t="shared" si="215"/>
        <v>15.231199999999999</v>
      </c>
      <c r="BO113" s="237">
        <f t="shared" si="216"/>
        <v>0</v>
      </c>
      <c r="BP113" s="432">
        <f t="shared" si="217"/>
        <v>0</v>
      </c>
      <c r="BQ113" s="22" t="str">
        <f t="shared" si="218"/>
        <v/>
      </c>
      <c r="BR113" s="250">
        <f t="shared" si="219"/>
        <v>0</v>
      </c>
      <c r="BS113" s="237">
        <f t="shared" si="220"/>
        <v>0</v>
      </c>
      <c r="BT113" s="452">
        <f t="shared" si="221"/>
        <v>15.231199999999999</v>
      </c>
      <c r="BU113" s="492">
        <f t="shared" si="222"/>
        <v>1.3449999999999998</v>
      </c>
      <c r="BV113" s="493">
        <f>IF(BT113="","",
IF(AND(BT113&gt;'Данные ТНПА'!$K$8,BT113&lt;='Данные ТНПА'!$L$8),'Данные ТНПА'!$N$8,
IF(AND(BT113&gt;'Данные ТНПА'!$K$9,BT113&lt;='Данные ТНПА'!$L$9),'Данные ТНПА'!$N$9,
IF(AND(BT113&gt;'Данные ТНПА'!$K$10,BT113&lt;='Данные ТНПА'!$L$10),'Данные ТНПА'!$N$10,
IF(AND(BT113&gt;'Данные ТНПА'!$K$11,BT113&lt;='Данные ТНПА'!$L$11),'Данные ТНПА'!$N$11,
IF(AND(BT113&gt;'Данные ТНПА'!$K$12,BT113&lt;='Данные ТНПА'!$L$12),'Данные ТНПА'!$N$12,
IF(AND(BT113&gt;'Данные ТНПА'!$K$13,BT113&lt;='Данные ТНПА'!$L$13),'Данные ТНПА'!$N$13,
IF(AND(BT113&gt;'Данные ТНПА'!$K$14,BT113&lt;='Данные ТНПА'!$L$14),'Данные ТНПА'!$N$14))))))))</f>
        <v>1.7</v>
      </c>
      <c r="BW113" s="493">
        <f t="shared" si="223"/>
        <v>18.6312</v>
      </c>
      <c r="BX113" s="457">
        <f t="shared" si="169"/>
        <v>174.00960000000001</v>
      </c>
      <c r="BY113" s="457">
        <f t="shared" si="170"/>
        <v>0</v>
      </c>
      <c r="BZ113" s="457">
        <f t="shared" si="171"/>
        <v>82.715315178108213</v>
      </c>
      <c r="CA113" s="457" t="e">
        <f t="shared" si="224"/>
        <v>#REF!</v>
      </c>
      <c r="CB113" s="458">
        <f t="shared" si="225"/>
        <v>0</v>
      </c>
      <c r="CC113" s="457">
        <f t="shared" si="226"/>
        <v>0</v>
      </c>
      <c r="CD113" s="457">
        <f t="shared" si="227"/>
        <v>0</v>
      </c>
      <c r="CE113" s="457">
        <f t="shared" si="228"/>
        <v>0</v>
      </c>
      <c r="CF113" s="457">
        <f t="shared" si="229"/>
        <v>0</v>
      </c>
      <c r="CG113" s="458">
        <f t="shared" si="178"/>
        <v>0</v>
      </c>
      <c r="CH113" s="457">
        <f t="shared" si="230"/>
        <v>0</v>
      </c>
      <c r="CI113" s="457">
        <f t="shared" si="231"/>
        <v>0</v>
      </c>
      <c r="CJ113" s="458">
        <f t="shared" si="232"/>
        <v>0</v>
      </c>
      <c r="CK113" s="458">
        <f t="shared" si="182"/>
        <v>131.65819868944456</v>
      </c>
      <c r="CL113" s="457">
        <f t="shared" si="183"/>
        <v>388.38311386755277</v>
      </c>
      <c r="CM113" s="504"/>
      <c r="CN113" s="504"/>
    </row>
    <row r="114" spans="1:92" s="207" customFormat="1" ht="14.25" hidden="1" customHeight="1" x14ac:dyDescent="0.25">
      <c r="A114" s="389" t="str">
        <f>IF(D114="",CONCATENATE("Кабель ",IF(C114="а","А",""),$A$9),CONCATENATE("Кабель ",IF(C114="а","А",""),$A$9," ",D114,"*",F114,IF(G114="ок"," (ож)","")," - ",B114," ",IF(G114="мс"," фас. ",""),$A$2))</f>
        <v>Кабель АВВГ 4*25 (ож) - 0,66 ГОСТ 16442-80</v>
      </c>
      <c r="B114" s="450">
        <v>0.66</v>
      </c>
      <c r="C114" s="451" t="s">
        <v>164</v>
      </c>
      <c r="D114" s="412">
        <v>4</v>
      </c>
      <c r="E114" s="413" t="s">
        <v>40</v>
      </c>
      <c r="F114" s="423">
        <v>25</v>
      </c>
      <c r="G114" s="414" t="str">
        <f>IF(I114=1,"ок","мк")</f>
        <v>ок</v>
      </c>
      <c r="H114" s="461">
        <v>5.6499999999999995</v>
      </c>
      <c r="I114" s="497">
        <v>1</v>
      </c>
      <c r="J114" s="498" t="s">
        <v>40</v>
      </c>
      <c r="K114" s="496">
        <f>ROUNDUP(SQRT(F114/PI()*4),2)</f>
        <v>5.6499999999999995</v>
      </c>
      <c r="L114" s="501">
        <v>7.1000000000000005</v>
      </c>
      <c r="M114" s="475"/>
      <c r="N114" s="475"/>
      <c r="O114" s="475"/>
      <c r="P114" s="475"/>
      <c r="Q114" s="483">
        <f t="shared" si="184"/>
        <v>0.89000000000000012</v>
      </c>
      <c r="R114" s="484">
        <f>IF(B114=0.66,VLOOKUP(F114,'Данные ТНПА'!$B$8:$C$16,2,0),
IF(B114=1,VLOOKUP(F114,'Данные ТНПА'!$B$17:$C$37,2,0),"ошибка"))</f>
        <v>1.1000000000000001</v>
      </c>
      <c r="S114" s="485">
        <f t="shared" si="120"/>
        <v>7.43</v>
      </c>
      <c r="T114" s="486"/>
      <c r="U114" s="487"/>
      <c r="V114" s="485">
        <f t="shared" si="121"/>
        <v>7.85</v>
      </c>
      <c r="W114" s="486"/>
      <c r="X114" s="487"/>
      <c r="Y114" s="489">
        <f t="shared" si="122"/>
        <v>3.2</v>
      </c>
      <c r="Z114" s="491">
        <f t="shared" si="123"/>
        <v>18.918500000000002</v>
      </c>
      <c r="AA114" s="237">
        <f t="shared" si="124"/>
        <v>0</v>
      </c>
      <c r="AB114" s="452">
        <f t="shared" si="185"/>
        <v>18.918500000000002</v>
      </c>
      <c r="AC114" s="201">
        <f t="shared" si="126"/>
        <v>0</v>
      </c>
      <c r="AD114" s="203">
        <f t="shared" si="186"/>
        <v>0</v>
      </c>
      <c r="AE114" s="37" t="str">
        <f t="shared" si="128"/>
        <v/>
      </c>
      <c r="AF114" s="202">
        <f t="shared" si="187"/>
        <v>0</v>
      </c>
      <c r="AG114" s="201">
        <f t="shared" si="188"/>
        <v>0</v>
      </c>
      <c r="AH114" s="61">
        <f t="shared" si="131"/>
        <v>18.918500000000002</v>
      </c>
      <c r="AI114" s="443">
        <f t="shared" si="233"/>
        <v>0</v>
      </c>
      <c r="AJ114" s="444">
        <f t="shared" si="189"/>
        <v>0</v>
      </c>
      <c r="AK114" s="445">
        <f t="shared" si="190"/>
        <v>0</v>
      </c>
      <c r="AL114" s="446">
        <f t="shared" si="191"/>
        <v>0</v>
      </c>
      <c r="AM114" s="447">
        <f t="shared" si="192"/>
        <v>0</v>
      </c>
      <c r="AN114" s="24">
        <f t="shared" si="193"/>
        <v>18.918500000000002</v>
      </c>
      <c r="AO114" s="443">
        <f t="shared" si="137"/>
        <v>0</v>
      </c>
      <c r="AP114" s="444">
        <f t="shared" si="194"/>
        <v>0</v>
      </c>
      <c r="AQ114" s="445">
        <f t="shared" si="195"/>
        <v>0</v>
      </c>
      <c r="AR114" s="446">
        <f t="shared" si="196"/>
        <v>0</v>
      </c>
      <c r="AS114" s="447">
        <f t="shared" si="197"/>
        <v>0</v>
      </c>
      <c r="AT114" s="24">
        <f t="shared" si="198"/>
        <v>18.918500000000002</v>
      </c>
      <c r="AU114" s="443">
        <f t="shared" si="143"/>
        <v>0</v>
      </c>
      <c r="AV114" s="444">
        <f t="shared" si="199"/>
        <v>0</v>
      </c>
      <c r="AW114" s="445">
        <f t="shared" si="200"/>
        <v>0</v>
      </c>
      <c r="AX114" s="446">
        <f t="shared" si="201"/>
        <v>0</v>
      </c>
      <c r="AY114" s="447">
        <f t="shared" si="202"/>
        <v>0</v>
      </c>
      <c r="AZ114" s="24">
        <f t="shared" si="203"/>
        <v>18.918500000000002</v>
      </c>
      <c r="BA114" s="43">
        <f>IF(BB114=0,0,
IF(D114=1,
(IF(AND(AH114&gt;'Данные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"ошибка_1"))))))),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"ошибка_2"))))))))</f>
        <v>0</v>
      </c>
      <c r="BB114" s="43">
        <f>IF(OR($AI$9=0,AND(D114&gt;1,F114&gt;10)),0,
IF(D114=1,
(IF(AND(AH114&gt;'Данные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"ошибка_1"))))))),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IF(AND(AH114&gt;'Данные ТНПА'!#REF!,AH114&lt;='Данные ТНПА'!#REF!),'Данные ТНПА'!#REF!,
"ошибка_2"))))))))</f>
        <v>0</v>
      </c>
      <c r="BC114" s="43">
        <f t="shared" si="204"/>
        <v>18.918500000000002</v>
      </c>
      <c r="BD114" s="237">
        <f t="shared" si="205"/>
        <v>0</v>
      </c>
      <c r="BE114" s="43">
        <f t="shared" si="206"/>
        <v>0</v>
      </c>
      <c r="BF114" s="201">
        <f t="shared" si="207"/>
        <v>0</v>
      </c>
      <c r="BG114" s="201">
        <f t="shared" si="208"/>
        <v>0</v>
      </c>
      <c r="BH114" s="61">
        <f t="shared" si="209"/>
        <v>18.918500000000002</v>
      </c>
      <c r="BI114" s="237">
        <f t="shared" si="210"/>
        <v>0</v>
      </c>
      <c r="BJ114" s="247">
        <f t="shared" si="211"/>
        <v>0</v>
      </c>
      <c r="BK114" s="431">
        <f t="shared" si="212"/>
        <v>0</v>
      </c>
      <c r="BL114" s="250">
        <f t="shared" si="213"/>
        <v>0</v>
      </c>
      <c r="BM114" s="237">
        <f t="shared" si="214"/>
        <v>0</v>
      </c>
      <c r="BN114" s="452">
        <f t="shared" si="215"/>
        <v>18.918500000000002</v>
      </c>
      <c r="BO114" s="237">
        <f t="shared" si="216"/>
        <v>0</v>
      </c>
      <c r="BP114" s="432">
        <f t="shared" si="217"/>
        <v>0</v>
      </c>
      <c r="BQ114" s="22" t="str">
        <f t="shared" si="218"/>
        <v/>
      </c>
      <c r="BR114" s="250">
        <f t="shared" si="219"/>
        <v>0</v>
      </c>
      <c r="BS114" s="237">
        <f t="shared" si="220"/>
        <v>0</v>
      </c>
      <c r="BT114" s="452">
        <f t="shared" si="221"/>
        <v>18.918500000000002</v>
      </c>
      <c r="BU114" s="492">
        <f t="shared" si="222"/>
        <v>1.3449999999999998</v>
      </c>
      <c r="BV114" s="493">
        <f>IF(BT114="","",
IF(AND(BT114&gt;'Данные ТНПА'!$K$8,BT114&lt;='Данные ТНПА'!$L$8),'Данные ТНПА'!$N$8,
IF(AND(BT114&gt;'Данные ТНПА'!$K$9,BT114&lt;='Данные ТНПА'!$L$9),'Данные ТНПА'!$N$9,
IF(AND(BT114&gt;'Данные ТНПА'!$K$10,BT114&lt;='Данные ТНПА'!$L$10),'Данные ТНПА'!$N$10,
IF(AND(BT114&gt;'Данные ТНПА'!$K$11,BT114&lt;='Данные ТНПА'!$L$11),'Данные ТНПА'!$N$11,
IF(AND(BT114&gt;'Данные ТНПА'!$K$12,BT114&lt;='Данные ТНПА'!$L$12),'Данные ТНПА'!$N$12,
IF(AND(BT114&gt;'Данные ТНПА'!$K$13,BT114&lt;='Данные ТНПА'!$L$13),'Данные ТНПА'!$N$13,
IF(AND(BT114&gt;'Данные ТНПА'!$K$14,BT114&lt;='Данные ТНПА'!$L$14),'Данные ТНПА'!$N$14))))))))</f>
        <v>1.7</v>
      </c>
      <c r="BW114" s="493">
        <f t="shared" si="223"/>
        <v>22.3185</v>
      </c>
      <c r="BX114" s="457">
        <f t="shared" si="169"/>
        <v>271.89</v>
      </c>
      <c r="BY114" s="457">
        <f t="shared" si="170"/>
        <v>0</v>
      </c>
      <c r="BZ114" s="457">
        <f t="shared" si="171"/>
        <v>125.90430815855954</v>
      </c>
      <c r="CA114" s="457" t="e">
        <f t="shared" si="224"/>
        <v>#REF!</v>
      </c>
      <c r="CB114" s="458">
        <f t="shared" si="225"/>
        <v>0</v>
      </c>
      <c r="CC114" s="457">
        <f t="shared" si="226"/>
        <v>0</v>
      </c>
      <c r="CD114" s="457">
        <f t="shared" si="227"/>
        <v>0</v>
      </c>
      <c r="CE114" s="457">
        <f t="shared" si="228"/>
        <v>0</v>
      </c>
      <c r="CF114" s="457">
        <f t="shared" si="229"/>
        <v>0</v>
      </c>
      <c r="CG114" s="458">
        <f t="shared" si="178"/>
        <v>0</v>
      </c>
      <c r="CH114" s="457">
        <f t="shared" si="230"/>
        <v>0</v>
      </c>
      <c r="CI114" s="457">
        <f t="shared" si="231"/>
        <v>0</v>
      </c>
      <c r="CJ114" s="458">
        <f t="shared" si="232"/>
        <v>0</v>
      </c>
      <c r="CK114" s="458">
        <f t="shared" si="182"/>
        <v>160.33090210252746</v>
      </c>
      <c r="CL114" s="457">
        <f t="shared" si="183"/>
        <v>558.12521026108698</v>
      </c>
      <c r="CM114" s="504"/>
      <c r="CN114" s="504"/>
    </row>
    <row r="115" spans="1:92" s="207" customFormat="1" ht="14.25" hidden="1" customHeight="1" x14ac:dyDescent="0.25">
      <c r="A115" s="389" t="str">
        <f>IF(D115="",CONCATENATE("Кабель ",IF(C115="а","А",""),$A$9),CONCATENATE("Кабель ",IF(C115="а","А",""),$A$9," ",D115,"*",F115,IF(G115="ок"," (ож)","")," - ",B115," ",IF(G115="мс"," фас. ",""),$A$2))</f>
        <v>Кабель АВВГ 4*35 (ож) - 0,66 ГОСТ 16442-80</v>
      </c>
      <c r="B115" s="450">
        <v>0.66</v>
      </c>
      <c r="C115" s="451" t="s">
        <v>164</v>
      </c>
      <c r="D115" s="412">
        <v>4</v>
      </c>
      <c r="E115" s="413" t="s">
        <v>40</v>
      </c>
      <c r="F115" s="423">
        <v>35</v>
      </c>
      <c r="G115" s="414" t="str">
        <f>IF(I115=1,"ок","мк")</f>
        <v>ок</v>
      </c>
      <c r="H115" s="461">
        <v>6.68</v>
      </c>
      <c r="I115" s="497">
        <v>1</v>
      </c>
      <c r="J115" s="498" t="s">
        <v>40</v>
      </c>
      <c r="K115" s="496">
        <f>ROUNDUP(SQRT(F115/PI()*4),2)</f>
        <v>6.68</v>
      </c>
      <c r="L115" s="501">
        <v>8.15</v>
      </c>
      <c r="M115" s="475"/>
      <c r="N115" s="475"/>
      <c r="O115" s="475"/>
      <c r="P115" s="475"/>
      <c r="Q115" s="483">
        <f t="shared" si="184"/>
        <v>0.89000000000000012</v>
      </c>
      <c r="R115" s="484">
        <f>IF(B115=0.66,VLOOKUP(F115,'Данные ТНПА'!$B$8:$C$16,2,0),
IF(B115=1,VLOOKUP(F115,'Данные ТНПА'!$B$17:$C$37,2,0),"ошибка"))</f>
        <v>1.1000000000000001</v>
      </c>
      <c r="S115" s="485">
        <f t="shared" si="120"/>
        <v>8.4600000000000009</v>
      </c>
      <c r="T115" s="486"/>
      <c r="U115" s="487"/>
      <c r="V115" s="485">
        <f t="shared" si="121"/>
        <v>8.879999999999999</v>
      </c>
      <c r="W115" s="486"/>
      <c r="X115" s="487"/>
      <c r="Y115" s="489">
        <f t="shared" si="122"/>
        <v>3.7</v>
      </c>
      <c r="Z115" s="491">
        <f t="shared" si="123"/>
        <v>21.4008</v>
      </c>
      <c r="AA115" s="237">
        <f t="shared" si="124"/>
        <v>0</v>
      </c>
      <c r="AB115" s="452">
        <f t="shared" si="185"/>
        <v>21.4008</v>
      </c>
      <c r="AC115" s="201">
        <f t="shared" si="126"/>
        <v>0</v>
      </c>
      <c r="AD115" s="203">
        <f t="shared" si="186"/>
        <v>0</v>
      </c>
      <c r="AE115" s="37" t="str">
        <f t="shared" si="128"/>
        <v/>
      </c>
      <c r="AF115" s="202">
        <f t="shared" si="187"/>
        <v>0</v>
      </c>
      <c r="AG115" s="201">
        <f t="shared" si="188"/>
        <v>0</v>
      </c>
      <c r="AH115" s="61">
        <f t="shared" si="131"/>
        <v>21.4008</v>
      </c>
      <c r="AI115" s="443">
        <f t="shared" si="233"/>
        <v>0</v>
      </c>
      <c r="AJ115" s="444">
        <f t="shared" si="189"/>
        <v>0</v>
      </c>
      <c r="AK115" s="445">
        <f t="shared" si="190"/>
        <v>0</v>
      </c>
      <c r="AL115" s="446">
        <f t="shared" si="191"/>
        <v>0</v>
      </c>
      <c r="AM115" s="447">
        <f t="shared" si="192"/>
        <v>0</v>
      </c>
      <c r="AN115" s="24">
        <f t="shared" si="193"/>
        <v>21.4008</v>
      </c>
      <c r="AO115" s="443">
        <f t="shared" si="137"/>
        <v>0</v>
      </c>
      <c r="AP115" s="444">
        <f t="shared" si="194"/>
        <v>0</v>
      </c>
      <c r="AQ115" s="445">
        <f t="shared" si="195"/>
        <v>0</v>
      </c>
      <c r="AR115" s="446">
        <f t="shared" si="196"/>
        <v>0</v>
      </c>
      <c r="AS115" s="447">
        <f t="shared" si="197"/>
        <v>0</v>
      </c>
      <c r="AT115" s="24">
        <f t="shared" si="198"/>
        <v>21.4008</v>
      </c>
      <c r="AU115" s="443">
        <f t="shared" si="143"/>
        <v>0</v>
      </c>
      <c r="AV115" s="444">
        <f t="shared" si="199"/>
        <v>0</v>
      </c>
      <c r="AW115" s="445">
        <f t="shared" si="200"/>
        <v>0</v>
      </c>
      <c r="AX115" s="446">
        <f t="shared" si="201"/>
        <v>0</v>
      </c>
      <c r="AY115" s="447">
        <f t="shared" si="202"/>
        <v>0</v>
      </c>
      <c r="AZ115" s="24">
        <f t="shared" si="203"/>
        <v>21.4008</v>
      </c>
      <c r="BA115" s="43">
        <f>IF(BB115=0,0,
IF(D115=1,
(IF(AND(AH115&gt;'Данные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"ошибка_1"))))))),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"ошибка_2"))))))))</f>
        <v>0</v>
      </c>
      <c r="BB115" s="43">
        <f>IF(OR($AI$9=0,AND(D115&gt;1,F115&gt;10)),0,
IF(D115=1,
(IF(AND(AH115&gt;'Данные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"ошибка_1"))))))),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IF(AND(AH115&gt;'Данные ТНПА'!#REF!,AH115&lt;='Данные ТНПА'!#REF!),'Данные ТНПА'!#REF!,
"ошибка_2"))))))))</f>
        <v>0</v>
      </c>
      <c r="BC115" s="43">
        <f t="shared" si="204"/>
        <v>21.4008</v>
      </c>
      <c r="BD115" s="237">
        <f t="shared" si="205"/>
        <v>0</v>
      </c>
      <c r="BE115" s="43">
        <f t="shared" si="206"/>
        <v>0</v>
      </c>
      <c r="BF115" s="201">
        <f t="shared" si="207"/>
        <v>0</v>
      </c>
      <c r="BG115" s="201">
        <f t="shared" si="208"/>
        <v>0</v>
      </c>
      <c r="BH115" s="61">
        <f t="shared" si="209"/>
        <v>21.4008</v>
      </c>
      <c r="BI115" s="237">
        <f t="shared" si="210"/>
        <v>0</v>
      </c>
      <c r="BJ115" s="247">
        <f t="shared" si="211"/>
        <v>0</v>
      </c>
      <c r="BK115" s="431">
        <f t="shared" si="212"/>
        <v>0</v>
      </c>
      <c r="BL115" s="250">
        <f t="shared" si="213"/>
        <v>0</v>
      </c>
      <c r="BM115" s="237">
        <f t="shared" si="214"/>
        <v>0</v>
      </c>
      <c r="BN115" s="452">
        <f t="shared" si="215"/>
        <v>21.4008</v>
      </c>
      <c r="BO115" s="237">
        <f t="shared" si="216"/>
        <v>0</v>
      </c>
      <c r="BP115" s="432">
        <f t="shared" si="217"/>
        <v>0</v>
      </c>
      <c r="BQ115" s="22" t="str">
        <f t="shared" si="218"/>
        <v/>
      </c>
      <c r="BR115" s="250">
        <f t="shared" si="219"/>
        <v>0</v>
      </c>
      <c r="BS115" s="237">
        <f t="shared" si="220"/>
        <v>0</v>
      </c>
      <c r="BT115" s="452">
        <f t="shared" si="221"/>
        <v>21.4008</v>
      </c>
      <c r="BU115" s="492">
        <f t="shared" si="222"/>
        <v>1.5149999999999999</v>
      </c>
      <c r="BV115" s="493">
        <f>IF(BT115="","",
IF(AND(BT115&gt;'Данные ТНПА'!$K$8,BT115&lt;='Данные ТНПА'!$L$8),'Данные ТНПА'!$N$8,
IF(AND(BT115&gt;'Данные ТНПА'!$K$9,BT115&lt;='Данные ТНПА'!$L$9),'Данные ТНПА'!$N$9,
IF(AND(BT115&gt;'Данные ТНПА'!$K$10,BT115&lt;='Данные ТНПА'!$L$10),'Данные ТНПА'!$N$10,
IF(AND(BT115&gt;'Данные ТНПА'!$K$11,BT115&lt;='Данные ТНПА'!$L$11),'Данные ТНПА'!$N$11,
IF(AND(BT115&gt;'Данные ТНПА'!$K$12,BT115&lt;='Данные ТНПА'!$L$12),'Данные ТНПА'!$N$12,
IF(AND(BT115&gt;'Данные ТНПА'!$K$13,BT115&lt;='Данные ТНПА'!$L$13),'Данные ТНПА'!$N$13,
IF(AND(BT115&gt;'Данные ТНПА'!$K$14,BT115&lt;='Данные ТНПА'!$L$14),'Данные ТНПА'!$N$14))))))))</f>
        <v>1.9</v>
      </c>
      <c r="BW115" s="493">
        <f t="shared" si="223"/>
        <v>25.200800000000001</v>
      </c>
      <c r="BX115" s="457">
        <f t="shared" si="169"/>
        <v>380.64599999999996</v>
      </c>
      <c r="BY115" s="457">
        <f t="shared" si="170"/>
        <v>0</v>
      </c>
      <c r="BZ115" s="457">
        <f t="shared" si="171"/>
        <v>145.11637295905086</v>
      </c>
      <c r="CA115" s="457" t="e">
        <f t="shared" si="224"/>
        <v>#REF!</v>
      </c>
      <c r="CB115" s="458">
        <f t="shared" si="225"/>
        <v>0</v>
      </c>
      <c r="CC115" s="457">
        <f t="shared" si="226"/>
        <v>0</v>
      </c>
      <c r="CD115" s="457">
        <f t="shared" si="227"/>
        <v>0</v>
      </c>
      <c r="CE115" s="457">
        <f t="shared" si="228"/>
        <v>0</v>
      </c>
      <c r="CF115" s="457">
        <f t="shared" si="229"/>
        <v>0</v>
      </c>
      <c r="CG115" s="458">
        <f t="shared" si="178"/>
        <v>0</v>
      </c>
      <c r="CH115" s="457">
        <f t="shared" si="230"/>
        <v>0</v>
      </c>
      <c r="CI115" s="457">
        <f t="shared" si="231"/>
        <v>0</v>
      </c>
      <c r="CJ115" s="458">
        <f t="shared" si="232"/>
        <v>0</v>
      </c>
      <c r="CK115" s="458">
        <f t="shared" si="182"/>
        <v>202.50496738508917</v>
      </c>
      <c r="CL115" s="457">
        <f t="shared" si="183"/>
        <v>728.26734034413994</v>
      </c>
      <c r="CM115" s="504"/>
      <c r="CN115" s="504"/>
    </row>
    <row r="116" spans="1:92" s="207" customFormat="1" ht="14.25" hidden="1" customHeight="1" x14ac:dyDescent="0.25">
      <c r="A116" s="389" t="str">
        <f>IF(D116="",CONCATENATE("Кабель ",IF(C116="а","А",""),$A$9),CONCATENATE("Кабель ",IF(C116="а","А",""),$A$9," ",D116,"*",F116,IF(G116="ок"," (ож)","")," - ",B116," ",IF(G116="мс"," фас. ",""),$A$2))</f>
        <v>Кабель АВВГ 5*25 - 0,66 ГОСТ 16442-80</v>
      </c>
      <c r="B116" s="450">
        <v>0.66</v>
      </c>
      <c r="C116" s="451" t="s">
        <v>164</v>
      </c>
      <c r="D116" s="412">
        <v>5</v>
      </c>
      <c r="E116" s="413" t="s">
        <v>40</v>
      </c>
      <c r="F116" s="423">
        <v>25</v>
      </c>
      <c r="G116" s="414" t="str">
        <f>IF(I116=1,"ок","мк")</f>
        <v>мк</v>
      </c>
      <c r="H116" s="461">
        <v>2.21</v>
      </c>
      <c r="I116" s="476">
        <v>7</v>
      </c>
      <c r="J116" s="477" t="s">
        <v>40</v>
      </c>
      <c r="K116" s="470">
        <f>ROUNDUP(SQRT(F116/I116/PI()*4*1.07),2)</f>
        <v>2.21</v>
      </c>
      <c r="L116" s="501">
        <v>1.79</v>
      </c>
      <c r="M116" s="475"/>
      <c r="N116" s="475"/>
      <c r="O116" s="475"/>
      <c r="P116" s="475"/>
      <c r="Q116" s="483">
        <f t="shared" si="184"/>
        <v>0.89000000000000012</v>
      </c>
      <c r="R116" s="484">
        <f>IF(B116=0.66,VLOOKUP(F116,'Данные ТНПА'!$B$8:$C$16,2,0),
IF(B116=1,VLOOKUP(F116,'Данные ТНПА'!$B$17:$C$37,2,0),"ошибка"))</f>
        <v>1.1000000000000001</v>
      </c>
      <c r="S116" s="485">
        <f t="shared" si="120"/>
        <v>3.5700000000000003</v>
      </c>
      <c r="T116" s="486"/>
      <c r="U116" s="487"/>
      <c r="V116" s="485">
        <f t="shared" si="121"/>
        <v>3.99</v>
      </c>
      <c r="W116" s="486"/>
      <c r="X116" s="487"/>
      <c r="Y116" s="489">
        <f t="shared" si="122"/>
        <v>2.8</v>
      </c>
      <c r="Z116" s="491">
        <f t="shared" si="123"/>
        <v>10.773000000000001</v>
      </c>
      <c r="AA116" s="237">
        <f t="shared" si="124"/>
        <v>0</v>
      </c>
      <c r="AB116" s="452">
        <f t="shared" si="185"/>
        <v>10.773000000000001</v>
      </c>
      <c r="AC116" s="201">
        <f t="shared" si="126"/>
        <v>0</v>
      </c>
      <c r="AD116" s="203">
        <f t="shared" si="186"/>
        <v>0</v>
      </c>
      <c r="AE116" s="37" t="str">
        <f t="shared" si="128"/>
        <v/>
      </c>
      <c r="AF116" s="202">
        <f t="shared" si="187"/>
        <v>0</v>
      </c>
      <c r="AG116" s="201">
        <f t="shared" si="188"/>
        <v>0</v>
      </c>
      <c r="AH116" s="61">
        <f t="shared" si="131"/>
        <v>10.773000000000001</v>
      </c>
      <c r="AI116" s="443">
        <f t="shared" si="233"/>
        <v>0</v>
      </c>
      <c r="AJ116" s="444">
        <f t="shared" si="189"/>
        <v>0</v>
      </c>
      <c r="AK116" s="445">
        <f t="shared" si="190"/>
        <v>0</v>
      </c>
      <c r="AL116" s="446">
        <f t="shared" si="191"/>
        <v>0</v>
      </c>
      <c r="AM116" s="447">
        <f t="shared" si="192"/>
        <v>0</v>
      </c>
      <c r="AN116" s="24">
        <f t="shared" si="193"/>
        <v>10.773000000000001</v>
      </c>
      <c r="AO116" s="443">
        <f t="shared" si="137"/>
        <v>0</v>
      </c>
      <c r="AP116" s="444">
        <f t="shared" si="194"/>
        <v>0</v>
      </c>
      <c r="AQ116" s="445">
        <f t="shared" si="195"/>
        <v>0</v>
      </c>
      <c r="AR116" s="446">
        <f t="shared" si="196"/>
        <v>0</v>
      </c>
      <c r="AS116" s="447">
        <f t="shared" si="197"/>
        <v>0</v>
      </c>
      <c r="AT116" s="24">
        <f t="shared" si="198"/>
        <v>10.773000000000001</v>
      </c>
      <c r="AU116" s="443">
        <f t="shared" si="143"/>
        <v>0</v>
      </c>
      <c r="AV116" s="444">
        <f t="shared" si="199"/>
        <v>0</v>
      </c>
      <c r="AW116" s="445">
        <f t="shared" si="200"/>
        <v>0</v>
      </c>
      <c r="AX116" s="446">
        <f t="shared" si="201"/>
        <v>0</v>
      </c>
      <c r="AY116" s="447">
        <f t="shared" si="202"/>
        <v>0</v>
      </c>
      <c r="AZ116" s="24">
        <f t="shared" si="203"/>
        <v>10.773000000000001</v>
      </c>
      <c r="BA116" s="43">
        <f>IF(BB116=0,0,
IF(D116=1,
(IF(AND(AH116&gt;'Данные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"ошибка_1"))))))),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"ошибка_2"))))))))</f>
        <v>0</v>
      </c>
      <c r="BB116" s="43">
        <f>IF(OR($AI$9=0,AND(D116&gt;1,F116&gt;10)),0,
IF(D116=1,
(IF(AND(AH116&gt;'Данные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"ошибка_1"))))))),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IF(AND(AH116&gt;'Данные ТНПА'!#REF!,AH116&lt;='Данные ТНПА'!#REF!),'Данные ТНПА'!#REF!,
"ошибка_2"))))))))</f>
        <v>0</v>
      </c>
      <c r="BC116" s="43">
        <f t="shared" si="204"/>
        <v>10.773000000000001</v>
      </c>
      <c r="BD116" s="237">
        <f t="shared" si="205"/>
        <v>0</v>
      </c>
      <c r="BE116" s="43">
        <f t="shared" si="206"/>
        <v>0</v>
      </c>
      <c r="BF116" s="201">
        <f t="shared" si="207"/>
        <v>0</v>
      </c>
      <c r="BG116" s="201">
        <f t="shared" si="208"/>
        <v>0</v>
      </c>
      <c r="BH116" s="61">
        <f t="shared" si="209"/>
        <v>10.773000000000001</v>
      </c>
      <c r="BI116" s="237">
        <f t="shared" si="210"/>
        <v>0</v>
      </c>
      <c r="BJ116" s="247">
        <f t="shared" si="211"/>
        <v>0</v>
      </c>
      <c r="BK116" s="431">
        <f t="shared" si="212"/>
        <v>0</v>
      </c>
      <c r="BL116" s="250">
        <f t="shared" si="213"/>
        <v>0</v>
      </c>
      <c r="BM116" s="237">
        <f t="shared" si="214"/>
        <v>0</v>
      </c>
      <c r="BN116" s="452">
        <f t="shared" si="215"/>
        <v>10.773000000000001</v>
      </c>
      <c r="BO116" s="237">
        <f t="shared" si="216"/>
        <v>0</v>
      </c>
      <c r="BP116" s="432">
        <f t="shared" si="217"/>
        <v>0</v>
      </c>
      <c r="BQ116" s="22" t="str">
        <f t="shared" si="218"/>
        <v/>
      </c>
      <c r="BR116" s="250">
        <f t="shared" si="219"/>
        <v>0</v>
      </c>
      <c r="BS116" s="237">
        <f t="shared" si="220"/>
        <v>0</v>
      </c>
      <c r="BT116" s="452">
        <f t="shared" si="221"/>
        <v>10.773000000000001</v>
      </c>
      <c r="BU116" s="492">
        <f t="shared" si="222"/>
        <v>1.1749999999999998</v>
      </c>
      <c r="BV116" s="493">
        <f>IF(BT116="","",
IF(AND(BT116&gt;'Данные ТНПА'!$K$8,BT116&lt;='Данные ТНПА'!$L$8),'Данные ТНПА'!$N$8,
IF(AND(BT116&gt;'Данные ТНПА'!$K$9,BT116&lt;='Данные ТНПА'!$L$9),'Данные ТНПА'!$N$9,
IF(AND(BT116&gt;'Данные ТНПА'!$K$10,BT116&lt;='Данные ТНПА'!$L$10),'Данные ТНПА'!$N$10,
IF(AND(BT116&gt;'Данные ТНПА'!$K$11,BT116&lt;='Данные ТНПА'!$L$11),'Данные ТНПА'!$N$11,
IF(AND(BT116&gt;'Данные ТНПА'!$K$12,BT116&lt;='Данные ТНПА'!$L$12),'Данные ТНПА'!$N$12,
IF(AND(BT116&gt;'Данные ТНПА'!$K$13,BT116&lt;='Данные ТНПА'!$L$13),'Данные ТНПА'!$N$13,
IF(AND(BT116&gt;'Данные ТНПА'!$K$14,BT116&lt;='Данные ТНПА'!$L$14),'Данные ТНПА'!$N$14))))))))</f>
        <v>1.5</v>
      </c>
      <c r="BW116" s="493">
        <f t="shared" si="223"/>
        <v>13.773000000000001</v>
      </c>
      <c r="BX116" s="457">
        <f t="shared" si="169"/>
        <v>339.86249999999995</v>
      </c>
      <c r="BY116" s="457">
        <f t="shared" si="170"/>
        <v>0</v>
      </c>
      <c r="BZ116" s="457">
        <f t="shared" si="171"/>
        <v>74.120332525196446</v>
      </c>
      <c r="CA116" s="457" t="e">
        <f t="shared" si="224"/>
        <v>#REF!</v>
      </c>
      <c r="CB116" s="458">
        <f t="shared" si="225"/>
        <v>0</v>
      </c>
      <c r="CC116" s="457">
        <f t="shared" si="226"/>
        <v>0</v>
      </c>
      <c r="CD116" s="457">
        <f t="shared" si="227"/>
        <v>0</v>
      </c>
      <c r="CE116" s="457">
        <f t="shared" si="228"/>
        <v>0</v>
      </c>
      <c r="CF116" s="457">
        <f t="shared" si="229"/>
        <v>0</v>
      </c>
      <c r="CG116" s="458">
        <f t="shared" si="178"/>
        <v>0</v>
      </c>
      <c r="CH116" s="457">
        <f t="shared" si="230"/>
        <v>0</v>
      </c>
      <c r="CI116" s="457">
        <f t="shared" si="231"/>
        <v>0</v>
      </c>
      <c r="CJ116" s="458">
        <f t="shared" si="232"/>
        <v>0</v>
      </c>
      <c r="CK116" s="458">
        <f t="shared" si="182"/>
        <v>84.207978336316458</v>
      </c>
      <c r="CL116" s="457">
        <f t="shared" si="183"/>
        <v>498.19081086151283</v>
      </c>
      <c r="CM116" s="504"/>
      <c r="CN116" s="504"/>
    </row>
    <row r="117" spans="1:92" s="207" customFormat="1" ht="14.25" hidden="1" customHeight="1" x14ac:dyDescent="0.25">
      <c r="A117" s="389" t="str">
        <f>IF(D117="",CONCATENATE("Кабель ",IF(C117="а","А",""),$A$9),CONCATENATE("Кабель ",IF(C117="а","А",""),$A$9," ",D117,"*",F117,IF(G117="ок"," (ож)","")," - ",B117," ",IF(G117="мс"," фас. ",""),$A$2))</f>
        <v>Кабель АВВГ 5*35 - 0,66 ГОСТ 16442-80</v>
      </c>
      <c r="B117" s="450">
        <v>0.66</v>
      </c>
      <c r="C117" s="451" t="s">
        <v>164</v>
      </c>
      <c r="D117" s="412">
        <v>5</v>
      </c>
      <c r="E117" s="413" t="s">
        <v>40</v>
      </c>
      <c r="F117" s="423">
        <v>35</v>
      </c>
      <c r="G117" s="414" t="str">
        <f>IF(I117=1,"ок","мк")</f>
        <v>мк</v>
      </c>
      <c r="H117" s="461">
        <v>2.61</v>
      </c>
      <c r="I117" s="476">
        <v>7</v>
      </c>
      <c r="J117" s="477" t="s">
        <v>40</v>
      </c>
      <c r="K117" s="470">
        <f>ROUNDUP(SQRT(F117/I117/PI()*4*1.07),2)</f>
        <v>2.61</v>
      </c>
      <c r="L117" s="501">
        <v>2.2599999999999998</v>
      </c>
      <c r="M117" s="475"/>
      <c r="N117" s="475"/>
      <c r="O117" s="475"/>
      <c r="P117" s="475"/>
      <c r="Q117" s="483">
        <f t="shared" si="184"/>
        <v>0.89000000000000012</v>
      </c>
      <c r="R117" s="484">
        <f>IF(B117=0.66,VLOOKUP(F117,'Данные ТНПА'!$B$8:$C$16,2,0),
IF(B117=1,VLOOKUP(F117,'Данные ТНПА'!$B$17:$C$37,2,0),"ошибка"))</f>
        <v>1.1000000000000001</v>
      </c>
      <c r="S117" s="485">
        <f t="shared" si="120"/>
        <v>4.04</v>
      </c>
      <c r="T117" s="486"/>
      <c r="U117" s="487"/>
      <c r="V117" s="485">
        <f t="shared" si="121"/>
        <v>4.46</v>
      </c>
      <c r="W117" s="486"/>
      <c r="X117" s="487"/>
      <c r="Y117" s="489">
        <f t="shared" si="122"/>
        <v>3.1</v>
      </c>
      <c r="Z117" s="491">
        <f t="shared" si="123"/>
        <v>12.042</v>
      </c>
      <c r="AA117" s="237">
        <f t="shared" si="124"/>
        <v>0</v>
      </c>
      <c r="AB117" s="452">
        <f t="shared" si="185"/>
        <v>12.042</v>
      </c>
      <c r="AC117" s="201">
        <f t="shared" si="126"/>
        <v>0</v>
      </c>
      <c r="AD117" s="203">
        <f t="shared" si="186"/>
        <v>0</v>
      </c>
      <c r="AE117" s="37" t="str">
        <f t="shared" si="128"/>
        <v/>
      </c>
      <c r="AF117" s="202">
        <f t="shared" si="187"/>
        <v>0</v>
      </c>
      <c r="AG117" s="201">
        <f t="shared" si="188"/>
        <v>0</v>
      </c>
      <c r="AH117" s="61">
        <f t="shared" si="131"/>
        <v>12.042</v>
      </c>
      <c r="AI117" s="443">
        <f t="shared" si="233"/>
        <v>0</v>
      </c>
      <c r="AJ117" s="444">
        <f t="shared" si="189"/>
        <v>0</v>
      </c>
      <c r="AK117" s="445">
        <f t="shared" si="190"/>
        <v>0</v>
      </c>
      <c r="AL117" s="446">
        <f t="shared" si="191"/>
        <v>0</v>
      </c>
      <c r="AM117" s="447">
        <f t="shared" si="192"/>
        <v>0</v>
      </c>
      <c r="AN117" s="24">
        <f t="shared" si="193"/>
        <v>12.042</v>
      </c>
      <c r="AO117" s="443">
        <f t="shared" si="137"/>
        <v>0</v>
      </c>
      <c r="AP117" s="444">
        <f t="shared" si="194"/>
        <v>0</v>
      </c>
      <c r="AQ117" s="445">
        <f t="shared" si="195"/>
        <v>0</v>
      </c>
      <c r="AR117" s="446">
        <f t="shared" si="196"/>
        <v>0</v>
      </c>
      <c r="AS117" s="447">
        <f t="shared" si="197"/>
        <v>0</v>
      </c>
      <c r="AT117" s="24">
        <f t="shared" si="198"/>
        <v>12.042</v>
      </c>
      <c r="AU117" s="443">
        <f t="shared" si="143"/>
        <v>0</v>
      </c>
      <c r="AV117" s="444">
        <f t="shared" si="199"/>
        <v>0</v>
      </c>
      <c r="AW117" s="445">
        <f t="shared" si="200"/>
        <v>0</v>
      </c>
      <c r="AX117" s="446">
        <f t="shared" si="201"/>
        <v>0</v>
      </c>
      <c r="AY117" s="447">
        <f t="shared" si="202"/>
        <v>0</v>
      </c>
      <c r="AZ117" s="24">
        <f t="shared" si="203"/>
        <v>12.042</v>
      </c>
      <c r="BA117" s="43">
        <f>IF(BB117=0,0,
IF(D117=1,
(IF(AND(AH117&gt;'Данные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"ошибка_1"))))))),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"ошибка_2"))))))))</f>
        <v>0</v>
      </c>
      <c r="BB117" s="43">
        <f>IF(OR($AI$9=0,AND(D117&gt;1,F117&gt;10)),0,
IF(D117=1,
(IF(AND(AH117&gt;'Данные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"ошибка_1"))))))),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IF(AND(AH117&gt;'Данные ТНПА'!#REF!,AH117&lt;='Данные ТНПА'!#REF!),'Данные ТНПА'!#REF!,
"ошибка_2"))))))))</f>
        <v>0</v>
      </c>
      <c r="BC117" s="43">
        <f t="shared" si="204"/>
        <v>12.042</v>
      </c>
      <c r="BD117" s="237">
        <f t="shared" si="205"/>
        <v>0</v>
      </c>
      <c r="BE117" s="43">
        <f t="shared" si="206"/>
        <v>0</v>
      </c>
      <c r="BF117" s="201">
        <f t="shared" si="207"/>
        <v>0</v>
      </c>
      <c r="BG117" s="201">
        <f t="shared" si="208"/>
        <v>0</v>
      </c>
      <c r="BH117" s="61">
        <f t="shared" si="209"/>
        <v>12.042</v>
      </c>
      <c r="BI117" s="237">
        <f t="shared" si="210"/>
        <v>0</v>
      </c>
      <c r="BJ117" s="247">
        <f t="shared" si="211"/>
        <v>0</v>
      </c>
      <c r="BK117" s="431">
        <f t="shared" si="212"/>
        <v>0</v>
      </c>
      <c r="BL117" s="250">
        <f t="shared" si="213"/>
        <v>0</v>
      </c>
      <c r="BM117" s="237">
        <f t="shared" si="214"/>
        <v>0</v>
      </c>
      <c r="BN117" s="452">
        <f t="shared" si="215"/>
        <v>12.042</v>
      </c>
      <c r="BO117" s="237">
        <f t="shared" si="216"/>
        <v>0</v>
      </c>
      <c r="BP117" s="432">
        <f t="shared" si="217"/>
        <v>0</v>
      </c>
      <c r="BQ117" s="22" t="str">
        <f t="shared" si="218"/>
        <v/>
      </c>
      <c r="BR117" s="250">
        <f t="shared" si="219"/>
        <v>0</v>
      </c>
      <c r="BS117" s="237">
        <f t="shared" si="220"/>
        <v>0</v>
      </c>
      <c r="BT117" s="452">
        <f t="shared" si="221"/>
        <v>12.042</v>
      </c>
      <c r="BU117" s="492">
        <f t="shared" si="222"/>
        <v>1.1749999999999998</v>
      </c>
      <c r="BV117" s="493">
        <f>IF(BT117="","",
IF(AND(BT117&gt;'Данные ТНПА'!$K$8,BT117&lt;='Данные ТНПА'!$L$8),'Данные ТНПА'!$N$8,
IF(AND(BT117&gt;'Данные ТНПА'!$K$9,BT117&lt;='Данные ТНПА'!$L$9),'Данные ТНПА'!$N$9,
IF(AND(BT117&gt;'Данные ТНПА'!$K$10,BT117&lt;='Данные ТНПА'!$L$10),'Данные ТНПА'!$N$10,
IF(AND(BT117&gt;'Данные ТНПА'!$K$11,BT117&lt;='Данные ТНПА'!$L$11),'Данные ТНПА'!$N$11,
IF(AND(BT117&gt;'Данные ТНПА'!$K$12,BT117&lt;='Данные ТНПА'!$L$12),'Данные ТНПА'!$N$12,
IF(AND(BT117&gt;'Данные ТНПА'!$K$13,BT117&lt;='Данные ТНПА'!$L$13),'Данные ТНПА'!$N$13,
IF(AND(BT117&gt;'Данные ТНПА'!$K$14,BT117&lt;='Данные ТНПА'!$L$14),'Данные ТНПА'!$N$14))))))))</f>
        <v>1.5</v>
      </c>
      <c r="BW117" s="493">
        <f t="shared" si="223"/>
        <v>15.042</v>
      </c>
      <c r="BX117" s="457">
        <f t="shared" si="169"/>
        <v>475.80749999999995</v>
      </c>
      <c r="BY117" s="457">
        <f t="shared" si="170"/>
        <v>0</v>
      </c>
      <c r="BZ117" s="457">
        <f t="shared" si="171"/>
        <v>86.174504250747418</v>
      </c>
      <c r="CA117" s="457" t="e">
        <f t="shared" si="224"/>
        <v>#REF!</v>
      </c>
      <c r="CB117" s="458">
        <f t="shared" si="225"/>
        <v>0</v>
      </c>
      <c r="CC117" s="457">
        <f t="shared" si="226"/>
        <v>0</v>
      </c>
      <c r="CD117" s="457">
        <f t="shared" si="227"/>
        <v>0</v>
      </c>
      <c r="CE117" s="457">
        <f t="shared" si="228"/>
        <v>0</v>
      </c>
      <c r="CF117" s="457">
        <f t="shared" si="229"/>
        <v>0</v>
      </c>
      <c r="CG117" s="458">
        <f t="shared" si="178"/>
        <v>0</v>
      </c>
      <c r="CH117" s="457">
        <f t="shared" si="230"/>
        <v>0</v>
      </c>
      <c r="CI117" s="457">
        <f t="shared" si="231"/>
        <v>0</v>
      </c>
      <c r="CJ117" s="458">
        <f t="shared" si="232"/>
        <v>0</v>
      </c>
      <c r="CK117" s="458">
        <f t="shared" si="182"/>
        <v>92.914889809369939</v>
      </c>
      <c r="CL117" s="457">
        <f t="shared" si="183"/>
        <v>654.89689406011735</v>
      </c>
      <c r="CM117" s="504"/>
      <c r="CN117" s="504"/>
    </row>
    <row r="118" spans="1:92" s="207" customFormat="1" ht="14.25" hidden="1" customHeight="1" x14ac:dyDescent="0.25">
      <c r="A118" s="389" t="str">
        <f>IF(D118="",CONCATENATE("Кабель ",IF(C118="а","А",""),$A$9),CONCATENATE("Кабель ",IF(C118="а","А",""),$A$9," ",D118,"*",F118,IF(G118="ок"," (ож)","")," - ",B118," ",IF(G118="мс"," фас. ",""),$A$2))</f>
        <v>Кабель АВВГ 5*50 - 0,66 ГОСТ 16442-80</v>
      </c>
      <c r="B118" s="450">
        <v>0.66</v>
      </c>
      <c r="C118" s="451" t="s">
        <v>164</v>
      </c>
      <c r="D118" s="412">
        <v>5</v>
      </c>
      <c r="E118" s="413" t="s">
        <v>40</v>
      </c>
      <c r="F118" s="423">
        <v>50</v>
      </c>
      <c r="G118" s="414" t="str">
        <f>IF(I118=1,"ок","мк")</f>
        <v>мк</v>
      </c>
      <c r="H118" s="461">
        <v>3.1199999999999997</v>
      </c>
      <c r="I118" s="476">
        <v>7</v>
      </c>
      <c r="J118" s="477" t="s">
        <v>40</v>
      </c>
      <c r="K118" s="470">
        <f>ROUNDUP(SQRT(F118/I118/PI()*4*1.07),2)</f>
        <v>3.1199999999999997</v>
      </c>
      <c r="L118" s="501">
        <v>2.7699999999999996</v>
      </c>
      <c r="M118" s="475"/>
      <c r="N118" s="475"/>
      <c r="O118" s="475"/>
      <c r="P118" s="475"/>
      <c r="Q118" s="483">
        <f t="shared" si="184"/>
        <v>1.07</v>
      </c>
      <c r="R118" s="484">
        <f>IF(B118=0.66,VLOOKUP(F118,'Данные ТНПА'!$B$8:$C$16,2,0),
IF(B118=1,VLOOKUP(F118,'Данные ТНПА'!$B$17:$C$37,2,0),"ошибка"))</f>
        <v>1.3</v>
      </c>
      <c r="S118" s="485">
        <f t="shared" si="120"/>
        <v>4.91</v>
      </c>
      <c r="T118" s="486"/>
      <c r="U118" s="487"/>
      <c r="V118" s="485">
        <f t="shared" si="121"/>
        <v>5.3699999999999992</v>
      </c>
      <c r="W118" s="486"/>
      <c r="X118" s="487"/>
      <c r="Y118" s="489">
        <f t="shared" si="122"/>
        <v>3.8</v>
      </c>
      <c r="Z118" s="491">
        <f t="shared" si="123"/>
        <v>14.498999999999999</v>
      </c>
      <c r="AA118" s="237">
        <f t="shared" si="124"/>
        <v>0</v>
      </c>
      <c r="AB118" s="452">
        <f t="shared" si="185"/>
        <v>14.498999999999999</v>
      </c>
      <c r="AC118" s="201">
        <f t="shared" si="126"/>
        <v>0</v>
      </c>
      <c r="AD118" s="203">
        <f t="shared" si="186"/>
        <v>0</v>
      </c>
      <c r="AE118" s="37" t="str">
        <f t="shared" si="128"/>
        <v/>
      </c>
      <c r="AF118" s="202">
        <f t="shared" si="187"/>
        <v>0</v>
      </c>
      <c r="AG118" s="201">
        <f t="shared" si="188"/>
        <v>0</v>
      </c>
      <c r="AH118" s="61">
        <f t="shared" si="131"/>
        <v>14.498999999999999</v>
      </c>
      <c r="AI118" s="443">
        <f t="shared" si="233"/>
        <v>0</v>
      </c>
      <c r="AJ118" s="444">
        <f t="shared" si="189"/>
        <v>0</v>
      </c>
      <c r="AK118" s="445">
        <f t="shared" si="190"/>
        <v>0</v>
      </c>
      <c r="AL118" s="446">
        <f t="shared" si="191"/>
        <v>0</v>
      </c>
      <c r="AM118" s="447">
        <f t="shared" si="192"/>
        <v>0</v>
      </c>
      <c r="AN118" s="24">
        <f t="shared" si="193"/>
        <v>14.498999999999999</v>
      </c>
      <c r="AO118" s="443">
        <f t="shared" si="137"/>
        <v>0</v>
      </c>
      <c r="AP118" s="444">
        <f t="shared" si="194"/>
        <v>0</v>
      </c>
      <c r="AQ118" s="445">
        <f t="shared" si="195"/>
        <v>0</v>
      </c>
      <c r="AR118" s="446">
        <f t="shared" si="196"/>
        <v>0</v>
      </c>
      <c r="AS118" s="447">
        <f t="shared" si="197"/>
        <v>0</v>
      </c>
      <c r="AT118" s="24">
        <f t="shared" si="198"/>
        <v>14.498999999999999</v>
      </c>
      <c r="AU118" s="443">
        <f t="shared" si="143"/>
        <v>0</v>
      </c>
      <c r="AV118" s="444">
        <f t="shared" si="199"/>
        <v>0</v>
      </c>
      <c r="AW118" s="445">
        <f t="shared" si="200"/>
        <v>0</v>
      </c>
      <c r="AX118" s="446">
        <f t="shared" si="201"/>
        <v>0</v>
      </c>
      <c r="AY118" s="447">
        <f t="shared" si="202"/>
        <v>0</v>
      </c>
      <c r="AZ118" s="24">
        <f t="shared" si="203"/>
        <v>14.498999999999999</v>
      </c>
      <c r="BA118" s="43">
        <f>IF(BB118=0,0,
IF(D118=1,
(IF(AND(AH118&gt;'Данные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"ошибка_1"))))))),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"ошибка_2"))))))))</f>
        <v>0</v>
      </c>
      <c r="BB118" s="43">
        <f>IF(OR($AI$9=0,AND(D118&gt;1,F118&gt;10)),0,
IF(D118=1,
(IF(AND(AH118&gt;'Данные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"ошибка_1"))))))),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IF(AND(AH118&gt;'Данные ТНПА'!#REF!,AH118&lt;='Данные ТНПА'!#REF!),'Данные ТНПА'!#REF!,
"ошибка_2"))))))))</f>
        <v>0</v>
      </c>
      <c r="BC118" s="43">
        <f t="shared" si="204"/>
        <v>14.498999999999999</v>
      </c>
      <c r="BD118" s="237">
        <f t="shared" si="205"/>
        <v>0</v>
      </c>
      <c r="BE118" s="43">
        <f t="shared" si="206"/>
        <v>0</v>
      </c>
      <c r="BF118" s="201">
        <f t="shared" si="207"/>
        <v>0</v>
      </c>
      <c r="BG118" s="201">
        <f t="shared" si="208"/>
        <v>0</v>
      </c>
      <c r="BH118" s="61">
        <f t="shared" si="209"/>
        <v>14.498999999999999</v>
      </c>
      <c r="BI118" s="237">
        <f t="shared" si="210"/>
        <v>0</v>
      </c>
      <c r="BJ118" s="247">
        <f t="shared" si="211"/>
        <v>0</v>
      </c>
      <c r="BK118" s="431">
        <f t="shared" si="212"/>
        <v>0</v>
      </c>
      <c r="BL118" s="250">
        <f t="shared" si="213"/>
        <v>0</v>
      </c>
      <c r="BM118" s="237">
        <f t="shared" si="214"/>
        <v>0</v>
      </c>
      <c r="BN118" s="452">
        <f t="shared" si="215"/>
        <v>14.498999999999999</v>
      </c>
      <c r="BO118" s="237">
        <f t="shared" si="216"/>
        <v>0</v>
      </c>
      <c r="BP118" s="432">
        <f t="shared" si="217"/>
        <v>0</v>
      </c>
      <c r="BQ118" s="22" t="str">
        <f t="shared" si="218"/>
        <v/>
      </c>
      <c r="BR118" s="250">
        <f t="shared" si="219"/>
        <v>0</v>
      </c>
      <c r="BS118" s="237">
        <f t="shared" si="220"/>
        <v>0</v>
      </c>
      <c r="BT118" s="452">
        <f t="shared" si="221"/>
        <v>14.498999999999999</v>
      </c>
      <c r="BU118" s="492">
        <f t="shared" si="222"/>
        <v>1.1749999999999998</v>
      </c>
      <c r="BV118" s="493">
        <f>IF(BT118="","",
IF(AND(BT118&gt;'Данные ТНПА'!$K$8,BT118&lt;='Данные ТНПА'!$L$8),'Данные ТНПА'!$N$8,
IF(AND(BT118&gt;'Данные ТНПА'!$K$9,BT118&lt;='Данные ТНПА'!$L$9),'Данные ТНПА'!$N$9,
IF(AND(BT118&gt;'Данные ТНПА'!$K$10,BT118&lt;='Данные ТНПА'!$L$10),'Данные ТНПА'!$N$10,
IF(AND(BT118&gt;'Данные ТНПА'!$K$11,BT118&lt;='Данные ТНПА'!$L$11),'Данные ТНПА'!$N$11,
IF(AND(BT118&gt;'Данные ТНПА'!$K$12,BT118&lt;='Данные ТНПА'!$L$12),'Данные ТНПА'!$N$12,
IF(AND(BT118&gt;'Данные ТНПА'!$K$13,BT118&lt;='Данные ТНПА'!$L$13),'Данные ТНПА'!$N$13,
IF(AND(BT118&gt;'Данные ТНПА'!$K$14,BT118&lt;='Данные ТНПА'!$L$14),'Данные ТНПА'!$N$14))))))))</f>
        <v>1.5</v>
      </c>
      <c r="BW118" s="493">
        <f t="shared" si="223"/>
        <v>17.498999999999999</v>
      </c>
      <c r="BX118" s="457">
        <f t="shared" si="169"/>
        <v>679.72499999999991</v>
      </c>
      <c r="BY118" s="457">
        <f t="shared" si="170"/>
        <v>0</v>
      </c>
      <c r="BZ118" s="457">
        <f t="shared" si="171"/>
        <v>123.3629063827664</v>
      </c>
      <c r="CA118" s="457" t="e">
        <f t="shared" si="224"/>
        <v>#REF!</v>
      </c>
      <c r="CB118" s="458">
        <f t="shared" si="225"/>
        <v>0</v>
      </c>
      <c r="CC118" s="457">
        <f t="shared" si="226"/>
        <v>0</v>
      </c>
      <c r="CD118" s="457">
        <f t="shared" si="227"/>
        <v>0</v>
      </c>
      <c r="CE118" s="457">
        <f t="shared" si="228"/>
        <v>0</v>
      </c>
      <c r="CF118" s="457">
        <f t="shared" si="229"/>
        <v>0</v>
      </c>
      <c r="CG118" s="458">
        <f t="shared" si="178"/>
        <v>0</v>
      </c>
      <c r="CH118" s="457">
        <f t="shared" si="230"/>
        <v>0</v>
      </c>
      <c r="CI118" s="457">
        <f t="shared" si="231"/>
        <v>0</v>
      </c>
      <c r="CJ118" s="458">
        <f t="shared" si="232"/>
        <v>0</v>
      </c>
      <c r="CK118" s="458">
        <f t="shared" si="182"/>
        <v>109.77295244868628</v>
      </c>
      <c r="CL118" s="457">
        <f t="shared" si="183"/>
        <v>912.86085883145256</v>
      </c>
      <c r="CM118" s="504"/>
      <c r="CN118" s="504"/>
    </row>
    <row r="119" spans="1:92" s="207" customFormat="1" ht="14.25" hidden="1" customHeight="1" x14ac:dyDescent="0.25">
      <c r="A119" s="389" t="str">
        <f>IF(D119="",CONCATENATE("Кабель ",IF(C119="а","А",""),$A$9),CONCATENATE("Кабель ",IF(C119="а","А",""),$A$9," ",D119,"*",F119,IF(G119="ок"," (ож)","")," - ",B119," ",IF(G119="мс"," фас. ",""),$A$2))</f>
        <v>Кабель АВВГ 5*2,5 (ож) - 0,66 ГОСТ 16442-80</v>
      </c>
      <c r="B119" s="450">
        <v>0.66</v>
      </c>
      <c r="C119" s="451" t="s">
        <v>164</v>
      </c>
      <c r="D119" s="412">
        <v>5</v>
      </c>
      <c r="E119" s="413" t="s">
        <v>40</v>
      </c>
      <c r="F119" s="423">
        <v>2.5</v>
      </c>
      <c r="G119" s="414" t="str">
        <f>IF(I119=1,"ок","мк")</f>
        <v>ок</v>
      </c>
      <c r="H119" s="461">
        <v>1.79</v>
      </c>
      <c r="I119" s="497">
        <v>1</v>
      </c>
      <c r="J119" s="498" t="s">
        <v>40</v>
      </c>
      <c r="K119" s="496">
        <f>ROUNDUP(SQRT(F119/PI()*4),2)</f>
        <v>1.79</v>
      </c>
      <c r="L119" s="501">
        <v>3.57</v>
      </c>
      <c r="M119" s="475"/>
      <c r="N119" s="475"/>
      <c r="O119" s="475"/>
      <c r="P119" s="475"/>
      <c r="Q119" s="483">
        <f t="shared" si="184"/>
        <v>0.44000000000000006</v>
      </c>
      <c r="R119" s="484">
        <f>IF(B119=0.66,VLOOKUP(F119,'Данные ТНПА'!$B$8:$C$16,2,0),
IF(B119=1,VLOOKUP(F119,'Данные ТНПА'!$B$17:$C$37,2,0),"ошибка"))</f>
        <v>0.6</v>
      </c>
      <c r="S119" s="485">
        <f t="shared" si="120"/>
        <v>2.67</v>
      </c>
      <c r="T119" s="486"/>
      <c r="U119" s="487"/>
      <c r="V119" s="485">
        <f t="shared" si="121"/>
        <v>2.99</v>
      </c>
      <c r="W119" s="486"/>
      <c r="X119" s="487"/>
      <c r="Y119" s="489">
        <f t="shared" si="122"/>
        <v>2.1</v>
      </c>
      <c r="Z119" s="491">
        <f t="shared" si="123"/>
        <v>8.0730000000000004</v>
      </c>
      <c r="AA119" s="237">
        <f t="shared" si="124"/>
        <v>0</v>
      </c>
      <c r="AB119" s="452">
        <f t="shared" si="185"/>
        <v>8.0730000000000004</v>
      </c>
      <c r="AC119" s="201">
        <f t="shared" si="126"/>
        <v>0</v>
      </c>
      <c r="AD119" s="203">
        <f t="shared" si="186"/>
        <v>0</v>
      </c>
      <c r="AE119" s="37" t="str">
        <f t="shared" si="128"/>
        <v/>
      </c>
      <c r="AF119" s="202">
        <f t="shared" si="187"/>
        <v>0</v>
      </c>
      <c r="AG119" s="201">
        <f t="shared" si="188"/>
        <v>0</v>
      </c>
      <c r="AH119" s="61">
        <f t="shared" si="131"/>
        <v>8.0730000000000004</v>
      </c>
      <c r="AI119" s="443">
        <f t="shared" si="233"/>
        <v>0</v>
      </c>
      <c r="AJ119" s="444">
        <f t="shared" si="189"/>
        <v>0</v>
      </c>
      <c r="AK119" s="445">
        <f t="shared" si="190"/>
        <v>0</v>
      </c>
      <c r="AL119" s="446">
        <f t="shared" si="191"/>
        <v>0</v>
      </c>
      <c r="AM119" s="447">
        <f t="shared" si="192"/>
        <v>0</v>
      </c>
      <c r="AN119" s="24">
        <f t="shared" si="193"/>
        <v>8.0730000000000004</v>
      </c>
      <c r="AO119" s="443">
        <f t="shared" si="137"/>
        <v>0</v>
      </c>
      <c r="AP119" s="444">
        <f t="shared" si="194"/>
        <v>0</v>
      </c>
      <c r="AQ119" s="445">
        <f t="shared" si="195"/>
        <v>0</v>
      </c>
      <c r="AR119" s="446">
        <f t="shared" si="196"/>
        <v>0</v>
      </c>
      <c r="AS119" s="447">
        <f t="shared" si="197"/>
        <v>0</v>
      </c>
      <c r="AT119" s="24">
        <f t="shared" si="198"/>
        <v>8.0730000000000004</v>
      </c>
      <c r="AU119" s="443">
        <f t="shared" si="143"/>
        <v>0</v>
      </c>
      <c r="AV119" s="444">
        <f t="shared" si="199"/>
        <v>0</v>
      </c>
      <c r="AW119" s="445">
        <f t="shared" si="200"/>
        <v>0</v>
      </c>
      <c r="AX119" s="446">
        <f t="shared" si="201"/>
        <v>0</v>
      </c>
      <c r="AY119" s="447">
        <f t="shared" si="202"/>
        <v>0</v>
      </c>
      <c r="AZ119" s="24">
        <f t="shared" si="203"/>
        <v>8.0730000000000004</v>
      </c>
      <c r="BA119" s="43">
        <f>IF(BB119=0,0,
IF(D119=1,
(IF(AND(AH119&gt;'Данные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"ошибка_1"))))))),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"ошибка_2"))))))))</f>
        <v>0</v>
      </c>
      <c r="BB119" s="43">
        <f>IF(OR($AI$9=0,AND(D119&gt;1,F119&gt;10)),0,
IF(D119=1,
(IF(AND(AH119&gt;'Данные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"ошибка_1"))))))),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IF(AND(AH119&gt;'Данные ТНПА'!#REF!,AH119&lt;='Данные ТНПА'!#REF!),'Данные ТНПА'!#REF!,
"ошибка_2"))))))))</f>
        <v>0</v>
      </c>
      <c r="BC119" s="43">
        <f t="shared" si="204"/>
        <v>8.0730000000000004</v>
      </c>
      <c r="BD119" s="237">
        <f t="shared" si="205"/>
        <v>0</v>
      </c>
      <c r="BE119" s="43">
        <f t="shared" si="206"/>
        <v>0</v>
      </c>
      <c r="BF119" s="201">
        <f t="shared" si="207"/>
        <v>0</v>
      </c>
      <c r="BG119" s="201">
        <f t="shared" si="208"/>
        <v>0</v>
      </c>
      <c r="BH119" s="61">
        <f t="shared" si="209"/>
        <v>8.0730000000000004</v>
      </c>
      <c r="BI119" s="237">
        <f t="shared" si="210"/>
        <v>0</v>
      </c>
      <c r="BJ119" s="247">
        <f t="shared" si="211"/>
        <v>0</v>
      </c>
      <c r="BK119" s="431">
        <f t="shared" si="212"/>
        <v>0</v>
      </c>
      <c r="BL119" s="250">
        <f t="shared" si="213"/>
        <v>0</v>
      </c>
      <c r="BM119" s="237">
        <f t="shared" si="214"/>
        <v>0</v>
      </c>
      <c r="BN119" s="452">
        <f t="shared" si="215"/>
        <v>8.0730000000000004</v>
      </c>
      <c r="BO119" s="237">
        <f t="shared" si="216"/>
        <v>0</v>
      </c>
      <c r="BP119" s="432">
        <f t="shared" si="217"/>
        <v>0</v>
      </c>
      <c r="BQ119" s="22" t="str">
        <f t="shared" si="218"/>
        <v/>
      </c>
      <c r="BR119" s="250">
        <f t="shared" si="219"/>
        <v>0</v>
      </c>
      <c r="BS119" s="237">
        <f t="shared" si="220"/>
        <v>0</v>
      </c>
      <c r="BT119" s="452">
        <f t="shared" si="221"/>
        <v>8.0730000000000004</v>
      </c>
      <c r="BU119" s="492">
        <f t="shared" si="222"/>
        <v>1.1749999999999998</v>
      </c>
      <c r="BV119" s="493">
        <f>IF(BT119="","",
IF(AND(BT119&gt;'Данные ТНПА'!$K$8,BT119&lt;='Данные ТНПА'!$L$8),'Данные ТНПА'!$N$8,
IF(AND(BT119&gt;'Данные ТНПА'!$K$9,BT119&lt;='Данные ТНПА'!$L$9),'Данные ТНПА'!$N$9,
IF(AND(BT119&gt;'Данные ТНПА'!$K$10,BT119&lt;='Данные ТНПА'!$L$10),'Данные ТНПА'!$N$10,
IF(AND(BT119&gt;'Данные ТНПА'!$K$11,BT119&lt;='Данные ТНПА'!$L$11),'Данные ТНПА'!$N$11,
IF(AND(BT119&gt;'Данные ТНПА'!$K$12,BT119&lt;='Данные ТНПА'!$L$12),'Данные ТНПА'!$N$12,
IF(AND(BT119&gt;'Данные ТНПА'!$K$13,BT119&lt;='Данные ТНПА'!$L$13),'Данные ТНПА'!$N$13,
IF(AND(BT119&gt;'Данные ТНПА'!$K$14,BT119&lt;='Данные ТНПА'!$L$14),'Данные ТНПА'!$N$14))))))))</f>
        <v>1.5</v>
      </c>
      <c r="BW119" s="493">
        <f t="shared" si="223"/>
        <v>11.073</v>
      </c>
      <c r="BX119" s="457">
        <f t="shared" si="169"/>
        <v>33.986249999999998</v>
      </c>
      <c r="BY119" s="457">
        <f t="shared" si="170"/>
        <v>0</v>
      </c>
      <c r="BZ119" s="457">
        <f t="shared" si="171"/>
        <v>30.39508045444013</v>
      </c>
      <c r="CA119" s="457" t="e">
        <f t="shared" si="224"/>
        <v>#REF!</v>
      </c>
      <c r="CB119" s="458">
        <f t="shared" si="225"/>
        <v>0</v>
      </c>
      <c r="CC119" s="457">
        <f t="shared" si="226"/>
        <v>0</v>
      </c>
      <c r="CD119" s="457">
        <f t="shared" si="227"/>
        <v>0</v>
      </c>
      <c r="CE119" s="457">
        <f t="shared" si="228"/>
        <v>0</v>
      </c>
      <c r="CF119" s="457">
        <f t="shared" si="229"/>
        <v>0</v>
      </c>
      <c r="CG119" s="458">
        <f t="shared" si="178"/>
        <v>0</v>
      </c>
      <c r="CH119" s="457">
        <f t="shared" si="230"/>
        <v>0</v>
      </c>
      <c r="CI119" s="457">
        <f t="shared" si="231"/>
        <v>0</v>
      </c>
      <c r="CJ119" s="458">
        <f t="shared" si="232"/>
        <v>0</v>
      </c>
      <c r="CK119" s="458">
        <f t="shared" si="182"/>
        <v>65.682634776628149</v>
      </c>
      <c r="CL119" s="457">
        <f t="shared" si="183"/>
        <v>130.06396523106827</v>
      </c>
      <c r="CM119" s="504"/>
      <c r="CN119" s="504"/>
    </row>
    <row r="120" spans="1:92" s="207" customFormat="1" ht="14.25" hidden="1" customHeight="1" x14ac:dyDescent="0.25">
      <c r="A120" s="389" t="str">
        <f>IF(D120="",CONCATENATE("Кабель ",IF(C120="а","А",""),$A$9),CONCATENATE("Кабель ",IF(C120="а","А",""),$A$9," ",D120,"*",F120,IF(G120="ок"," (ож)","")," - ",B120," ",IF(G120="мс"," фас. ",""),$A$2))</f>
        <v>Кабель АВВГ 5*4 (ож) - 0,66 ГОСТ 16442-80</v>
      </c>
      <c r="B120" s="450">
        <v>0.66</v>
      </c>
      <c r="C120" s="451" t="s">
        <v>164</v>
      </c>
      <c r="D120" s="412">
        <v>5</v>
      </c>
      <c r="E120" s="413" t="s">
        <v>40</v>
      </c>
      <c r="F120" s="423">
        <v>4</v>
      </c>
      <c r="G120" s="414" t="str">
        <f>IF(I120=1,"ок","мк")</f>
        <v>ок</v>
      </c>
      <c r="H120" s="461">
        <v>2.2599999999999998</v>
      </c>
      <c r="I120" s="497">
        <v>1</v>
      </c>
      <c r="J120" s="498" t="s">
        <v>40</v>
      </c>
      <c r="K120" s="496">
        <f>ROUNDUP(SQRT(F120/PI()*4),2)</f>
        <v>2.2599999999999998</v>
      </c>
      <c r="L120" s="501">
        <v>4.5199999999999996</v>
      </c>
      <c r="M120" s="475"/>
      <c r="N120" s="475"/>
      <c r="O120" s="475"/>
      <c r="P120" s="475"/>
      <c r="Q120" s="483">
        <f t="shared" si="184"/>
        <v>0.53</v>
      </c>
      <c r="R120" s="484">
        <f>IF(B120=0.66,VLOOKUP(F120,'Данные ТНПА'!$B$8:$C$16,2,0),
IF(B120=1,VLOOKUP(F120,'Данные ТНПА'!$B$17:$C$37,2,0),"ошибка"))</f>
        <v>0.7</v>
      </c>
      <c r="S120" s="485">
        <f t="shared" si="120"/>
        <v>3.32</v>
      </c>
      <c r="T120" s="486"/>
      <c r="U120" s="487"/>
      <c r="V120" s="485">
        <f t="shared" si="121"/>
        <v>3.6599999999999997</v>
      </c>
      <c r="W120" s="486"/>
      <c r="X120" s="487"/>
      <c r="Y120" s="489">
        <f t="shared" si="122"/>
        <v>2.6</v>
      </c>
      <c r="Z120" s="491">
        <f t="shared" si="123"/>
        <v>9.8819999999999997</v>
      </c>
      <c r="AA120" s="237">
        <f t="shared" si="124"/>
        <v>0</v>
      </c>
      <c r="AB120" s="452">
        <f t="shared" si="185"/>
        <v>9.8819999999999997</v>
      </c>
      <c r="AC120" s="201">
        <f t="shared" si="126"/>
        <v>0</v>
      </c>
      <c r="AD120" s="203">
        <f t="shared" si="186"/>
        <v>0</v>
      </c>
      <c r="AE120" s="37" t="str">
        <f t="shared" si="128"/>
        <v/>
      </c>
      <c r="AF120" s="202">
        <f t="shared" si="187"/>
        <v>0</v>
      </c>
      <c r="AG120" s="201">
        <f t="shared" si="188"/>
        <v>0</v>
      </c>
      <c r="AH120" s="61">
        <f t="shared" si="131"/>
        <v>9.8819999999999997</v>
      </c>
      <c r="AI120" s="443">
        <f t="shared" si="233"/>
        <v>0</v>
      </c>
      <c r="AJ120" s="444">
        <f t="shared" si="189"/>
        <v>0</v>
      </c>
      <c r="AK120" s="445">
        <f t="shared" si="190"/>
        <v>0</v>
      </c>
      <c r="AL120" s="446">
        <f t="shared" si="191"/>
        <v>0</v>
      </c>
      <c r="AM120" s="447">
        <f t="shared" si="192"/>
        <v>0</v>
      </c>
      <c r="AN120" s="24">
        <f t="shared" si="193"/>
        <v>9.8819999999999997</v>
      </c>
      <c r="AO120" s="443">
        <f t="shared" si="137"/>
        <v>0</v>
      </c>
      <c r="AP120" s="444">
        <f t="shared" si="194"/>
        <v>0</v>
      </c>
      <c r="AQ120" s="445">
        <f t="shared" si="195"/>
        <v>0</v>
      </c>
      <c r="AR120" s="446">
        <f t="shared" si="196"/>
        <v>0</v>
      </c>
      <c r="AS120" s="447">
        <f t="shared" si="197"/>
        <v>0</v>
      </c>
      <c r="AT120" s="24">
        <f t="shared" si="198"/>
        <v>9.8819999999999997</v>
      </c>
      <c r="AU120" s="443">
        <f t="shared" si="143"/>
        <v>0</v>
      </c>
      <c r="AV120" s="444">
        <f t="shared" si="199"/>
        <v>0</v>
      </c>
      <c r="AW120" s="445">
        <f t="shared" si="200"/>
        <v>0</v>
      </c>
      <c r="AX120" s="446">
        <f t="shared" si="201"/>
        <v>0</v>
      </c>
      <c r="AY120" s="447">
        <f t="shared" si="202"/>
        <v>0</v>
      </c>
      <c r="AZ120" s="24">
        <f t="shared" si="203"/>
        <v>9.8819999999999997</v>
      </c>
      <c r="BA120" s="43">
        <f>IF(BB120=0,0,
IF(D120=1,
(IF(AND(AH120&gt;'Данные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"ошибка_1"))))))),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"ошибка_2"))))))))</f>
        <v>0</v>
      </c>
      <c r="BB120" s="43">
        <f>IF(OR($AI$9=0,AND(D120&gt;1,F120&gt;10)),0,
IF(D120=1,
(IF(AND(AH120&gt;'Данные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"ошибка_1"))))))),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IF(AND(AH120&gt;'Данные ТНПА'!#REF!,AH120&lt;='Данные ТНПА'!#REF!),'Данные ТНПА'!#REF!,
"ошибка_2"))))))))</f>
        <v>0</v>
      </c>
      <c r="BC120" s="43">
        <f t="shared" si="204"/>
        <v>9.8819999999999997</v>
      </c>
      <c r="BD120" s="237">
        <f t="shared" si="205"/>
        <v>0</v>
      </c>
      <c r="BE120" s="43">
        <f t="shared" si="206"/>
        <v>0</v>
      </c>
      <c r="BF120" s="201">
        <f t="shared" si="207"/>
        <v>0</v>
      </c>
      <c r="BG120" s="201">
        <f t="shared" si="208"/>
        <v>0</v>
      </c>
      <c r="BH120" s="61">
        <f t="shared" si="209"/>
        <v>9.8819999999999997</v>
      </c>
      <c r="BI120" s="237">
        <f t="shared" si="210"/>
        <v>0</v>
      </c>
      <c r="BJ120" s="247">
        <f t="shared" si="211"/>
        <v>0</v>
      </c>
      <c r="BK120" s="431">
        <f t="shared" si="212"/>
        <v>0</v>
      </c>
      <c r="BL120" s="250">
        <f t="shared" si="213"/>
        <v>0</v>
      </c>
      <c r="BM120" s="237">
        <f t="shared" si="214"/>
        <v>0</v>
      </c>
      <c r="BN120" s="452">
        <f t="shared" si="215"/>
        <v>9.8819999999999997</v>
      </c>
      <c r="BO120" s="237">
        <f t="shared" si="216"/>
        <v>0</v>
      </c>
      <c r="BP120" s="432">
        <f t="shared" si="217"/>
        <v>0</v>
      </c>
      <c r="BQ120" s="22" t="str">
        <f t="shared" si="218"/>
        <v/>
      </c>
      <c r="BR120" s="250">
        <f t="shared" si="219"/>
        <v>0</v>
      </c>
      <c r="BS120" s="237">
        <f t="shared" si="220"/>
        <v>0</v>
      </c>
      <c r="BT120" s="452">
        <f t="shared" si="221"/>
        <v>9.8819999999999997</v>
      </c>
      <c r="BU120" s="492">
        <f t="shared" si="222"/>
        <v>1.1749999999999998</v>
      </c>
      <c r="BV120" s="493">
        <f>IF(BT120="","",
IF(AND(BT120&gt;'Данные ТНПА'!$K$8,BT120&lt;='Данные ТНПА'!$L$8),'Данные ТНПА'!$N$8,
IF(AND(BT120&gt;'Данные ТНПА'!$K$9,BT120&lt;='Данные ТНПА'!$L$9),'Данные ТНПА'!$N$9,
IF(AND(BT120&gt;'Данные ТНПА'!$K$10,BT120&lt;='Данные ТНПА'!$L$10),'Данные ТНПА'!$N$10,
IF(AND(BT120&gt;'Данные ТНПА'!$K$11,BT120&lt;='Данные ТНПА'!$L$11),'Данные ТНПА'!$N$11,
IF(AND(BT120&gt;'Данные ТНПА'!$K$12,BT120&lt;='Данные ТНПА'!$L$12),'Данные ТНПА'!$N$12,
IF(AND(BT120&gt;'Данные ТНПА'!$K$13,BT120&lt;='Данные ТНПА'!$L$13),'Данные ТНПА'!$N$13,
IF(AND(BT120&gt;'Данные ТНПА'!$K$14,BT120&lt;='Данные ТНПА'!$L$14),'Данные ТНПА'!$N$14))))))))</f>
        <v>1.5</v>
      </c>
      <c r="BW120" s="493">
        <f t="shared" si="223"/>
        <v>12.882</v>
      </c>
      <c r="BX120" s="457">
        <f t="shared" si="169"/>
        <v>54.377999999999993</v>
      </c>
      <c r="BY120" s="457">
        <f t="shared" si="170"/>
        <v>0</v>
      </c>
      <c r="BZ120" s="457">
        <f t="shared" si="171"/>
        <v>43.918135775174306</v>
      </c>
      <c r="CA120" s="457" t="e">
        <f t="shared" si="224"/>
        <v>#REF!</v>
      </c>
      <c r="CB120" s="458">
        <f t="shared" si="225"/>
        <v>0</v>
      </c>
      <c r="CC120" s="457">
        <f t="shared" si="226"/>
        <v>0</v>
      </c>
      <c r="CD120" s="457">
        <f t="shared" si="227"/>
        <v>0</v>
      </c>
      <c r="CE120" s="457">
        <f t="shared" si="228"/>
        <v>0</v>
      </c>
      <c r="CF120" s="457">
        <f t="shared" si="229"/>
        <v>0</v>
      </c>
      <c r="CG120" s="458">
        <f t="shared" si="178"/>
        <v>0</v>
      </c>
      <c r="CH120" s="457">
        <f t="shared" si="230"/>
        <v>0</v>
      </c>
      <c r="CI120" s="457">
        <f t="shared" si="231"/>
        <v>0</v>
      </c>
      <c r="CJ120" s="458">
        <f t="shared" si="232"/>
        <v>0</v>
      </c>
      <c r="CK120" s="458">
        <f t="shared" si="182"/>
        <v>78.0946149616193</v>
      </c>
      <c r="CL120" s="457">
        <f t="shared" si="183"/>
        <v>176.39075073679359</v>
      </c>
      <c r="CM120" s="504"/>
      <c r="CN120" s="504"/>
    </row>
    <row r="121" spans="1:92" s="207" customFormat="1" ht="14.25" hidden="1" customHeight="1" x14ac:dyDescent="0.25">
      <c r="A121" s="389" t="str">
        <f>IF(D121="",CONCATENATE("Кабель ",IF(C121="а","А",""),$A$9),CONCATENATE("Кабель ",IF(C121="а","А",""),$A$9," ",D121,"*",F121,IF(G121="ок"," (ож)","")," - ",B121," ",IF(G121="мс"," фас. ",""),$A$2))</f>
        <v>Кабель АВВГ 5*6 (ож) - 0,66 ГОСТ 16442-80</v>
      </c>
      <c r="B121" s="450">
        <v>0.66</v>
      </c>
      <c r="C121" s="451" t="s">
        <v>164</v>
      </c>
      <c r="D121" s="412">
        <v>5</v>
      </c>
      <c r="E121" s="413" t="s">
        <v>40</v>
      </c>
      <c r="F121" s="423">
        <v>6</v>
      </c>
      <c r="G121" s="414" t="str">
        <f>IF(I121=1,"ок","мк")</f>
        <v>ок</v>
      </c>
      <c r="H121" s="461">
        <v>2.7699999999999996</v>
      </c>
      <c r="I121" s="497">
        <v>1</v>
      </c>
      <c r="J121" s="498" t="s">
        <v>40</v>
      </c>
      <c r="K121" s="496">
        <f>ROUNDUP(SQRT(F121/PI()*4),2)</f>
        <v>2.7699999999999996</v>
      </c>
      <c r="L121" s="501">
        <v>5.6499999999999995</v>
      </c>
      <c r="M121" s="475"/>
      <c r="N121" s="475"/>
      <c r="O121" s="475"/>
      <c r="P121" s="475"/>
      <c r="Q121" s="483">
        <f t="shared" si="184"/>
        <v>0.53</v>
      </c>
      <c r="R121" s="484">
        <f>IF(B121=0.66,VLOOKUP(F121,'Данные ТНПА'!$B$8:$C$16,2,0),
IF(B121=1,VLOOKUP(F121,'Данные ТНПА'!$B$17:$C$37,2,0),"ошибка"))</f>
        <v>0.7</v>
      </c>
      <c r="S121" s="485">
        <f t="shared" si="120"/>
        <v>3.8299999999999996</v>
      </c>
      <c r="T121" s="486"/>
      <c r="U121" s="487"/>
      <c r="V121" s="485">
        <f t="shared" si="121"/>
        <v>4.17</v>
      </c>
      <c r="W121" s="486"/>
      <c r="X121" s="487"/>
      <c r="Y121" s="489">
        <f t="shared" si="122"/>
        <v>2.9</v>
      </c>
      <c r="Z121" s="491">
        <f t="shared" si="123"/>
        <v>11.259</v>
      </c>
      <c r="AA121" s="237">
        <f t="shared" si="124"/>
        <v>0</v>
      </c>
      <c r="AB121" s="452">
        <f t="shared" si="185"/>
        <v>11.259</v>
      </c>
      <c r="AC121" s="201">
        <f t="shared" si="126"/>
        <v>0</v>
      </c>
      <c r="AD121" s="203">
        <f t="shared" si="186"/>
        <v>0</v>
      </c>
      <c r="AE121" s="37" t="str">
        <f t="shared" si="128"/>
        <v/>
      </c>
      <c r="AF121" s="202">
        <f t="shared" si="187"/>
        <v>0</v>
      </c>
      <c r="AG121" s="201">
        <f t="shared" si="188"/>
        <v>0</v>
      </c>
      <c r="AH121" s="61">
        <f t="shared" si="131"/>
        <v>11.259</v>
      </c>
      <c r="AI121" s="443">
        <f t="shared" si="233"/>
        <v>0</v>
      </c>
      <c r="AJ121" s="444">
        <f t="shared" si="189"/>
        <v>0</v>
      </c>
      <c r="AK121" s="445">
        <f t="shared" si="190"/>
        <v>0</v>
      </c>
      <c r="AL121" s="446">
        <f t="shared" si="191"/>
        <v>0</v>
      </c>
      <c r="AM121" s="447">
        <f t="shared" si="192"/>
        <v>0</v>
      </c>
      <c r="AN121" s="24">
        <f t="shared" si="193"/>
        <v>11.259</v>
      </c>
      <c r="AO121" s="443">
        <f t="shared" si="137"/>
        <v>0</v>
      </c>
      <c r="AP121" s="444">
        <f t="shared" si="194"/>
        <v>0</v>
      </c>
      <c r="AQ121" s="445">
        <f t="shared" si="195"/>
        <v>0</v>
      </c>
      <c r="AR121" s="446">
        <f t="shared" si="196"/>
        <v>0</v>
      </c>
      <c r="AS121" s="447">
        <f t="shared" si="197"/>
        <v>0</v>
      </c>
      <c r="AT121" s="24">
        <f t="shared" si="198"/>
        <v>11.259</v>
      </c>
      <c r="AU121" s="443">
        <f t="shared" si="143"/>
        <v>0</v>
      </c>
      <c r="AV121" s="444">
        <f t="shared" si="199"/>
        <v>0</v>
      </c>
      <c r="AW121" s="445">
        <f t="shared" si="200"/>
        <v>0</v>
      </c>
      <c r="AX121" s="446">
        <f t="shared" si="201"/>
        <v>0</v>
      </c>
      <c r="AY121" s="447">
        <f t="shared" si="202"/>
        <v>0</v>
      </c>
      <c r="AZ121" s="24">
        <f t="shared" si="203"/>
        <v>11.259</v>
      </c>
      <c r="BA121" s="43">
        <f>IF(BB121=0,0,
IF(D121=1,
(IF(AND(AH121&gt;'Данные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"ошибка_1"))))))),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"ошибка_2"))))))))</f>
        <v>0</v>
      </c>
      <c r="BB121" s="43">
        <f>IF(OR($AI$9=0,AND(D121&gt;1,F121&gt;10)),0,
IF(D121=1,
(IF(AND(AH121&gt;'Данные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"ошибка_1"))))))),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IF(AND(AH121&gt;'Данные ТНПА'!#REF!,AH121&lt;='Данные ТНПА'!#REF!),'Данные ТНПА'!#REF!,
"ошибка_2"))))))))</f>
        <v>0</v>
      </c>
      <c r="BC121" s="43">
        <f t="shared" si="204"/>
        <v>11.259</v>
      </c>
      <c r="BD121" s="237">
        <f t="shared" si="205"/>
        <v>0</v>
      </c>
      <c r="BE121" s="43">
        <f t="shared" si="206"/>
        <v>0</v>
      </c>
      <c r="BF121" s="201">
        <f t="shared" si="207"/>
        <v>0</v>
      </c>
      <c r="BG121" s="201">
        <f t="shared" si="208"/>
        <v>0</v>
      </c>
      <c r="BH121" s="61">
        <f t="shared" si="209"/>
        <v>11.259</v>
      </c>
      <c r="BI121" s="237">
        <f t="shared" si="210"/>
        <v>0</v>
      </c>
      <c r="BJ121" s="247">
        <f t="shared" si="211"/>
        <v>0</v>
      </c>
      <c r="BK121" s="431">
        <f t="shared" si="212"/>
        <v>0</v>
      </c>
      <c r="BL121" s="250">
        <f t="shared" si="213"/>
        <v>0</v>
      </c>
      <c r="BM121" s="237">
        <f t="shared" si="214"/>
        <v>0</v>
      </c>
      <c r="BN121" s="452">
        <f t="shared" si="215"/>
        <v>11.259</v>
      </c>
      <c r="BO121" s="237">
        <f t="shared" si="216"/>
        <v>0</v>
      </c>
      <c r="BP121" s="432">
        <f t="shared" si="217"/>
        <v>0</v>
      </c>
      <c r="BQ121" s="22" t="str">
        <f t="shared" si="218"/>
        <v/>
      </c>
      <c r="BR121" s="250">
        <f t="shared" si="219"/>
        <v>0</v>
      </c>
      <c r="BS121" s="237">
        <f t="shared" si="220"/>
        <v>0</v>
      </c>
      <c r="BT121" s="452">
        <f t="shared" si="221"/>
        <v>11.259</v>
      </c>
      <c r="BU121" s="492">
        <f t="shared" si="222"/>
        <v>1.1749999999999998</v>
      </c>
      <c r="BV121" s="493">
        <f>IF(BT121="","",
IF(AND(BT121&gt;'Данные ТНПА'!$K$8,BT121&lt;='Данные ТНПА'!$L$8),'Данные ТНПА'!$N$8,
IF(AND(BT121&gt;'Данные ТНПА'!$K$9,BT121&lt;='Данные ТНПА'!$L$9),'Данные ТНПА'!$N$9,
IF(AND(BT121&gt;'Данные ТНПА'!$K$10,BT121&lt;='Данные ТНПА'!$L$10),'Данные ТНПА'!$N$10,
IF(AND(BT121&gt;'Данные ТНПА'!$K$11,BT121&lt;='Данные ТНПА'!$L$11),'Данные ТНПА'!$N$11,
IF(AND(BT121&gt;'Данные ТНПА'!$K$12,BT121&lt;='Данные ТНПА'!$L$12),'Данные ТНПА'!$N$12,
IF(AND(BT121&gt;'Данные ТНПА'!$K$13,BT121&lt;='Данные ТНПА'!$L$13),'Данные ТНПА'!$N$13,
IF(AND(BT121&gt;'Данные ТНПА'!$K$14,BT121&lt;='Данные ТНПА'!$L$14),'Данные ТНПА'!$N$14))))))))</f>
        <v>1.5</v>
      </c>
      <c r="BW121" s="493">
        <f t="shared" si="223"/>
        <v>14.259</v>
      </c>
      <c r="BX121" s="457">
        <f t="shared" si="169"/>
        <v>81.567000000000007</v>
      </c>
      <c r="BY121" s="457">
        <f t="shared" si="170"/>
        <v>0</v>
      </c>
      <c r="BZ121" s="457">
        <f t="shared" si="171"/>
        <v>51.48511187157257</v>
      </c>
      <c r="CA121" s="457" t="e">
        <f t="shared" si="224"/>
        <v>#REF!</v>
      </c>
      <c r="CB121" s="458">
        <f t="shared" si="225"/>
        <v>0</v>
      </c>
      <c r="CC121" s="457">
        <f t="shared" si="226"/>
        <v>0</v>
      </c>
      <c r="CD121" s="457">
        <f t="shared" si="227"/>
        <v>0</v>
      </c>
      <c r="CE121" s="457">
        <f t="shared" si="228"/>
        <v>0</v>
      </c>
      <c r="CF121" s="457">
        <f t="shared" si="229"/>
        <v>0</v>
      </c>
      <c r="CG121" s="458">
        <f t="shared" si="178"/>
        <v>0</v>
      </c>
      <c r="CH121" s="457">
        <f t="shared" si="230"/>
        <v>0</v>
      </c>
      <c r="CI121" s="457">
        <f t="shared" si="231"/>
        <v>0</v>
      </c>
      <c r="CJ121" s="458">
        <f t="shared" si="232"/>
        <v>0</v>
      </c>
      <c r="CK121" s="458">
        <f t="shared" si="182"/>
        <v>87.542540177060332</v>
      </c>
      <c r="CL121" s="457">
        <f t="shared" si="183"/>
        <v>220.5946520486329</v>
      </c>
      <c r="CM121" s="504"/>
      <c r="CN121" s="504"/>
    </row>
    <row r="122" spans="1:92" s="207" customFormat="1" ht="14.25" hidden="1" customHeight="1" x14ac:dyDescent="0.25">
      <c r="A122" s="389" t="str">
        <f>IF(D122="",CONCATENATE("Кабель ",IF(C122="а","А",""),$A$9),CONCATENATE("Кабель ",IF(C122="а","А",""),$A$9," ",D122,"*",F122,IF(G122="ок"," (ож)","")," - ",B122," ",IF(G122="мс"," фас. ",""),$A$2))</f>
        <v>Кабель АВВГ 5*10 (ож) - 0,66 ГОСТ 16442-80</v>
      </c>
      <c r="B122" s="450">
        <v>0.66</v>
      </c>
      <c r="C122" s="451" t="s">
        <v>164</v>
      </c>
      <c r="D122" s="412">
        <v>5</v>
      </c>
      <c r="E122" s="413" t="s">
        <v>40</v>
      </c>
      <c r="F122" s="423">
        <v>10</v>
      </c>
      <c r="G122" s="414" t="str">
        <f>IF(I122=1,"ок","мк")</f>
        <v>ок</v>
      </c>
      <c r="H122" s="461">
        <v>3.57</v>
      </c>
      <c r="I122" s="497">
        <v>1</v>
      </c>
      <c r="J122" s="498" t="s">
        <v>40</v>
      </c>
      <c r="K122" s="496">
        <f>ROUNDUP(SQRT(F122/PI()*4),2)</f>
        <v>3.57</v>
      </c>
      <c r="L122" s="501">
        <v>6.68</v>
      </c>
      <c r="M122" s="475"/>
      <c r="N122" s="475"/>
      <c r="O122" s="475"/>
      <c r="P122" s="475"/>
      <c r="Q122" s="483">
        <f t="shared" si="184"/>
        <v>0.71000000000000008</v>
      </c>
      <c r="R122" s="484">
        <f>IF(B122=0.66,VLOOKUP(F122,'Данные ТНПА'!$B$8:$C$16,2,0),
IF(B122=1,VLOOKUP(F122,'Данные ТНПА'!$B$17:$C$37,2,0),"ошибка"))</f>
        <v>0.9</v>
      </c>
      <c r="S122" s="485">
        <f t="shared" si="120"/>
        <v>4.99</v>
      </c>
      <c r="T122" s="486"/>
      <c r="U122" s="487"/>
      <c r="V122" s="485">
        <f t="shared" si="121"/>
        <v>5.37</v>
      </c>
      <c r="W122" s="486"/>
      <c r="X122" s="487"/>
      <c r="Y122" s="489">
        <f t="shared" si="122"/>
        <v>3.8</v>
      </c>
      <c r="Z122" s="491">
        <f t="shared" si="123"/>
        <v>14.499000000000001</v>
      </c>
      <c r="AA122" s="237">
        <f t="shared" si="124"/>
        <v>0</v>
      </c>
      <c r="AB122" s="452">
        <f t="shared" si="185"/>
        <v>14.499000000000001</v>
      </c>
      <c r="AC122" s="201">
        <f t="shared" si="126"/>
        <v>0</v>
      </c>
      <c r="AD122" s="203">
        <f t="shared" si="186"/>
        <v>0</v>
      </c>
      <c r="AE122" s="37" t="str">
        <f t="shared" si="128"/>
        <v/>
      </c>
      <c r="AF122" s="202">
        <f t="shared" si="187"/>
        <v>0</v>
      </c>
      <c r="AG122" s="201">
        <f t="shared" si="188"/>
        <v>0</v>
      </c>
      <c r="AH122" s="61">
        <f t="shared" si="131"/>
        <v>14.499000000000001</v>
      </c>
      <c r="AI122" s="443">
        <f t="shared" si="233"/>
        <v>0</v>
      </c>
      <c r="AJ122" s="444">
        <f t="shared" si="189"/>
        <v>0</v>
      </c>
      <c r="AK122" s="445">
        <f t="shared" si="190"/>
        <v>0</v>
      </c>
      <c r="AL122" s="446">
        <f t="shared" si="191"/>
        <v>0</v>
      </c>
      <c r="AM122" s="447">
        <f t="shared" si="192"/>
        <v>0</v>
      </c>
      <c r="AN122" s="24">
        <f t="shared" si="193"/>
        <v>14.499000000000001</v>
      </c>
      <c r="AO122" s="443">
        <f t="shared" si="137"/>
        <v>0</v>
      </c>
      <c r="AP122" s="444">
        <f t="shared" si="194"/>
        <v>0</v>
      </c>
      <c r="AQ122" s="445">
        <f t="shared" si="195"/>
        <v>0</v>
      </c>
      <c r="AR122" s="446">
        <f t="shared" si="196"/>
        <v>0</v>
      </c>
      <c r="AS122" s="447">
        <f t="shared" si="197"/>
        <v>0</v>
      </c>
      <c r="AT122" s="24">
        <f t="shared" si="198"/>
        <v>14.499000000000001</v>
      </c>
      <c r="AU122" s="443">
        <f t="shared" si="143"/>
        <v>0</v>
      </c>
      <c r="AV122" s="444">
        <f t="shared" si="199"/>
        <v>0</v>
      </c>
      <c r="AW122" s="445">
        <f t="shared" si="200"/>
        <v>0</v>
      </c>
      <c r="AX122" s="446">
        <f t="shared" si="201"/>
        <v>0</v>
      </c>
      <c r="AY122" s="447">
        <f t="shared" si="202"/>
        <v>0</v>
      </c>
      <c r="AZ122" s="24">
        <f t="shared" si="203"/>
        <v>14.499000000000001</v>
      </c>
      <c r="BA122" s="43">
        <f>IF(BB122=0,0,
IF(D122=1,
(IF(AND(AH122&gt;'Данные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"ошибка_1"))))))),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"ошибка_2"))))))))</f>
        <v>0</v>
      </c>
      <c r="BB122" s="43">
        <f>IF(OR($AI$9=0,AND(D122&gt;1,F122&gt;10)),0,
IF(D122=1,
(IF(AND(AH122&gt;'Данные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"ошибка_1"))))))),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IF(AND(AH122&gt;'Данные ТНПА'!#REF!,AH122&lt;='Данные ТНПА'!#REF!),'Данные ТНПА'!#REF!,
"ошибка_2"))))))))</f>
        <v>0</v>
      </c>
      <c r="BC122" s="43">
        <f t="shared" si="204"/>
        <v>14.499000000000001</v>
      </c>
      <c r="BD122" s="237">
        <f t="shared" si="205"/>
        <v>0</v>
      </c>
      <c r="BE122" s="43">
        <f t="shared" si="206"/>
        <v>0</v>
      </c>
      <c r="BF122" s="201">
        <f t="shared" si="207"/>
        <v>0</v>
      </c>
      <c r="BG122" s="201">
        <f t="shared" si="208"/>
        <v>0</v>
      </c>
      <c r="BH122" s="61">
        <f t="shared" si="209"/>
        <v>14.499000000000001</v>
      </c>
      <c r="BI122" s="237">
        <f t="shared" si="210"/>
        <v>0</v>
      </c>
      <c r="BJ122" s="247">
        <f t="shared" si="211"/>
        <v>0</v>
      </c>
      <c r="BK122" s="431">
        <f t="shared" si="212"/>
        <v>0</v>
      </c>
      <c r="BL122" s="250">
        <f t="shared" si="213"/>
        <v>0</v>
      </c>
      <c r="BM122" s="237">
        <f t="shared" si="214"/>
        <v>0</v>
      </c>
      <c r="BN122" s="452">
        <f t="shared" si="215"/>
        <v>14.499000000000001</v>
      </c>
      <c r="BO122" s="237">
        <f t="shared" si="216"/>
        <v>0</v>
      </c>
      <c r="BP122" s="432">
        <f t="shared" si="217"/>
        <v>0</v>
      </c>
      <c r="BQ122" s="22" t="str">
        <f t="shared" si="218"/>
        <v/>
      </c>
      <c r="BR122" s="250">
        <f t="shared" si="219"/>
        <v>0</v>
      </c>
      <c r="BS122" s="237">
        <f t="shared" si="220"/>
        <v>0</v>
      </c>
      <c r="BT122" s="452">
        <f t="shared" si="221"/>
        <v>14.499000000000001</v>
      </c>
      <c r="BU122" s="492">
        <f t="shared" si="222"/>
        <v>1.1749999999999998</v>
      </c>
      <c r="BV122" s="493">
        <f>IF(BT122="","",
IF(AND(BT122&gt;'Данные ТНПА'!$K$8,BT122&lt;='Данные ТНПА'!$L$8),'Данные ТНПА'!$N$8,
IF(AND(BT122&gt;'Данные ТНПА'!$K$9,BT122&lt;='Данные ТНПА'!$L$9),'Данные ТНПА'!$N$9,
IF(AND(BT122&gt;'Данные ТНПА'!$K$10,BT122&lt;='Данные ТНПА'!$L$10),'Данные ТНПА'!$N$10,
IF(AND(BT122&gt;'Данные ТНПА'!$K$11,BT122&lt;='Данные ТНПА'!$L$11),'Данные ТНПА'!$N$11,
IF(AND(BT122&gt;'Данные ТНПА'!$K$12,BT122&lt;='Данные ТНПА'!$L$12),'Данные ТНПА'!$N$12,
IF(AND(BT122&gt;'Данные ТНПА'!$K$13,BT122&lt;='Данные ТНПА'!$L$13),'Данные ТНПА'!$N$13,
IF(AND(BT122&gt;'Данные ТНПА'!$K$14,BT122&lt;='Данные ТНПА'!$L$14),'Данные ТНПА'!$N$14))))))))</f>
        <v>1.5</v>
      </c>
      <c r="BW122" s="493">
        <f t="shared" si="223"/>
        <v>17.499000000000002</v>
      </c>
      <c r="BX122" s="457">
        <f t="shared" si="169"/>
        <v>135.94499999999999</v>
      </c>
      <c r="BY122" s="457">
        <f t="shared" si="170"/>
        <v>0</v>
      </c>
      <c r="BZ122" s="457">
        <f t="shared" si="171"/>
        <v>85.271554161933494</v>
      </c>
      <c r="CA122" s="457" t="e">
        <f t="shared" si="224"/>
        <v>#REF!</v>
      </c>
      <c r="CB122" s="458">
        <f t="shared" si="225"/>
        <v>0</v>
      </c>
      <c r="CC122" s="457">
        <f t="shared" si="226"/>
        <v>0</v>
      </c>
      <c r="CD122" s="457">
        <f t="shared" si="227"/>
        <v>0</v>
      </c>
      <c r="CE122" s="457">
        <f t="shared" si="228"/>
        <v>0</v>
      </c>
      <c r="CF122" s="457">
        <f t="shared" si="229"/>
        <v>0</v>
      </c>
      <c r="CG122" s="458">
        <f t="shared" si="178"/>
        <v>0</v>
      </c>
      <c r="CH122" s="457">
        <f t="shared" si="230"/>
        <v>0</v>
      </c>
      <c r="CI122" s="457">
        <f t="shared" si="231"/>
        <v>0</v>
      </c>
      <c r="CJ122" s="458">
        <f t="shared" si="232"/>
        <v>0</v>
      </c>
      <c r="CK122" s="458">
        <f t="shared" si="182"/>
        <v>109.77295244868628</v>
      </c>
      <c r="CL122" s="457">
        <f t="shared" si="183"/>
        <v>330.98950661061974</v>
      </c>
      <c r="CM122" s="504"/>
      <c r="CN122" s="504"/>
    </row>
    <row r="123" spans="1:92" s="207" customFormat="1" ht="14.25" hidden="1" customHeight="1" x14ac:dyDescent="0.25">
      <c r="A123" s="389" t="str">
        <f>IF(D123="",CONCATENATE("Кабель ",IF(C123="а","А",""),$A$9),CONCATENATE("Кабель ",IF(C123="а","А",""),$A$9," ",D123,"*",F123,IF(G123="ок"," (ож)","")," - ",B123," ",IF(G123="мс"," фас. ",""),$A$2))</f>
        <v>Кабель АВВГ 5*16 (ож) - 0,66 ГОСТ 16442-80</v>
      </c>
      <c r="B123" s="450">
        <v>0.66</v>
      </c>
      <c r="C123" s="451" t="s">
        <v>164</v>
      </c>
      <c r="D123" s="412">
        <v>5</v>
      </c>
      <c r="E123" s="413" t="s">
        <v>40</v>
      </c>
      <c r="F123" s="423">
        <v>16</v>
      </c>
      <c r="G123" s="414" t="str">
        <f>IF(I123=1,"ок","мк")</f>
        <v>ок</v>
      </c>
      <c r="H123" s="461">
        <v>4.5199999999999996</v>
      </c>
      <c r="I123" s="497">
        <v>1</v>
      </c>
      <c r="J123" s="498" t="s">
        <v>40</v>
      </c>
      <c r="K123" s="496">
        <f>ROUNDUP(SQRT(F123/PI()*4),2)</f>
        <v>4.5199999999999996</v>
      </c>
      <c r="L123" s="501">
        <v>5.99</v>
      </c>
      <c r="M123" s="475"/>
      <c r="N123" s="475"/>
      <c r="O123" s="475"/>
      <c r="P123" s="475"/>
      <c r="Q123" s="483">
        <f t="shared" si="184"/>
        <v>0.71000000000000008</v>
      </c>
      <c r="R123" s="484">
        <f>IF(B123=0.66,VLOOKUP(F123,'Данные ТНПА'!$B$8:$C$16,2,0),
IF(B123=1,VLOOKUP(F123,'Данные ТНПА'!$B$17:$C$37,2,0),"ошибка"))</f>
        <v>0.9</v>
      </c>
      <c r="S123" s="485">
        <f t="shared" si="120"/>
        <v>5.9399999999999995</v>
      </c>
      <c r="T123" s="486"/>
      <c r="U123" s="487"/>
      <c r="V123" s="485">
        <f t="shared" si="121"/>
        <v>6.3199999999999994</v>
      </c>
      <c r="W123" s="486"/>
      <c r="X123" s="487"/>
      <c r="Y123" s="489">
        <f t="shared" si="122"/>
        <v>4.4000000000000004</v>
      </c>
      <c r="Z123" s="491">
        <f t="shared" si="123"/>
        <v>17.064</v>
      </c>
      <c r="AA123" s="237">
        <f t="shared" si="124"/>
        <v>0</v>
      </c>
      <c r="AB123" s="452">
        <f t="shared" si="185"/>
        <v>17.064</v>
      </c>
      <c r="AC123" s="201">
        <f t="shared" si="126"/>
        <v>0</v>
      </c>
      <c r="AD123" s="203">
        <f t="shared" si="186"/>
        <v>0</v>
      </c>
      <c r="AE123" s="37" t="str">
        <f t="shared" si="128"/>
        <v/>
      </c>
      <c r="AF123" s="202">
        <f t="shared" si="187"/>
        <v>0</v>
      </c>
      <c r="AG123" s="201">
        <f t="shared" si="188"/>
        <v>0</v>
      </c>
      <c r="AH123" s="61">
        <f t="shared" si="131"/>
        <v>17.064</v>
      </c>
      <c r="AI123" s="443">
        <f t="shared" si="233"/>
        <v>0</v>
      </c>
      <c r="AJ123" s="444">
        <f t="shared" si="189"/>
        <v>0</v>
      </c>
      <c r="AK123" s="445">
        <f t="shared" si="190"/>
        <v>0</v>
      </c>
      <c r="AL123" s="446">
        <f t="shared" si="191"/>
        <v>0</v>
      </c>
      <c r="AM123" s="447">
        <f t="shared" si="192"/>
        <v>0</v>
      </c>
      <c r="AN123" s="24">
        <f t="shared" si="193"/>
        <v>17.064</v>
      </c>
      <c r="AO123" s="443">
        <f t="shared" si="137"/>
        <v>0</v>
      </c>
      <c r="AP123" s="444">
        <f t="shared" si="194"/>
        <v>0</v>
      </c>
      <c r="AQ123" s="445">
        <f t="shared" si="195"/>
        <v>0</v>
      </c>
      <c r="AR123" s="446">
        <f t="shared" si="196"/>
        <v>0</v>
      </c>
      <c r="AS123" s="447">
        <f t="shared" si="197"/>
        <v>0</v>
      </c>
      <c r="AT123" s="24">
        <f t="shared" si="198"/>
        <v>17.064</v>
      </c>
      <c r="AU123" s="443">
        <f t="shared" si="143"/>
        <v>0</v>
      </c>
      <c r="AV123" s="444">
        <f t="shared" si="199"/>
        <v>0</v>
      </c>
      <c r="AW123" s="445">
        <f t="shared" si="200"/>
        <v>0</v>
      </c>
      <c r="AX123" s="446">
        <f t="shared" si="201"/>
        <v>0</v>
      </c>
      <c r="AY123" s="447">
        <f t="shared" si="202"/>
        <v>0</v>
      </c>
      <c r="AZ123" s="24">
        <f t="shared" si="203"/>
        <v>17.064</v>
      </c>
      <c r="BA123" s="43">
        <f>IF(BB123=0,0,
IF(D123=1,
(IF(AND(AH123&gt;'Данные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"ошибка_1"))))))),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"ошибка_2"))))))))</f>
        <v>0</v>
      </c>
      <c r="BB123" s="43">
        <f>IF(OR($AI$9=0,AND(D123&gt;1,F123&gt;10)),0,
IF(D123=1,
(IF(AND(AH123&gt;'Данные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"ошибка_1"))))))),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IF(AND(AH123&gt;'Данные ТНПА'!#REF!,AH123&lt;='Данные ТНПА'!#REF!),'Данные ТНПА'!#REF!,
"ошибка_2"))))))))</f>
        <v>0</v>
      </c>
      <c r="BC123" s="43">
        <f t="shared" si="204"/>
        <v>17.064</v>
      </c>
      <c r="BD123" s="237">
        <f t="shared" si="205"/>
        <v>0</v>
      </c>
      <c r="BE123" s="43">
        <f t="shared" si="206"/>
        <v>0</v>
      </c>
      <c r="BF123" s="201">
        <f t="shared" si="207"/>
        <v>0</v>
      </c>
      <c r="BG123" s="201">
        <f t="shared" si="208"/>
        <v>0</v>
      </c>
      <c r="BH123" s="61">
        <f t="shared" si="209"/>
        <v>17.064</v>
      </c>
      <c r="BI123" s="237">
        <f t="shared" si="210"/>
        <v>0</v>
      </c>
      <c r="BJ123" s="247">
        <f t="shared" si="211"/>
        <v>0</v>
      </c>
      <c r="BK123" s="431">
        <f t="shared" si="212"/>
        <v>0</v>
      </c>
      <c r="BL123" s="250">
        <f t="shared" si="213"/>
        <v>0</v>
      </c>
      <c r="BM123" s="237">
        <f t="shared" si="214"/>
        <v>0</v>
      </c>
      <c r="BN123" s="452">
        <f t="shared" si="215"/>
        <v>17.064</v>
      </c>
      <c r="BO123" s="237">
        <f t="shared" si="216"/>
        <v>0</v>
      </c>
      <c r="BP123" s="432">
        <f t="shared" si="217"/>
        <v>0</v>
      </c>
      <c r="BQ123" s="22" t="str">
        <f t="shared" si="218"/>
        <v/>
      </c>
      <c r="BR123" s="250">
        <f t="shared" si="219"/>
        <v>0</v>
      </c>
      <c r="BS123" s="237">
        <f t="shared" si="220"/>
        <v>0</v>
      </c>
      <c r="BT123" s="452">
        <f t="shared" si="221"/>
        <v>17.064</v>
      </c>
      <c r="BU123" s="492">
        <f t="shared" si="222"/>
        <v>1.3449999999999998</v>
      </c>
      <c r="BV123" s="493">
        <f>IF(BT123="","",
IF(AND(BT123&gt;'Данные ТНПА'!$K$8,BT123&lt;='Данные ТНПА'!$L$8),'Данные ТНПА'!$N$8,
IF(AND(BT123&gt;'Данные ТНПА'!$K$9,BT123&lt;='Данные ТНПА'!$L$9),'Данные ТНПА'!$N$9,
IF(AND(BT123&gt;'Данные ТНПА'!$K$10,BT123&lt;='Данные ТНПА'!$L$10),'Данные ТНПА'!$N$10,
IF(AND(BT123&gt;'Данные ТНПА'!$K$11,BT123&lt;='Данные ТНПА'!$L$11),'Данные ТНПА'!$N$11,
IF(AND(BT123&gt;'Данные ТНПА'!$K$12,BT123&lt;='Данные ТНПА'!$L$12),'Данные ТНПА'!$N$12,
IF(AND(BT123&gt;'Данные ТНПА'!$K$13,BT123&lt;='Данные ТНПА'!$L$13),'Данные ТНПА'!$N$13,
IF(AND(BT123&gt;'Данные ТНПА'!$K$14,BT123&lt;='Данные ТНПА'!$L$14),'Данные ТНПА'!$N$14))))))))</f>
        <v>1.7</v>
      </c>
      <c r="BW123" s="493">
        <f t="shared" si="223"/>
        <v>20.463999999999999</v>
      </c>
      <c r="BX123" s="457">
        <f t="shared" si="169"/>
        <v>217.51199999999997</v>
      </c>
      <c r="BY123" s="457">
        <f t="shared" si="170"/>
        <v>0</v>
      </c>
      <c r="BZ123" s="457">
        <f t="shared" si="171"/>
        <v>103.39414397263528</v>
      </c>
      <c r="CA123" s="457" t="e">
        <f t="shared" si="224"/>
        <v>#REF!</v>
      </c>
      <c r="CB123" s="458">
        <f t="shared" si="225"/>
        <v>0</v>
      </c>
      <c r="CC123" s="457">
        <f t="shared" si="226"/>
        <v>0</v>
      </c>
      <c r="CD123" s="457">
        <f t="shared" si="227"/>
        <v>0</v>
      </c>
      <c r="CE123" s="457">
        <f t="shared" si="228"/>
        <v>0</v>
      </c>
      <c r="CF123" s="457">
        <f t="shared" si="229"/>
        <v>0</v>
      </c>
      <c r="CG123" s="458">
        <f t="shared" si="178"/>
        <v>0</v>
      </c>
      <c r="CH123" s="457">
        <f t="shared" si="230"/>
        <v>0</v>
      </c>
      <c r="CI123" s="457">
        <f t="shared" si="231"/>
        <v>0</v>
      </c>
      <c r="CJ123" s="458">
        <f t="shared" si="232"/>
        <v>0</v>
      </c>
      <c r="CK123" s="458">
        <f t="shared" si="182"/>
        <v>145.91018003500861</v>
      </c>
      <c r="CL123" s="457">
        <f t="shared" si="183"/>
        <v>466.81632400764386</v>
      </c>
      <c r="CM123" s="504"/>
      <c r="CN123" s="504"/>
    </row>
    <row r="124" spans="1:92" s="207" customFormat="1" ht="14.25" hidden="1" customHeight="1" x14ac:dyDescent="0.25">
      <c r="A124" s="389" t="str">
        <f>IF(D124="",CONCATENATE("Кабель ",IF(C124="а","А",""),$A$9),CONCATENATE("Кабель ",IF(C124="а","А",""),$A$9," ",D124,"*",F124,IF(G124="ок"," (ож)","")," - ",B124," ",IF(G124="мс"," фас. ",""),$A$2))</f>
        <v>Кабель АВВГ 5*25 (ож) - 0,66 ГОСТ 16442-80</v>
      </c>
      <c r="B124" s="450">
        <v>0.66</v>
      </c>
      <c r="C124" s="451" t="s">
        <v>164</v>
      </c>
      <c r="D124" s="412">
        <v>5</v>
      </c>
      <c r="E124" s="413" t="s">
        <v>40</v>
      </c>
      <c r="F124" s="423">
        <v>25</v>
      </c>
      <c r="G124" s="414" t="str">
        <f>IF(I124=1,"ок","мк")</f>
        <v>ок</v>
      </c>
      <c r="H124" s="461">
        <v>5.6499999999999995</v>
      </c>
      <c r="I124" s="497">
        <v>1</v>
      </c>
      <c r="J124" s="498" t="s">
        <v>40</v>
      </c>
      <c r="K124" s="496">
        <f>ROUNDUP(SQRT(F124/PI()*4),2)</f>
        <v>5.6499999999999995</v>
      </c>
      <c r="L124" s="501">
        <v>7.1000000000000005</v>
      </c>
      <c r="M124" s="475"/>
      <c r="N124" s="475"/>
      <c r="O124" s="475"/>
      <c r="P124" s="475"/>
      <c r="Q124" s="483">
        <f t="shared" si="184"/>
        <v>0.89000000000000012</v>
      </c>
      <c r="R124" s="484">
        <f>IF(B124=0.66,VLOOKUP(F124,'Данные ТНПА'!$B$8:$C$16,2,0),
IF(B124=1,VLOOKUP(F124,'Данные ТНПА'!$B$17:$C$37,2,0),"ошибка"))</f>
        <v>1.1000000000000001</v>
      </c>
      <c r="S124" s="485">
        <f t="shared" si="120"/>
        <v>7.43</v>
      </c>
      <c r="T124" s="486"/>
      <c r="U124" s="487"/>
      <c r="V124" s="485">
        <f t="shared" si="121"/>
        <v>7.85</v>
      </c>
      <c r="W124" s="486"/>
      <c r="X124" s="487"/>
      <c r="Y124" s="489">
        <f t="shared" si="122"/>
        <v>5.5</v>
      </c>
      <c r="Z124" s="491">
        <f t="shared" si="123"/>
        <v>21.195</v>
      </c>
      <c r="AA124" s="237">
        <f t="shared" si="124"/>
        <v>0</v>
      </c>
      <c r="AB124" s="452">
        <f t="shared" si="185"/>
        <v>21.195</v>
      </c>
      <c r="AC124" s="201">
        <f t="shared" si="126"/>
        <v>0</v>
      </c>
      <c r="AD124" s="203">
        <f t="shared" si="186"/>
        <v>0</v>
      </c>
      <c r="AE124" s="37" t="str">
        <f t="shared" si="128"/>
        <v/>
      </c>
      <c r="AF124" s="202">
        <f t="shared" si="187"/>
        <v>0</v>
      </c>
      <c r="AG124" s="201">
        <f t="shared" si="188"/>
        <v>0</v>
      </c>
      <c r="AH124" s="61">
        <f t="shared" si="131"/>
        <v>21.195</v>
      </c>
      <c r="AI124" s="443">
        <f t="shared" si="233"/>
        <v>0</v>
      </c>
      <c r="AJ124" s="444">
        <f t="shared" si="189"/>
        <v>0</v>
      </c>
      <c r="AK124" s="445">
        <f t="shared" si="190"/>
        <v>0</v>
      </c>
      <c r="AL124" s="446">
        <f t="shared" si="191"/>
        <v>0</v>
      </c>
      <c r="AM124" s="447">
        <f t="shared" si="192"/>
        <v>0</v>
      </c>
      <c r="AN124" s="24">
        <f t="shared" si="193"/>
        <v>21.195</v>
      </c>
      <c r="AO124" s="443">
        <f t="shared" si="137"/>
        <v>0</v>
      </c>
      <c r="AP124" s="444">
        <f t="shared" si="194"/>
        <v>0</v>
      </c>
      <c r="AQ124" s="445">
        <f t="shared" si="195"/>
        <v>0</v>
      </c>
      <c r="AR124" s="446">
        <f t="shared" si="196"/>
        <v>0</v>
      </c>
      <c r="AS124" s="447">
        <f t="shared" si="197"/>
        <v>0</v>
      </c>
      <c r="AT124" s="24">
        <f t="shared" si="198"/>
        <v>21.195</v>
      </c>
      <c r="AU124" s="443">
        <f t="shared" si="143"/>
        <v>0</v>
      </c>
      <c r="AV124" s="444">
        <f t="shared" si="199"/>
        <v>0</v>
      </c>
      <c r="AW124" s="445">
        <f t="shared" si="200"/>
        <v>0</v>
      </c>
      <c r="AX124" s="446">
        <f t="shared" si="201"/>
        <v>0</v>
      </c>
      <c r="AY124" s="447">
        <f t="shared" si="202"/>
        <v>0</v>
      </c>
      <c r="AZ124" s="24">
        <f t="shared" si="203"/>
        <v>21.195</v>
      </c>
      <c r="BA124" s="43">
        <f>IF(BB124=0,0,
IF(D124=1,
(IF(AND(AH124&gt;'Данные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"ошибка_1"))))))),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"ошибка_2"))))))))</f>
        <v>0</v>
      </c>
      <c r="BB124" s="43">
        <f>IF(OR($AI$9=0,AND(D124&gt;1,F124&gt;10)),0,
IF(D124=1,
(IF(AND(AH124&gt;'Данные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"ошибка_1"))))))),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IF(AND(AH124&gt;'Данные ТНПА'!#REF!,AH124&lt;='Данные ТНПА'!#REF!),'Данные ТНПА'!#REF!,
"ошибка_2"))))))))</f>
        <v>0</v>
      </c>
      <c r="BC124" s="43">
        <f t="shared" si="204"/>
        <v>21.195</v>
      </c>
      <c r="BD124" s="237">
        <f t="shared" si="205"/>
        <v>0</v>
      </c>
      <c r="BE124" s="43">
        <f t="shared" si="206"/>
        <v>0</v>
      </c>
      <c r="BF124" s="201">
        <f t="shared" si="207"/>
        <v>0</v>
      </c>
      <c r="BG124" s="201">
        <f t="shared" si="208"/>
        <v>0</v>
      </c>
      <c r="BH124" s="61">
        <f t="shared" si="209"/>
        <v>21.195</v>
      </c>
      <c r="BI124" s="237">
        <f t="shared" si="210"/>
        <v>0</v>
      </c>
      <c r="BJ124" s="247">
        <f t="shared" si="211"/>
        <v>0</v>
      </c>
      <c r="BK124" s="431">
        <f t="shared" si="212"/>
        <v>0</v>
      </c>
      <c r="BL124" s="250">
        <f t="shared" si="213"/>
        <v>0</v>
      </c>
      <c r="BM124" s="237">
        <f t="shared" si="214"/>
        <v>0</v>
      </c>
      <c r="BN124" s="452">
        <f t="shared" si="215"/>
        <v>21.195</v>
      </c>
      <c r="BO124" s="237">
        <f t="shared" si="216"/>
        <v>0</v>
      </c>
      <c r="BP124" s="432">
        <f t="shared" si="217"/>
        <v>0</v>
      </c>
      <c r="BQ124" s="22" t="str">
        <f t="shared" si="218"/>
        <v/>
      </c>
      <c r="BR124" s="250">
        <f t="shared" si="219"/>
        <v>0</v>
      </c>
      <c r="BS124" s="237">
        <f t="shared" si="220"/>
        <v>0</v>
      </c>
      <c r="BT124" s="452">
        <f t="shared" si="221"/>
        <v>21.195</v>
      </c>
      <c r="BU124" s="492">
        <f t="shared" si="222"/>
        <v>1.5149999999999999</v>
      </c>
      <c r="BV124" s="493">
        <f>IF(BT124="","",
IF(AND(BT124&gt;'Данные ТНПА'!$K$8,BT124&lt;='Данные ТНПА'!$L$8),'Данные ТНПА'!$N$8,
IF(AND(BT124&gt;'Данные ТНПА'!$K$9,BT124&lt;='Данные ТНПА'!$L$9),'Данные ТНПА'!$N$9,
IF(AND(BT124&gt;'Данные ТНПА'!$K$10,BT124&lt;='Данные ТНПА'!$L$10),'Данные ТНПА'!$N$10,
IF(AND(BT124&gt;'Данные ТНПА'!$K$11,BT124&lt;='Данные ТНПА'!$L$11),'Данные ТНПА'!$N$11,
IF(AND(BT124&gt;'Данные ТНПА'!$K$12,BT124&lt;='Данные ТНПА'!$L$12),'Данные ТНПА'!$N$12,
IF(AND(BT124&gt;'Данные ТНПА'!$K$13,BT124&lt;='Данные ТНПА'!$L$13),'Данные ТНПА'!$N$13,
IF(AND(BT124&gt;'Данные ТНПА'!$K$14,BT124&lt;='Данные ТНПА'!$L$14),'Данные ТНПА'!$N$14))))))))</f>
        <v>1.9</v>
      </c>
      <c r="BW124" s="493">
        <f t="shared" si="223"/>
        <v>24.995000000000001</v>
      </c>
      <c r="BX124" s="457">
        <f t="shared" si="169"/>
        <v>339.86249999999995</v>
      </c>
      <c r="BY124" s="457">
        <f t="shared" si="170"/>
        <v>0</v>
      </c>
      <c r="BZ124" s="457">
        <f t="shared" si="171"/>
        <v>157.38038519819943</v>
      </c>
      <c r="CA124" s="457" t="e">
        <f t="shared" si="224"/>
        <v>#REF!</v>
      </c>
      <c r="CB124" s="458">
        <f t="shared" si="225"/>
        <v>0</v>
      </c>
      <c r="CC124" s="457">
        <f t="shared" si="226"/>
        <v>0</v>
      </c>
      <c r="CD124" s="457">
        <f t="shared" si="227"/>
        <v>0</v>
      </c>
      <c r="CE124" s="457">
        <f t="shared" si="228"/>
        <v>0</v>
      </c>
      <c r="CF124" s="457">
        <f t="shared" si="229"/>
        <v>0</v>
      </c>
      <c r="CG124" s="458">
        <f t="shared" si="178"/>
        <v>0</v>
      </c>
      <c r="CH124" s="457">
        <f t="shared" si="230"/>
        <v>0</v>
      </c>
      <c r="CI124" s="457">
        <f t="shared" si="231"/>
        <v>0</v>
      </c>
      <c r="CJ124" s="458">
        <f t="shared" si="232"/>
        <v>0</v>
      </c>
      <c r="CK124" s="458">
        <f t="shared" si="182"/>
        <v>200.71637977059308</v>
      </c>
      <c r="CL124" s="457">
        <f t="shared" si="183"/>
        <v>697.95926496879247</v>
      </c>
      <c r="CM124" s="504"/>
      <c r="CN124" s="504"/>
    </row>
    <row r="125" spans="1:92" s="207" customFormat="1" ht="14.25" hidden="1" customHeight="1" x14ac:dyDescent="0.25">
      <c r="A125" s="389" t="str">
        <f>IF(D125="",CONCATENATE("Кабель ",IF(C125="а","А",""),$A$9),CONCATENATE("Кабель ",IF(C125="а","А",""),$A$9," ",D125,"*",F125,IF(G125="ок"," (ож)","")," - ",B125," ",IF(G125="мс"," фас. ",""),$A$2))</f>
        <v>Кабель АВВГ 5*35 (ож) - 0,66 ГОСТ 16442-80</v>
      </c>
      <c r="B125" s="450">
        <v>0.66</v>
      </c>
      <c r="C125" s="451" t="s">
        <v>164</v>
      </c>
      <c r="D125" s="412">
        <v>5</v>
      </c>
      <c r="E125" s="413" t="s">
        <v>40</v>
      </c>
      <c r="F125" s="423">
        <v>35</v>
      </c>
      <c r="G125" s="414" t="str">
        <f>IF(I125=1,"ок","мк")</f>
        <v>ок</v>
      </c>
      <c r="H125" s="461">
        <v>6.68</v>
      </c>
      <c r="I125" s="497">
        <v>1</v>
      </c>
      <c r="J125" s="498" t="s">
        <v>40</v>
      </c>
      <c r="K125" s="496">
        <f>ROUNDUP(SQRT(F125/PI()*4),2)</f>
        <v>6.68</v>
      </c>
      <c r="L125" s="501">
        <v>8.15</v>
      </c>
      <c r="M125" s="475"/>
      <c r="N125" s="475"/>
      <c r="O125" s="475"/>
      <c r="P125" s="475"/>
      <c r="Q125" s="483">
        <f t="shared" si="184"/>
        <v>0.89000000000000012</v>
      </c>
      <c r="R125" s="484">
        <f>IF(B125=0.66,VLOOKUP(F125,'Данные ТНПА'!$B$8:$C$16,2,0),
IF(B125=1,VLOOKUP(F125,'Данные ТНПА'!$B$17:$C$37,2,0),"ошибка"))</f>
        <v>1.1000000000000001</v>
      </c>
      <c r="S125" s="485">
        <f t="shared" si="120"/>
        <v>8.4600000000000009</v>
      </c>
      <c r="T125" s="486"/>
      <c r="U125" s="487"/>
      <c r="V125" s="485">
        <f t="shared" si="121"/>
        <v>8.879999999999999</v>
      </c>
      <c r="W125" s="486"/>
      <c r="X125" s="487"/>
      <c r="Y125" s="489">
        <f t="shared" si="122"/>
        <v>6.2</v>
      </c>
      <c r="Z125" s="491">
        <f t="shared" si="123"/>
        <v>23.975999999999999</v>
      </c>
      <c r="AA125" s="237">
        <f t="shared" si="124"/>
        <v>0</v>
      </c>
      <c r="AB125" s="452">
        <f t="shared" si="185"/>
        <v>23.975999999999999</v>
      </c>
      <c r="AC125" s="201">
        <f t="shared" si="126"/>
        <v>0</v>
      </c>
      <c r="AD125" s="203">
        <f t="shared" si="186"/>
        <v>0</v>
      </c>
      <c r="AE125" s="37" t="str">
        <f t="shared" si="128"/>
        <v/>
      </c>
      <c r="AF125" s="202">
        <f t="shared" si="187"/>
        <v>0</v>
      </c>
      <c r="AG125" s="201">
        <f t="shared" si="188"/>
        <v>0</v>
      </c>
      <c r="AH125" s="61">
        <f t="shared" si="131"/>
        <v>23.975999999999999</v>
      </c>
      <c r="AI125" s="443">
        <f t="shared" si="233"/>
        <v>0</v>
      </c>
      <c r="AJ125" s="444">
        <f t="shared" si="189"/>
        <v>0</v>
      </c>
      <c r="AK125" s="445">
        <f t="shared" si="190"/>
        <v>0</v>
      </c>
      <c r="AL125" s="446">
        <f t="shared" si="191"/>
        <v>0</v>
      </c>
      <c r="AM125" s="447">
        <f t="shared" si="192"/>
        <v>0</v>
      </c>
      <c r="AN125" s="24">
        <f t="shared" si="193"/>
        <v>23.975999999999999</v>
      </c>
      <c r="AO125" s="443">
        <f t="shared" si="137"/>
        <v>0</v>
      </c>
      <c r="AP125" s="444">
        <f t="shared" si="194"/>
        <v>0</v>
      </c>
      <c r="AQ125" s="445">
        <f t="shared" si="195"/>
        <v>0</v>
      </c>
      <c r="AR125" s="446">
        <f t="shared" si="196"/>
        <v>0</v>
      </c>
      <c r="AS125" s="447">
        <f t="shared" si="197"/>
        <v>0</v>
      </c>
      <c r="AT125" s="24">
        <f t="shared" si="198"/>
        <v>23.975999999999999</v>
      </c>
      <c r="AU125" s="443">
        <f t="shared" si="143"/>
        <v>0</v>
      </c>
      <c r="AV125" s="444">
        <f t="shared" si="199"/>
        <v>0</v>
      </c>
      <c r="AW125" s="445">
        <f t="shared" si="200"/>
        <v>0</v>
      </c>
      <c r="AX125" s="446">
        <f t="shared" si="201"/>
        <v>0</v>
      </c>
      <c r="AY125" s="447">
        <f t="shared" si="202"/>
        <v>0</v>
      </c>
      <c r="AZ125" s="24">
        <f t="shared" si="203"/>
        <v>23.975999999999999</v>
      </c>
      <c r="BA125" s="43">
        <f>IF(BB125=0,0,
IF(D125=1,
(IF(AND(AH125&gt;'Данные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"ошибка_1"))))))),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"ошибка_2"))))))))</f>
        <v>0</v>
      </c>
      <c r="BB125" s="43">
        <f>IF(OR($AI$9=0,AND(D125&gt;1,F125&gt;10)),0,
IF(D125=1,
(IF(AND(AH125&gt;'Данные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"ошибка_1"))))))),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IF(AND(AH125&gt;'Данные ТНПА'!#REF!,AH125&lt;='Данные ТНПА'!#REF!),'Данные ТНПА'!#REF!,
"ошибка_2"))))))))</f>
        <v>0</v>
      </c>
      <c r="BC125" s="43">
        <f t="shared" si="204"/>
        <v>23.975999999999999</v>
      </c>
      <c r="BD125" s="237">
        <f t="shared" si="205"/>
        <v>0</v>
      </c>
      <c r="BE125" s="43">
        <f t="shared" si="206"/>
        <v>0</v>
      </c>
      <c r="BF125" s="201">
        <f t="shared" si="207"/>
        <v>0</v>
      </c>
      <c r="BG125" s="201">
        <f t="shared" si="208"/>
        <v>0</v>
      </c>
      <c r="BH125" s="61">
        <f t="shared" si="209"/>
        <v>23.975999999999999</v>
      </c>
      <c r="BI125" s="237">
        <f t="shared" si="210"/>
        <v>0</v>
      </c>
      <c r="BJ125" s="247">
        <f t="shared" si="211"/>
        <v>0</v>
      </c>
      <c r="BK125" s="431">
        <f t="shared" si="212"/>
        <v>0</v>
      </c>
      <c r="BL125" s="250">
        <f t="shared" si="213"/>
        <v>0</v>
      </c>
      <c r="BM125" s="237">
        <f t="shared" si="214"/>
        <v>0</v>
      </c>
      <c r="BN125" s="452">
        <f t="shared" si="215"/>
        <v>23.975999999999999</v>
      </c>
      <c r="BO125" s="237">
        <f t="shared" si="216"/>
        <v>0</v>
      </c>
      <c r="BP125" s="432">
        <f t="shared" si="217"/>
        <v>0</v>
      </c>
      <c r="BQ125" s="22" t="str">
        <f t="shared" si="218"/>
        <v/>
      </c>
      <c r="BR125" s="250">
        <f t="shared" si="219"/>
        <v>0</v>
      </c>
      <c r="BS125" s="237">
        <f t="shared" si="220"/>
        <v>0</v>
      </c>
      <c r="BT125" s="452">
        <f t="shared" si="221"/>
        <v>23.975999999999999</v>
      </c>
      <c r="BU125" s="492">
        <f t="shared" si="222"/>
        <v>1.5149999999999999</v>
      </c>
      <c r="BV125" s="493">
        <f>IF(BT125="","",
IF(AND(BT125&gt;'Данные ТНПА'!$K$8,BT125&lt;='Данные ТНПА'!$L$8),'Данные ТНПА'!$N$8,
IF(AND(BT125&gt;'Данные ТНПА'!$K$9,BT125&lt;='Данные ТНПА'!$L$9),'Данные ТНПА'!$N$9,
IF(AND(BT125&gt;'Данные ТНПА'!$K$10,BT125&lt;='Данные ТНПА'!$L$10),'Данные ТНПА'!$N$10,
IF(AND(BT125&gt;'Данные ТНПА'!$K$11,BT125&lt;='Данные ТНПА'!$L$11),'Данные ТНПА'!$N$11,
IF(AND(BT125&gt;'Данные ТНПА'!$K$12,BT125&lt;='Данные ТНПА'!$L$12),'Данные ТНПА'!$N$12,
IF(AND(BT125&gt;'Данные ТНПА'!$K$13,BT125&lt;='Данные ТНПА'!$L$13),'Данные ТНПА'!$N$13,
IF(AND(BT125&gt;'Данные ТНПА'!$K$14,BT125&lt;='Данные ТНПА'!$L$14),'Данные ТНПА'!$N$14))))))))</f>
        <v>1.9</v>
      </c>
      <c r="BW125" s="493">
        <f t="shared" si="223"/>
        <v>27.776</v>
      </c>
      <c r="BX125" s="457">
        <f t="shared" si="169"/>
        <v>475.80749999999995</v>
      </c>
      <c r="BY125" s="457">
        <f t="shared" si="170"/>
        <v>0</v>
      </c>
      <c r="BZ125" s="457">
        <f t="shared" si="171"/>
        <v>181.39546619881355</v>
      </c>
      <c r="CA125" s="457" t="e">
        <f t="shared" si="224"/>
        <v>#REF!</v>
      </c>
      <c r="CB125" s="458">
        <f t="shared" si="225"/>
        <v>0</v>
      </c>
      <c r="CC125" s="457">
        <f t="shared" si="226"/>
        <v>0</v>
      </c>
      <c r="CD125" s="457">
        <f t="shared" si="227"/>
        <v>0</v>
      </c>
      <c r="CE125" s="457">
        <f t="shared" si="228"/>
        <v>0</v>
      </c>
      <c r="CF125" s="457">
        <f t="shared" si="229"/>
        <v>0</v>
      </c>
      <c r="CG125" s="458">
        <f t="shared" si="178"/>
        <v>0</v>
      </c>
      <c r="CH125" s="457">
        <f t="shared" si="230"/>
        <v>0</v>
      </c>
      <c r="CI125" s="457">
        <f t="shared" si="231"/>
        <v>0</v>
      </c>
      <c r="CJ125" s="458">
        <f t="shared" si="232"/>
        <v>0</v>
      </c>
      <c r="CK125" s="458">
        <f t="shared" si="182"/>
        <v>224.88577800146641</v>
      </c>
      <c r="CL125" s="457">
        <f t="shared" si="183"/>
        <v>882.08874420027996</v>
      </c>
      <c r="CM125" s="504"/>
      <c r="CN125" s="504"/>
    </row>
    <row r="126" spans="1:92" ht="14.25" hidden="1" customHeight="1" x14ac:dyDescent="0.25">
      <c r="A126" s="389" t="str">
        <f>IF(D126="",CONCATENATE("Кабель ",IF(C126="а","А",""),$A$9),CONCATENATE("Кабель ",IF(C126="а","А",""),$A$9," ",D126,"*",F126,IF(G126="ок"," (ож)","")," - ",B126," ",IF(G126="мс"," фас. ",""),$A$2))</f>
        <v>Кабель ВВГ 1*16 - 1 ГОСТ 16442-80</v>
      </c>
      <c r="B126" s="450">
        <v>1</v>
      </c>
      <c r="C126" s="451" t="s">
        <v>163</v>
      </c>
      <c r="D126" s="412">
        <v>1</v>
      </c>
      <c r="E126" s="413" t="s">
        <v>40</v>
      </c>
      <c r="F126" s="423">
        <v>16</v>
      </c>
      <c r="G126" s="414" t="s">
        <v>154</v>
      </c>
      <c r="H126" s="461">
        <v>1.77</v>
      </c>
      <c r="I126" s="478">
        <v>7</v>
      </c>
      <c r="J126" s="477" t="s">
        <v>40</v>
      </c>
      <c r="K126" s="470">
        <f>ROUNDUP(SQRT(F126/I126/PI()*4*1.07),2)</f>
        <v>1.77</v>
      </c>
      <c r="L126" s="501">
        <v>1.39</v>
      </c>
      <c r="M126" s="475"/>
      <c r="N126" s="475"/>
      <c r="O126" s="475"/>
      <c r="P126" s="475"/>
      <c r="Q126" s="483">
        <f t="shared" ref="Q126:Q147" si="234">0.9*R126-0.1</f>
        <v>0.8</v>
      </c>
      <c r="R126" s="484">
        <f>IF(B126=0.66,VLOOKUP(F126,'Данные ТНПА'!$B$8:$C$16,2,0),
IF(B126=1,VLOOKUP(F126,'Данные ТНПА'!$B$17:$C$37,2,0),"ошибка"))</f>
        <v>1</v>
      </c>
      <c r="S126" s="485">
        <f t="shared" si="120"/>
        <v>2.99</v>
      </c>
      <c r="T126" s="486"/>
      <c r="U126" s="487"/>
      <c r="V126" s="485">
        <f t="shared" si="121"/>
        <v>3.3899999999999997</v>
      </c>
      <c r="W126" s="486"/>
      <c r="X126" s="487"/>
      <c r="Y126" s="489">
        <f t="shared" si="122"/>
        <v>0</v>
      </c>
      <c r="Z126" s="491">
        <f t="shared" si="123"/>
        <v>3.3899999999999997</v>
      </c>
      <c r="AA126" s="237">
        <f t="shared" si="124"/>
        <v>0</v>
      </c>
      <c r="AB126" s="452">
        <f t="shared" ref="AB126:AB147" si="235">IF(Z126="","",Z126)</f>
        <v>3.3899999999999997</v>
      </c>
      <c r="AC126" s="201">
        <f t="shared" si="126"/>
        <v>0</v>
      </c>
      <c r="AD126" s="203">
        <f t="shared" ref="AD126:AD147" si="236">IF(AC126="","",IF(AC126&gt;0,IF(AND(Z126&gt;=10,Z126&lt;=20),0.035,IF(Z126&gt;20,0.05,"ошибка")),0))</f>
        <v>0</v>
      </c>
      <c r="AE126" s="37" t="str">
        <f t="shared" si="128"/>
        <v/>
      </c>
      <c r="AF126" s="202">
        <f t="shared" ref="AF126:AF147" si="237">IF(AC126="","",IF(AC126&gt;0,IF(AND(Z126&gt;=10,Z126&lt;=20),50,IF(Z126&gt;20,60,"ошибка")),0))</f>
        <v>0</v>
      </c>
      <c r="AG126" s="201">
        <f t="shared" ref="AG126:AG147" si="238">IF(AC126="","",IF(AC126&gt;0,IF(AND(Z126&gt;=10,Z126&lt;=13),40,IF(AND(Z126&gt;=13,Z126&lt;=16),30,IF(Z126&gt;16,25,"ошибка"))),0))</f>
        <v>0</v>
      </c>
      <c r="AH126" s="61">
        <f t="shared" si="131"/>
        <v>3.3899999999999997</v>
      </c>
      <c r="AI126" s="443">
        <f t="shared" si="233"/>
        <v>0</v>
      </c>
      <c r="AJ126" s="444">
        <f t="shared" ref="AJ126:AJ147" si="239">IF(AI126=0,0,$AJ$9)</f>
        <v>0</v>
      </c>
      <c r="AK126" s="445">
        <f t="shared" ref="AK126:AK147" si="240">IF(AI126="","",IF(AI126=0,0,"×"))</f>
        <v>0</v>
      </c>
      <c r="AL126" s="446">
        <f t="shared" ref="AL126:AL147" si="241">IF(AI126=0,0,$AL$9)</f>
        <v>0</v>
      </c>
      <c r="AM126" s="447">
        <f t="shared" ref="AM126:AM147" si="242">IF(AI126=0,0,
IF(AND(AH126&gt;10,AH126&lt;=13),55,
IF(AND(AH126&gt;13,AH126&lt;=15),45,
IF(AND(AH126&gt;15,AH126&lt;=18),35,
IF(AND(AH126&gt;18,AH126&lt;=20),30,
IF(AH126&gt;20,15,
0))))))</f>
        <v>0</v>
      </c>
      <c r="AN126" s="24">
        <f t="shared" ref="AN126:AN147" si="243">AH126+2*AI126*AJ126*(IF(AM126&lt;25,1,IF(AM126&gt;33,2,1.5)))</f>
        <v>3.3899999999999997</v>
      </c>
      <c r="AO126" s="443">
        <f t="shared" si="137"/>
        <v>0</v>
      </c>
      <c r="AP126" s="444">
        <f t="shared" ref="AP126:AP147" si="244">IF(OR(AO126=0,AN126&gt;23),0,$AP$9)</f>
        <v>0</v>
      </c>
      <c r="AQ126" s="445">
        <f t="shared" ref="AQ126:AQ147" si="245">IF(OR(AN126&gt;23,AO126=0),0,"×")</f>
        <v>0</v>
      </c>
      <c r="AR126" s="446">
        <f t="shared" ref="AR126:AR147" si="246">IF(OR(AN126&gt;23,AO126=0),0,$AR$9)</f>
        <v>0</v>
      </c>
      <c r="AS126" s="447">
        <f t="shared" ref="AS126:AS147" si="247">IF(AO126=0,0,
IF(AND(AH126&gt;10,AH126&lt;=13),55,
IF(AND(AH126&gt;13,AH126&lt;=15),45,
IF(AND(AH126&gt;15,AH126&lt;=18),35,
IF(AND(AH126&gt;18,AH126&lt;=20),30,
IF(AND(AH126&gt;20,AH126&lt;=23),15,
0))))))</f>
        <v>0</v>
      </c>
      <c r="AT126" s="24">
        <f t="shared" ref="AT126:AT147" si="248">AN126+2*AO126*AP126*(IF(AS126&lt;25,1,IF(AS126&gt;33,2,1.5)))</f>
        <v>3.3899999999999997</v>
      </c>
      <c r="AU126" s="443">
        <f t="shared" si="143"/>
        <v>0</v>
      </c>
      <c r="AV126" s="444">
        <f t="shared" ref="AV126:AV147" si="249">IF(OR(AU126=0,AN126&lt;=23),0,$AV$9)</f>
        <v>0</v>
      </c>
      <c r="AW126" s="445">
        <f t="shared" ref="AW126:AW147" si="250">IF(OR(AN126&lt;=23,AU126=0),0,"×")</f>
        <v>0</v>
      </c>
      <c r="AX126" s="446">
        <f t="shared" ref="AX126:AX147" si="251">IF(OR(AN126&lt;=23,AU126=0),0,$AX$9)</f>
        <v>0</v>
      </c>
      <c r="AY126" s="447">
        <f t="shared" ref="AY126:AY147" si="252">IF(AU126=0,0,15)</f>
        <v>0</v>
      </c>
      <c r="AZ126" s="24">
        <f t="shared" ref="AZ126:AZ147" si="253">AT126+2*AU126*AV126*(IF(AY126&lt;25,1,IF(AY126&gt;33,2,1.5)))</f>
        <v>3.3899999999999997</v>
      </c>
      <c r="BA126" s="43">
        <f>IF(BB126=0,0,
IF(D126=1,
(IF(AND(AH126&gt;'Данные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"ошибка_1"))))))),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"ошибка_2"))))))))</f>
        <v>0</v>
      </c>
      <c r="BB126" s="43">
        <f>IF(OR($AI$9=0,AND(D126&gt;1,F126&gt;10)),0,
IF(D126=1,
(IF(AND(AH126&gt;'Данные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"ошибка_1"))))))),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IF(AND(AH126&gt;'Данные ТНПА'!#REF!,AH126&lt;='Данные ТНПА'!#REF!),'Данные ТНПА'!#REF!,
"ошибка_2"))))))))</f>
        <v>0</v>
      </c>
      <c r="BC126" s="43">
        <f t="shared" ref="BC126:BC147" si="254">AZ126+2*BB126</f>
        <v>3.3899999999999997</v>
      </c>
      <c r="BD126" s="237">
        <f t="shared" ref="BD126:BD147" si="255">IF(BC126="","",
IF(BC126=0,0,$BD$9))</f>
        <v>0</v>
      </c>
      <c r="BE126" s="43">
        <f t="shared" ref="BE126:BE147" si="256">IF(BC126="","",
IF(BC126=0,0,$BE$9))</f>
        <v>0</v>
      </c>
      <c r="BF126" s="201">
        <f t="shared" ref="BF126:BF147" si="257">IF(BC126="","",
IF($BD$9=0,0,
IF(BC126&lt;=13,20,
IF(AND(BC126&gt;13,BC126&lt;=18),30,
IF(AND(BC126&gt;18,BC126&lt;=23),40,
IF(AND(BC126&gt;23,BC126&lt;=30),50,
60))))))</f>
        <v>0</v>
      </c>
      <c r="BG126" s="201">
        <f t="shared" ref="BG126:BG147" si="258">IF(BC126="","",$BG$9)</f>
        <v>0</v>
      </c>
      <c r="BH126" s="61">
        <f t="shared" ref="BH126:BH147" si="259">IF(BC126="","",BC126+2*BD126*BE126*IF(BG126&lt;=25,1,IF(BG126&gt;33,2,1.5)))</f>
        <v>3.3899999999999997</v>
      </c>
      <c r="BI126" s="237">
        <f t="shared" ref="BI126:BI147" si="260">IF(BC126="","",$BI$9)</f>
        <v>0</v>
      </c>
      <c r="BJ126" s="247">
        <f t="shared" ref="BJ126:BJ147" si="261">IF(BC126="","",$BJ$9)</f>
        <v>0</v>
      </c>
      <c r="BK126" s="431">
        <f t="shared" ref="BK126:BK147" si="262">IF(BJ126="","",IF(BJ126&lt;&gt;0,"×",0))</f>
        <v>0</v>
      </c>
      <c r="BL126" s="250">
        <f t="shared" ref="BL126:BL147" si="263">IF(BK126="","",
IF(BJ126&lt;&gt;0,
IF(AND(BC126&gt;7,BC126&lt;=10),15,
IF(AND(BC126&gt;10,BC126&lt;=13),20,
IF(AND(BC126&gt;13,BC126&lt;=21),30,
IF(AND(BC126&gt;21,BC126&lt;=31),40,
IF(AND(BC126&gt;31,BC126&lt;=70),50,
IF(AND(BC126&gt;70,BC126&lt;=80),60,
"ошибка")))))),0))</f>
        <v>0</v>
      </c>
      <c r="BM126" s="237">
        <f t="shared" ref="BM126:BM147" si="264">IF(BL126="","",$BM$9)</f>
        <v>0</v>
      </c>
      <c r="BN126" s="452">
        <f t="shared" ref="BN126:BN147" si="265">IF(BH126="","",BH126+2*BI126*BJ126)</f>
        <v>3.3899999999999997</v>
      </c>
      <c r="BO126" s="237">
        <f t="shared" ref="BO126:BO147" si="266">IF(BN126="","",$BO$9)</f>
        <v>0</v>
      </c>
      <c r="BP126" s="432">
        <f t="shared" ref="BP126:BP147" si="267">IF(BO126="","",IF(BO126&gt;0,$BP$9,0))</f>
        <v>0</v>
      </c>
      <c r="BQ126" s="22" t="str">
        <f t="shared" ref="BQ126:BQ147" si="268">IF(BP126="","",IF(BP126&gt;0,"×",""))</f>
        <v/>
      </c>
      <c r="BR126" s="250">
        <f t="shared" ref="BR126:BR147" si="269">IF(BN126="","",IF(BO126=0,0,IF(BN126&lt;=19,30,IF(AND(BN126&gt;19,BN126&lt;=23),40,50))))</f>
        <v>0</v>
      </c>
      <c r="BS126" s="237">
        <f t="shared" ref="BS126:BS147" si="270">IF(BO126="","",IF(BO126=0,0,$BS$9))</f>
        <v>0</v>
      </c>
      <c r="BT126" s="452">
        <f t="shared" ref="BT126:BT147" si="271">IF(BN126="","",BN126+2*BO126*BP126*IF(BS126&lt;=25,1,IF(BS126&gt;33,2,1.5)))</f>
        <v>3.3899999999999997</v>
      </c>
      <c r="BU126" s="492">
        <f t="shared" ref="BU126:BU147" si="272">0.85*BV126-0.1</f>
        <v>0.92</v>
      </c>
      <c r="BV126" s="493">
        <f>IF(BT126="","",
IF(AND(BT126&gt;'Данные ТНПА'!$K$8,BT126&lt;='Данные ТНПА'!$L$8),'Данные ТНПА'!$N$8,
IF(AND(BT126&gt;'Данные ТНПА'!$K$9,BT126&lt;='Данные ТНПА'!$L$9),'Данные ТНПА'!$N$9,
IF(AND(BT126&gt;'Данные ТНПА'!$K$10,BT126&lt;='Данные ТНПА'!$L$10),'Данные ТНПА'!$N$10,
IF(AND(BT126&gt;'Данные ТНПА'!$K$11,BT126&lt;='Данные ТНПА'!$L$11),'Данные ТНПА'!$N$11,
IF(AND(BT126&gt;'Данные ТНПА'!$K$12,BT126&lt;='Данные ТНПА'!$L$12),'Данные ТНПА'!$N$12,
IF(AND(BT126&gt;'Данные ТНПА'!$K$13,BT126&lt;='Данные ТНПА'!$L$13),'Данные ТНПА'!$N$13,
IF(AND(BT126&gt;'Данные ТНПА'!$K$14,BT126&lt;='Данные ТНПА'!$L$14),'Данные ТНПА'!$N$14))))))))</f>
        <v>1.2</v>
      </c>
      <c r="BW126" s="493">
        <f t="shared" ref="BW126:BW147" si="273">BT126+2*BV126</f>
        <v>5.7899999999999991</v>
      </c>
      <c r="BX126" s="457">
        <f t="shared" si="169"/>
        <v>0</v>
      </c>
      <c r="BY126" s="457">
        <f t="shared" si="170"/>
        <v>142.24</v>
      </c>
      <c r="BZ126" s="457">
        <f t="shared" si="171"/>
        <v>11.067391095625339</v>
      </c>
      <c r="CA126" s="457" t="e">
        <f t="shared" ref="CA126:CA147" si="274">PI()*POWER(Y126,2)/4*$CA$9</f>
        <v>#REF!</v>
      </c>
      <c r="CB126" s="458">
        <f t="shared" ref="CB126:CB147" si="275">IF(AA126="","",
IF(AA126=2,SQRT((Z126*PI()/50)^2+1)*$CB$9*AA126,0))</f>
        <v>0</v>
      </c>
      <c r="CC126" s="457">
        <f t="shared" ref="CC126:CC147" si="276">PI()*(Z126+AC126*AD126)*AC126*AD126*$CC$9*ROUND(100/(100-AG126),2)</f>
        <v>0</v>
      </c>
      <c r="CD126" s="457">
        <f t="shared" ref="CD126:CD147" si="277">PI()*(AH126+AI126*AJ126)*AI126*AJ126*$CD$9*ROUND(100/(100-AM126),2)</f>
        <v>0</v>
      </c>
      <c r="CE126" s="457">
        <f t="shared" ref="CE126:CE147" si="278">PI()*(AN126+AO126*AP126)*AO126*AP126*$CE$9*ROUND(100/(100-AS126),2)</f>
        <v>0</v>
      </c>
      <c r="CF126" s="457">
        <f t="shared" ref="CF126:CF147" si="279">PI()*(AT126+AU126*AV126)*AU126*AV126*$CF$9*ROUND(100/(100-AY126),2)</f>
        <v>0</v>
      </c>
      <c r="CG126" s="458">
        <f t="shared" si="178"/>
        <v>0</v>
      </c>
      <c r="CH126" s="457">
        <f t="shared" ref="CH126:CH147" si="280">IF(BE126="","",
IF(BD126=0,0,
PI()*(BC126+BD126*BE126)*BD126*BE126*$CH$9*ROUND(100/(100-BG126),2)))</f>
        <v>0</v>
      </c>
      <c r="CI126" s="457">
        <f t="shared" ref="CI126:CI147" si="281">IF(BH126="","",
PI()*(BH126+BI126*BJ126)*BI126*BJ126*$CI$9*ROUND(100/(100+BM126),2))</f>
        <v>0</v>
      </c>
      <c r="CJ126" s="458">
        <f t="shared" ref="CJ126:CJ147" si="282">IF(BO126="","",PI()*(BN126+BO126*BP126)*BO126*BP126*$CJ$9*ROUND(100/(100-BS126),2))</f>
        <v>0</v>
      </c>
      <c r="CK126" s="458">
        <f t="shared" si="182"/>
        <v>25.194467241176074</v>
      </c>
      <c r="CL126" s="457">
        <f t="shared" si="183"/>
        <v>178.50185833680143</v>
      </c>
      <c r="CM126" s="504"/>
      <c r="CN126" s="504"/>
    </row>
    <row r="127" spans="1:92" ht="14.25" hidden="1" customHeight="1" x14ac:dyDescent="0.25">
      <c r="A127" s="389" t="str">
        <f>IF(D127="",CONCATENATE("Кабель ",IF(C127="а","А",""),$A$9),CONCATENATE("Кабель ",IF(C127="а","А",""),$A$9," ",D127,"*",F127,IF(G127="ок"," (ож)","")," - ",B127," ",IF(G127="мс"," фас. ",""),$A$2))</f>
        <v>Кабель ВВГ 1*25 - 1 ГОСТ 16442-80</v>
      </c>
      <c r="B127" s="450">
        <v>1</v>
      </c>
      <c r="C127" s="451" t="s">
        <v>163</v>
      </c>
      <c r="D127" s="412">
        <v>1</v>
      </c>
      <c r="E127" s="413" t="s">
        <v>40</v>
      </c>
      <c r="F127" s="423">
        <v>25</v>
      </c>
      <c r="G127" s="414" t="str">
        <f>IF(I127=1,"ок","мк")</f>
        <v>мк</v>
      </c>
      <c r="H127" s="461">
        <v>2.21</v>
      </c>
      <c r="I127" s="476">
        <v>7</v>
      </c>
      <c r="J127" s="477" t="s">
        <v>40</v>
      </c>
      <c r="K127" s="470">
        <f>ROUNDUP(SQRT(F127/I127/PI()*4*1.07),2)</f>
        <v>2.21</v>
      </c>
      <c r="L127" s="501">
        <v>1.79</v>
      </c>
      <c r="M127" s="475"/>
      <c r="N127" s="475"/>
      <c r="O127" s="475"/>
      <c r="P127" s="475"/>
      <c r="Q127" s="483">
        <f t="shared" si="234"/>
        <v>0.98000000000000009</v>
      </c>
      <c r="R127" s="484">
        <f>IF(B127=0.66,VLOOKUP(F127,'Данные ТНПА'!$B$8:$C$16,2,0),
IF(B127=1,VLOOKUP(F127,'Данные ТНПА'!$B$17:$C$37,2,0),"ошибка"))</f>
        <v>1.2</v>
      </c>
      <c r="S127" s="485">
        <f t="shared" si="120"/>
        <v>3.75</v>
      </c>
      <c r="T127" s="486"/>
      <c r="U127" s="487"/>
      <c r="V127" s="485">
        <f t="shared" si="121"/>
        <v>4.1899999999999995</v>
      </c>
      <c r="W127" s="486"/>
      <c r="X127" s="487"/>
      <c r="Y127" s="489">
        <f t="shared" si="122"/>
        <v>0</v>
      </c>
      <c r="Z127" s="491">
        <f t="shared" si="123"/>
        <v>4.1899999999999995</v>
      </c>
      <c r="AA127" s="237">
        <f t="shared" si="124"/>
        <v>0</v>
      </c>
      <c r="AB127" s="452">
        <f t="shared" si="235"/>
        <v>4.1899999999999995</v>
      </c>
      <c r="AC127" s="201">
        <f t="shared" si="126"/>
        <v>0</v>
      </c>
      <c r="AD127" s="203">
        <f t="shared" si="236"/>
        <v>0</v>
      </c>
      <c r="AE127" s="37" t="str">
        <f t="shared" si="128"/>
        <v/>
      </c>
      <c r="AF127" s="202">
        <f t="shared" si="237"/>
        <v>0</v>
      </c>
      <c r="AG127" s="201">
        <f t="shared" si="238"/>
        <v>0</v>
      </c>
      <c r="AH127" s="61">
        <f t="shared" si="131"/>
        <v>4.1899999999999995</v>
      </c>
      <c r="AI127" s="443">
        <f t="shared" si="233"/>
        <v>0</v>
      </c>
      <c r="AJ127" s="444">
        <f t="shared" si="239"/>
        <v>0</v>
      </c>
      <c r="AK127" s="445">
        <f t="shared" si="240"/>
        <v>0</v>
      </c>
      <c r="AL127" s="446">
        <f t="shared" si="241"/>
        <v>0</v>
      </c>
      <c r="AM127" s="447">
        <f t="shared" si="242"/>
        <v>0</v>
      </c>
      <c r="AN127" s="24">
        <f t="shared" si="243"/>
        <v>4.1899999999999995</v>
      </c>
      <c r="AO127" s="443">
        <f t="shared" si="137"/>
        <v>0</v>
      </c>
      <c r="AP127" s="444">
        <f t="shared" si="244"/>
        <v>0</v>
      </c>
      <c r="AQ127" s="445">
        <f t="shared" si="245"/>
        <v>0</v>
      </c>
      <c r="AR127" s="446">
        <f t="shared" si="246"/>
        <v>0</v>
      </c>
      <c r="AS127" s="447">
        <f t="shared" si="247"/>
        <v>0</v>
      </c>
      <c r="AT127" s="24">
        <f t="shared" si="248"/>
        <v>4.1899999999999995</v>
      </c>
      <c r="AU127" s="443">
        <f t="shared" si="143"/>
        <v>0</v>
      </c>
      <c r="AV127" s="444">
        <f t="shared" si="249"/>
        <v>0</v>
      </c>
      <c r="AW127" s="445">
        <f t="shared" si="250"/>
        <v>0</v>
      </c>
      <c r="AX127" s="446">
        <f t="shared" si="251"/>
        <v>0</v>
      </c>
      <c r="AY127" s="447">
        <f t="shared" si="252"/>
        <v>0</v>
      </c>
      <c r="AZ127" s="24">
        <f t="shared" si="253"/>
        <v>4.1899999999999995</v>
      </c>
      <c r="BA127" s="43">
        <f>IF(BB127=0,0,
IF(D127=1,
(IF(AND(AH127&gt;'Данные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"ошибка_1"))))))),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"ошибка_2"))))))))</f>
        <v>0</v>
      </c>
      <c r="BB127" s="43">
        <f>IF(OR($AI$9=0,AND(D127&gt;1,F127&gt;10)),0,
IF(D127=1,
(IF(AND(AH127&gt;'Данные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"ошибка_1"))))))),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IF(AND(AH127&gt;'Данные ТНПА'!#REF!,AH127&lt;='Данные ТНПА'!#REF!),'Данные ТНПА'!#REF!,
"ошибка_2"))))))))</f>
        <v>0</v>
      </c>
      <c r="BC127" s="43">
        <f t="shared" si="254"/>
        <v>4.1899999999999995</v>
      </c>
      <c r="BD127" s="237">
        <f t="shared" si="255"/>
        <v>0</v>
      </c>
      <c r="BE127" s="43">
        <f t="shared" si="256"/>
        <v>0</v>
      </c>
      <c r="BF127" s="201">
        <f t="shared" si="257"/>
        <v>0</v>
      </c>
      <c r="BG127" s="201">
        <f t="shared" si="258"/>
        <v>0</v>
      </c>
      <c r="BH127" s="61">
        <f t="shared" si="259"/>
        <v>4.1899999999999995</v>
      </c>
      <c r="BI127" s="237">
        <f t="shared" si="260"/>
        <v>0</v>
      </c>
      <c r="BJ127" s="247">
        <f t="shared" si="261"/>
        <v>0</v>
      </c>
      <c r="BK127" s="431">
        <f t="shared" si="262"/>
        <v>0</v>
      </c>
      <c r="BL127" s="250">
        <f t="shared" si="263"/>
        <v>0</v>
      </c>
      <c r="BM127" s="237">
        <f t="shared" si="264"/>
        <v>0</v>
      </c>
      <c r="BN127" s="452">
        <f t="shared" si="265"/>
        <v>4.1899999999999995</v>
      </c>
      <c r="BO127" s="237">
        <f t="shared" si="266"/>
        <v>0</v>
      </c>
      <c r="BP127" s="432">
        <f t="shared" si="267"/>
        <v>0</v>
      </c>
      <c r="BQ127" s="22" t="str">
        <f t="shared" si="268"/>
        <v/>
      </c>
      <c r="BR127" s="250">
        <f t="shared" si="269"/>
        <v>0</v>
      </c>
      <c r="BS127" s="237">
        <f t="shared" si="270"/>
        <v>0</v>
      </c>
      <c r="BT127" s="452">
        <f t="shared" si="271"/>
        <v>4.1899999999999995</v>
      </c>
      <c r="BU127" s="492">
        <f t="shared" si="272"/>
        <v>0.92</v>
      </c>
      <c r="BV127" s="493">
        <f>IF(BT127="","",
IF(AND(BT127&gt;'Данные ТНПА'!$K$8,BT127&lt;='Данные ТНПА'!$L$8),'Данные ТНПА'!$N$8,
IF(AND(BT127&gt;'Данные ТНПА'!$K$9,BT127&lt;='Данные ТНПА'!$L$9),'Данные ТНПА'!$N$9,
IF(AND(BT127&gt;'Данные ТНПА'!$K$10,BT127&lt;='Данные ТНПА'!$L$10),'Данные ТНПА'!$N$10,
IF(AND(BT127&gt;'Данные ТНПА'!$K$11,BT127&lt;='Данные ТНПА'!$L$11),'Данные ТНПА'!$N$11,
IF(AND(BT127&gt;'Данные ТНПА'!$K$12,BT127&lt;='Данные ТНПА'!$L$12),'Данные ТНПА'!$N$12,
IF(AND(BT127&gt;'Данные ТНПА'!$K$13,BT127&lt;='Данные ТНПА'!$L$13),'Данные ТНПА'!$N$13,
IF(AND(BT127&gt;'Данные ТНПА'!$K$14,BT127&lt;='Данные ТНПА'!$L$14),'Данные ТНПА'!$N$14))))))))</f>
        <v>1.2</v>
      </c>
      <c r="BW127" s="493">
        <f t="shared" si="273"/>
        <v>6.59</v>
      </c>
      <c r="BX127" s="457">
        <f t="shared" si="169"/>
        <v>0</v>
      </c>
      <c r="BY127" s="457">
        <f t="shared" si="170"/>
        <v>222.25</v>
      </c>
      <c r="BZ127" s="457">
        <f t="shared" si="171"/>
        <v>16.614978766152184</v>
      </c>
      <c r="CA127" s="457" t="e">
        <f t="shared" si="274"/>
        <v>#REF!</v>
      </c>
      <c r="CB127" s="458">
        <f t="shared" si="275"/>
        <v>0</v>
      </c>
      <c r="CC127" s="457">
        <f t="shared" si="276"/>
        <v>0</v>
      </c>
      <c r="CD127" s="457">
        <f t="shared" si="277"/>
        <v>0</v>
      </c>
      <c r="CE127" s="457">
        <f t="shared" si="278"/>
        <v>0</v>
      </c>
      <c r="CF127" s="457">
        <f t="shared" si="279"/>
        <v>0</v>
      </c>
      <c r="CG127" s="458">
        <f t="shared" si="178"/>
        <v>0</v>
      </c>
      <c r="CH127" s="457">
        <f t="shared" si="280"/>
        <v>0</v>
      </c>
      <c r="CI127" s="457">
        <f t="shared" si="281"/>
        <v>0</v>
      </c>
      <c r="CJ127" s="458">
        <f t="shared" si="282"/>
        <v>0</v>
      </c>
      <c r="CK127" s="458">
        <f t="shared" si="182"/>
        <v>29.585659788657743</v>
      </c>
      <c r="CL127" s="457">
        <f t="shared" si="183"/>
        <v>268.45063855480993</v>
      </c>
      <c r="CM127" s="504"/>
      <c r="CN127" s="504"/>
    </row>
    <row r="128" spans="1:92" ht="14.25" hidden="1" customHeight="1" x14ac:dyDescent="0.25">
      <c r="A128" s="389" t="str">
        <f>IF(D128="",CONCATENATE("Кабель ",IF(C128="а","А",""),$A$9),CONCATENATE("Кабель ",IF(C128="а","А",""),$A$9," ",D128,"*",F128,IF(G128="ок"," (ож)","")," - ",B128," ",IF(G128="мс"," фас. ",""),$A$2))</f>
        <v>Кабель ВВГ 1*35 - 1 ГОСТ 16442-80</v>
      </c>
      <c r="B128" s="450">
        <v>1</v>
      </c>
      <c r="C128" s="451" t="s">
        <v>163</v>
      </c>
      <c r="D128" s="412">
        <v>1</v>
      </c>
      <c r="E128" s="413" t="s">
        <v>40</v>
      </c>
      <c r="F128" s="423">
        <v>35</v>
      </c>
      <c r="G128" s="414" t="s">
        <v>154</v>
      </c>
      <c r="H128" s="461">
        <v>2.61</v>
      </c>
      <c r="I128" s="478">
        <v>7</v>
      </c>
      <c r="J128" s="477" t="s">
        <v>40</v>
      </c>
      <c r="K128" s="470">
        <f>ROUNDUP(SQRT(F128/I128/PI()*4*1.07),2)</f>
        <v>2.61</v>
      </c>
      <c r="L128" s="501">
        <v>2.2599999999999998</v>
      </c>
      <c r="M128" s="475"/>
      <c r="N128" s="475"/>
      <c r="O128" s="475"/>
      <c r="P128" s="475"/>
      <c r="Q128" s="483">
        <f t="shared" si="234"/>
        <v>0.98000000000000009</v>
      </c>
      <c r="R128" s="484">
        <f>IF(B128=0.66,VLOOKUP(F128,'Данные ТНПА'!$B$8:$C$16,2,0),
IF(B128=1,VLOOKUP(F128,'Данные ТНПА'!$B$17:$C$37,2,0),"ошибка"))</f>
        <v>1.2</v>
      </c>
      <c r="S128" s="485">
        <f t="shared" si="120"/>
        <v>4.22</v>
      </c>
      <c r="T128" s="486"/>
      <c r="U128" s="487"/>
      <c r="V128" s="485">
        <f t="shared" si="121"/>
        <v>4.66</v>
      </c>
      <c r="W128" s="486"/>
      <c r="X128" s="487"/>
      <c r="Y128" s="489">
        <f t="shared" si="122"/>
        <v>0</v>
      </c>
      <c r="Z128" s="491">
        <f t="shared" si="123"/>
        <v>4.66</v>
      </c>
      <c r="AA128" s="237">
        <f t="shared" si="124"/>
        <v>0</v>
      </c>
      <c r="AB128" s="452">
        <f t="shared" si="235"/>
        <v>4.66</v>
      </c>
      <c r="AC128" s="201">
        <f t="shared" si="126"/>
        <v>0</v>
      </c>
      <c r="AD128" s="203">
        <f t="shared" si="236"/>
        <v>0</v>
      </c>
      <c r="AE128" s="37" t="str">
        <f t="shared" si="128"/>
        <v/>
      </c>
      <c r="AF128" s="202">
        <f t="shared" si="237"/>
        <v>0</v>
      </c>
      <c r="AG128" s="201">
        <f t="shared" si="238"/>
        <v>0</v>
      </c>
      <c r="AH128" s="61">
        <f t="shared" si="131"/>
        <v>4.66</v>
      </c>
      <c r="AI128" s="443">
        <f t="shared" si="233"/>
        <v>0</v>
      </c>
      <c r="AJ128" s="444">
        <f t="shared" si="239"/>
        <v>0</v>
      </c>
      <c r="AK128" s="445">
        <f t="shared" si="240"/>
        <v>0</v>
      </c>
      <c r="AL128" s="446">
        <f t="shared" si="241"/>
        <v>0</v>
      </c>
      <c r="AM128" s="447">
        <f t="shared" si="242"/>
        <v>0</v>
      </c>
      <c r="AN128" s="24">
        <f t="shared" si="243"/>
        <v>4.66</v>
      </c>
      <c r="AO128" s="443">
        <f t="shared" si="137"/>
        <v>0</v>
      </c>
      <c r="AP128" s="444">
        <f t="shared" si="244"/>
        <v>0</v>
      </c>
      <c r="AQ128" s="445">
        <f t="shared" si="245"/>
        <v>0</v>
      </c>
      <c r="AR128" s="446">
        <f t="shared" si="246"/>
        <v>0</v>
      </c>
      <c r="AS128" s="447">
        <f t="shared" si="247"/>
        <v>0</v>
      </c>
      <c r="AT128" s="24">
        <f t="shared" si="248"/>
        <v>4.66</v>
      </c>
      <c r="AU128" s="443">
        <f t="shared" si="143"/>
        <v>0</v>
      </c>
      <c r="AV128" s="444">
        <f t="shared" si="249"/>
        <v>0</v>
      </c>
      <c r="AW128" s="445">
        <f t="shared" si="250"/>
        <v>0</v>
      </c>
      <c r="AX128" s="446">
        <f t="shared" si="251"/>
        <v>0</v>
      </c>
      <c r="AY128" s="447">
        <f t="shared" si="252"/>
        <v>0</v>
      </c>
      <c r="AZ128" s="24">
        <f t="shared" si="253"/>
        <v>4.66</v>
      </c>
      <c r="BA128" s="43">
        <f>IF(BB128=0,0,
IF(D128=1,
(IF(AND(AH128&gt;'Данные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"ошибка_1"))))))),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"ошибка_2"))))))))</f>
        <v>0</v>
      </c>
      <c r="BB128" s="43">
        <f>IF(OR($AI$9=0,AND(D128&gt;1,F128&gt;10)),0,
IF(D128=1,
(IF(AND(AH128&gt;'Данные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"ошибка_1"))))))),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IF(AND(AH128&gt;'Данные ТНПА'!#REF!,AH128&lt;='Данные ТНПА'!#REF!),'Данные ТНПА'!#REF!,
"ошибка_2"))))))))</f>
        <v>0</v>
      </c>
      <c r="BC128" s="43">
        <f t="shared" si="254"/>
        <v>4.66</v>
      </c>
      <c r="BD128" s="237">
        <f t="shared" si="255"/>
        <v>0</v>
      </c>
      <c r="BE128" s="43">
        <f t="shared" si="256"/>
        <v>0</v>
      </c>
      <c r="BF128" s="201">
        <f t="shared" si="257"/>
        <v>0</v>
      </c>
      <c r="BG128" s="201">
        <f t="shared" si="258"/>
        <v>0</v>
      </c>
      <c r="BH128" s="61">
        <f t="shared" si="259"/>
        <v>4.66</v>
      </c>
      <c r="BI128" s="237">
        <f t="shared" si="260"/>
        <v>0</v>
      </c>
      <c r="BJ128" s="247">
        <f t="shared" si="261"/>
        <v>0</v>
      </c>
      <c r="BK128" s="431">
        <f t="shared" si="262"/>
        <v>0</v>
      </c>
      <c r="BL128" s="250">
        <f t="shared" si="263"/>
        <v>0</v>
      </c>
      <c r="BM128" s="237">
        <f t="shared" si="264"/>
        <v>0</v>
      </c>
      <c r="BN128" s="452">
        <f t="shared" si="265"/>
        <v>4.66</v>
      </c>
      <c r="BO128" s="237">
        <f t="shared" si="266"/>
        <v>0</v>
      </c>
      <c r="BP128" s="432">
        <f t="shared" si="267"/>
        <v>0</v>
      </c>
      <c r="BQ128" s="22" t="str">
        <f t="shared" si="268"/>
        <v/>
      </c>
      <c r="BR128" s="250">
        <f t="shared" si="269"/>
        <v>0</v>
      </c>
      <c r="BS128" s="237">
        <f t="shared" si="270"/>
        <v>0</v>
      </c>
      <c r="BT128" s="452">
        <f t="shared" si="271"/>
        <v>4.66</v>
      </c>
      <c r="BU128" s="492">
        <f t="shared" si="272"/>
        <v>0.92</v>
      </c>
      <c r="BV128" s="493">
        <f>IF(BT128="","",
IF(AND(BT128&gt;'Данные ТНПА'!$K$8,BT128&lt;='Данные ТНПА'!$L$8),'Данные ТНПА'!$N$8,
IF(AND(BT128&gt;'Данные ТНПА'!$K$9,BT128&lt;='Данные ТНПА'!$L$9),'Данные ТНПА'!$N$9,
IF(AND(BT128&gt;'Данные ТНПА'!$K$10,BT128&lt;='Данные ТНПА'!$L$10),'Данные ТНПА'!$N$10,
IF(AND(BT128&gt;'Данные ТНПА'!$K$11,BT128&lt;='Данные ТНПА'!$L$11),'Данные ТНПА'!$N$11,
IF(AND(BT128&gt;'Данные ТНПА'!$K$12,BT128&lt;='Данные ТНПА'!$L$12),'Данные ТНПА'!$N$12,
IF(AND(BT128&gt;'Данные ТНПА'!$K$13,BT128&lt;='Данные ТНПА'!$L$13),'Данные ТНПА'!$N$13,
IF(AND(BT128&gt;'Данные ТНПА'!$K$14,BT128&lt;='Данные ТНПА'!$L$14),'Данные ТНПА'!$N$14))))))))</f>
        <v>1.2</v>
      </c>
      <c r="BW128" s="493">
        <f t="shared" si="273"/>
        <v>7.0600000000000005</v>
      </c>
      <c r="BX128" s="457">
        <f t="shared" si="169"/>
        <v>0</v>
      </c>
      <c r="BY128" s="457">
        <f t="shared" si="170"/>
        <v>311.15000000000003</v>
      </c>
      <c r="BZ128" s="457">
        <f t="shared" si="171"/>
        <v>19.226697836416907</v>
      </c>
      <c r="CA128" s="457" t="e">
        <f t="shared" si="274"/>
        <v>#REF!</v>
      </c>
      <c r="CB128" s="458">
        <f t="shared" si="275"/>
        <v>0</v>
      </c>
      <c r="CC128" s="457">
        <f t="shared" si="276"/>
        <v>0</v>
      </c>
      <c r="CD128" s="457">
        <f t="shared" si="277"/>
        <v>0</v>
      </c>
      <c r="CE128" s="457">
        <f t="shared" si="278"/>
        <v>0</v>
      </c>
      <c r="CF128" s="457">
        <f t="shared" si="279"/>
        <v>0</v>
      </c>
      <c r="CG128" s="458">
        <f t="shared" si="178"/>
        <v>0</v>
      </c>
      <c r="CH128" s="457">
        <f t="shared" si="280"/>
        <v>0</v>
      </c>
      <c r="CI128" s="457">
        <f t="shared" si="281"/>
        <v>0</v>
      </c>
      <c r="CJ128" s="458">
        <f t="shared" si="282"/>
        <v>0</v>
      </c>
      <c r="CK128" s="458">
        <f t="shared" si="182"/>
        <v>32.165485410303226</v>
      </c>
      <c r="CL128" s="457">
        <f t="shared" si="183"/>
        <v>362.54218324672019</v>
      </c>
      <c r="CM128" s="504"/>
      <c r="CN128" s="504"/>
    </row>
    <row r="129" spans="1:92" ht="14.25" hidden="1" customHeight="1" x14ac:dyDescent="0.25">
      <c r="A129" s="389" t="str">
        <f>IF(D129="",CONCATENATE("Кабель ",IF(C129="а","А",""),$A$9),CONCATENATE("Кабель ",IF(C129="а","А",""),$A$9," ",D129,"*",F129,IF(G129="ок"," (ож)","")," - ",B129," ",IF(G129="мс"," фас. ",""),$A$2))</f>
        <v>Кабель ВВГ 1*50 - 1 ГОСТ 16442-80</v>
      </c>
      <c r="B129" s="450">
        <v>1</v>
      </c>
      <c r="C129" s="451" t="s">
        <v>163</v>
      </c>
      <c r="D129" s="412">
        <v>1</v>
      </c>
      <c r="E129" s="413" t="s">
        <v>40</v>
      </c>
      <c r="F129" s="423">
        <v>50</v>
      </c>
      <c r="G129" s="414" t="s">
        <v>154</v>
      </c>
      <c r="H129" s="461">
        <v>3.1199999999999997</v>
      </c>
      <c r="I129" s="478">
        <v>7</v>
      </c>
      <c r="J129" s="477" t="s">
        <v>40</v>
      </c>
      <c r="K129" s="470">
        <f>ROUNDUP(SQRT(F129/I129/PI()*4*1.07),2)</f>
        <v>3.1199999999999997</v>
      </c>
      <c r="L129" s="501">
        <v>2.7699999999999996</v>
      </c>
      <c r="M129" s="475"/>
      <c r="N129" s="475"/>
      <c r="O129" s="475"/>
      <c r="P129" s="475"/>
      <c r="Q129" s="483">
        <f t="shared" si="234"/>
        <v>1.1599999999999999</v>
      </c>
      <c r="R129" s="484">
        <f>IF(B129=0.66,VLOOKUP(F129,'Данные ТНПА'!$B$8:$C$16,2,0),
IF(B129=1,VLOOKUP(F129,'Данные ТНПА'!$B$17:$C$37,2,0),"ошибка"))</f>
        <v>1.4</v>
      </c>
      <c r="S129" s="485">
        <f t="shared" si="120"/>
        <v>5.09</v>
      </c>
      <c r="T129" s="486"/>
      <c r="U129" s="487"/>
      <c r="V129" s="485">
        <f t="shared" si="121"/>
        <v>5.5699999999999994</v>
      </c>
      <c r="W129" s="486"/>
      <c r="X129" s="487"/>
      <c r="Y129" s="489">
        <f t="shared" si="122"/>
        <v>0</v>
      </c>
      <c r="Z129" s="491">
        <f t="shared" si="123"/>
        <v>5.5699999999999994</v>
      </c>
      <c r="AA129" s="237">
        <f t="shared" si="124"/>
        <v>0</v>
      </c>
      <c r="AB129" s="452">
        <f t="shared" si="235"/>
        <v>5.5699999999999994</v>
      </c>
      <c r="AC129" s="201">
        <f t="shared" si="126"/>
        <v>0</v>
      </c>
      <c r="AD129" s="203">
        <f t="shared" si="236"/>
        <v>0</v>
      </c>
      <c r="AE129" s="37" t="str">
        <f t="shared" si="128"/>
        <v/>
      </c>
      <c r="AF129" s="202">
        <f t="shared" si="237"/>
        <v>0</v>
      </c>
      <c r="AG129" s="201">
        <f t="shared" si="238"/>
        <v>0</v>
      </c>
      <c r="AH129" s="61">
        <f t="shared" si="131"/>
        <v>5.5699999999999994</v>
      </c>
      <c r="AI129" s="443">
        <f t="shared" si="233"/>
        <v>0</v>
      </c>
      <c r="AJ129" s="444">
        <f t="shared" si="239"/>
        <v>0</v>
      </c>
      <c r="AK129" s="445">
        <f t="shared" si="240"/>
        <v>0</v>
      </c>
      <c r="AL129" s="446">
        <f t="shared" si="241"/>
        <v>0</v>
      </c>
      <c r="AM129" s="447">
        <f t="shared" si="242"/>
        <v>0</v>
      </c>
      <c r="AN129" s="24">
        <f t="shared" si="243"/>
        <v>5.5699999999999994</v>
      </c>
      <c r="AO129" s="443">
        <f t="shared" si="137"/>
        <v>0</v>
      </c>
      <c r="AP129" s="444">
        <f t="shared" si="244"/>
        <v>0</v>
      </c>
      <c r="AQ129" s="445">
        <f t="shared" si="245"/>
        <v>0</v>
      </c>
      <c r="AR129" s="446">
        <f t="shared" si="246"/>
        <v>0</v>
      </c>
      <c r="AS129" s="447">
        <f t="shared" si="247"/>
        <v>0</v>
      </c>
      <c r="AT129" s="24">
        <f t="shared" si="248"/>
        <v>5.5699999999999994</v>
      </c>
      <c r="AU129" s="443">
        <f t="shared" si="143"/>
        <v>0</v>
      </c>
      <c r="AV129" s="444">
        <f t="shared" si="249"/>
        <v>0</v>
      </c>
      <c r="AW129" s="445">
        <f t="shared" si="250"/>
        <v>0</v>
      </c>
      <c r="AX129" s="446">
        <f t="shared" si="251"/>
        <v>0</v>
      </c>
      <c r="AY129" s="447">
        <f t="shared" si="252"/>
        <v>0</v>
      </c>
      <c r="AZ129" s="24">
        <f t="shared" si="253"/>
        <v>5.5699999999999994</v>
      </c>
      <c r="BA129" s="43">
        <f>IF(BB129=0,0,
IF(D129=1,
(IF(AND(AH129&gt;'Данные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"ошибка_1"))))))),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"ошибка_2"))))))))</f>
        <v>0</v>
      </c>
      <c r="BB129" s="43">
        <f>IF(OR($AI$9=0,AND(D129&gt;1,F129&gt;10)),0,
IF(D129=1,
(IF(AND(AH129&gt;'Данные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"ошибка_1"))))))),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IF(AND(AH129&gt;'Данные ТНПА'!#REF!,AH129&lt;='Данные ТНПА'!#REF!),'Данные ТНПА'!#REF!,
"ошибка_2"))))))))</f>
        <v>0</v>
      </c>
      <c r="BC129" s="43">
        <f t="shared" si="254"/>
        <v>5.5699999999999994</v>
      </c>
      <c r="BD129" s="237">
        <f t="shared" si="255"/>
        <v>0</v>
      </c>
      <c r="BE129" s="43">
        <f t="shared" si="256"/>
        <v>0</v>
      </c>
      <c r="BF129" s="201">
        <f t="shared" si="257"/>
        <v>0</v>
      </c>
      <c r="BG129" s="201">
        <f t="shared" si="258"/>
        <v>0</v>
      </c>
      <c r="BH129" s="61">
        <f t="shared" si="259"/>
        <v>5.5699999999999994</v>
      </c>
      <c r="BI129" s="237">
        <f t="shared" si="260"/>
        <v>0</v>
      </c>
      <c r="BJ129" s="247">
        <f t="shared" si="261"/>
        <v>0</v>
      </c>
      <c r="BK129" s="431">
        <f t="shared" si="262"/>
        <v>0</v>
      </c>
      <c r="BL129" s="250">
        <f t="shared" si="263"/>
        <v>0</v>
      </c>
      <c r="BM129" s="237">
        <f t="shared" si="264"/>
        <v>0</v>
      </c>
      <c r="BN129" s="452">
        <f t="shared" si="265"/>
        <v>5.5699999999999994</v>
      </c>
      <c r="BO129" s="237">
        <f t="shared" si="266"/>
        <v>0</v>
      </c>
      <c r="BP129" s="432">
        <f t="shared" si="267"/>
        <v>0</v>
      </c>
      <c r="BQ129" s="22" t="str">
        <f t="shared" si="268"/>
        <v/>
      </c>
      <c r="BR129" s="250">
        <f t="shared" si="269"/>
        <v>0</v>
      </c>
      <c r="BS129" s="237">
        <f t="shared" si="270"/>
        <v>0</v>
      </c>
      <c r="BT129" s="452">
        <f t="shared" si="271"/>
        <v>5.5699999999999994</v>
      </c>
      <c r="BU129" s="492">
        <f t="shared" si="272"/>
        <v>0.92</v>
      </c>
      <c r="BV129" s="493">
        <f>IF(BT129="","",
IF(AND(BT129&gt;'Данные ТНПА'!$K$8,BT129&lt;='Данные ТНПА'!$L$8),'Данные ТНПА'!$N$8,
IF(AND(BT129&gt;'Данные ТНПА'!$K$9,BT129&lt;='Данные ТНПА'!$L$9),'Данные ТНПА'!$N$9,
IF(AND(BT129&gt;'Данные ТНПА'!$K$10,BT129&lt;='Данные ТНПА'!$L$10),'Данные ТНПА'!$N$10,
IF(AND(BT129&gt;'Данные ТНПА'!$K$11,BT129&lt;='Данные ТНПА'!$L$11),'Данные ТНПА'!$N$11,
IF(AND(BT129&gt;'Данные ТНПА'!$K$12,BT129&lt;='Данные ТНПА'!$L$12),'Данные ТНПА'!$N$12,
IF(AND(BT129&gt;'Данные ТНПА'!$K$13,BT129&lt;='Данные ТНПА'!$L$13),'Данные ТНПА'!$N$13,
IF(AND(BT129&gt;'Данные ТНПА'!$K$14,BT129&lt;='Данные ТНПА'!$L$14),'Данные ТНПА'!$N$14))))))))</f>
        <v>1.2</v>
      </c>
      <c r="BW129" s="493">
        <f t="shared" si="273"/>
        <v>7.9699999999999989</v>
      </c>
      <c r="BX129" s="457">
        <f t="shared" si="169"/>
        <v>0</v>
      </c>
      <c r="BY129" s="457">
        <f t="shared" si="170"/>
        <v>444.5</v>
      </c>
      <c r="BZ129" s="457">
        <f t="shared" si="171"/>
        <v>27.034070801782736</v>
      </c>
      <c r="CA129" s="457" t="e">
        <f t="shared" si="274"/>
        <v>#REF!</v>
      </c>
      <c r="CB129" s="458">
        <f t="shared" si="275"/>
        <v>0</v>
      </c>
      <c r="CC129" s="457">
        <f t="shared" si="276"/>
        <v>0</v>
      </c>
      <c r="CD129" s="457">
        <f t="shared" si="277"/>
        <v>0</v>
      </c>
      <c r="CE129" s="457">
        <f t="shared" si="278"/>
        <v>0</v>
      </c>
      <c r="CF129" s="457">
        <f t="shared" si="279"/>
        <v>0</v>
      </c>
      <c r="CG129" s="458">
        <f t="shared" si="178"/>
        <v>0</v>
      </c>
      <c r="CH129" s="457">
        <f t="shared" si="280"/>
        <v>0</v>
      </c>
      <c r="CI129" s="457">
        <f t="shared" si="281"/>
        <v>0</v>
      </c>
      <c r="CJ129" s="458">
        <f t="shared" si="282"/>
        <v>0</v>
      </c>
      <c r="CK129" s="458">
        <f t="shared" si="182"/>
        <v>37.160466933063617</v>
      </c>
      <c r="CL129" s="457">
        <f t="shared" si="183"/>
        <v>508.69453773484634</v>
      </c>
      <c r="CM129" s="504"/>
      <c r="CN129" s="504"/>
    </row>
    <row r="130" spans="1:92" ht="14.25" hidden="1" customHeight="1" x14ac:dyDescent="0.25">
      <c r="A130" s="389" t="str">
        <f>IF(D130="",CONCATENATE("Кабель ",IF(C130="а","А",""),$A$9),CONCATENATE("Кабель ",IF(C130="а","А",""),$A$9," ",D130,"*",F130,IF(G130="ок"," (ож)","")," - ",B130," ",IF(G130="мс"," фас. ",""),$A$2))</f>
        <v>Кабель ВВГ 1*70 - 1 ГОСТ 16442-80</v>
      </c>
      <c r="B130" s="450">
        <v>1</v>
      </c>
      <c r="C130" s="451" t="s">
        <v>163</v>
      </c>
      <c r="D130" s="412">
        <v>1</v>
      </c>
      <c r="E130" s="413" t="s">
        <v>40</v>
      </c>
      <c r="F130" s="423">
        <v>70</v>
      </c>
      <c r="G130" s="414" t="s">
        <v>154</v>
      </c>
      <c r="H130" s="461">
        <v>2.25</v>
      </c>
      <c r="I130" s="478">
        <v>19</v>
      </c>
      <c r="J130" s="477" t="s">
        <v>40</v>
      </c>
      <c r="K130" s="470">
        <f>ROUNDUP(SQRT(F130/I130/PI()*4*1.07),2)</f>
        <v>2.25</v>
      </c>
      <c r="L130" s="501">
        <v>3.57</v>
      </c>
      <c r="M130" s="475"/>
      <c r="N130" s="475"/>
      <c r="O130" s="475"/>
      <c r="P130" s="475"/>
      <c r="Q130" s="483">
        <f t="shared" si="234"/>
        <v>1.1599999999999999</v>
      </c>
      <c r="R130" s="484">
        <f>IF(B130=0.66,VLOOKUP(F130,'Данные ТНПА'!$B$8:$C$16,2,0),
IF(B130=1,VLOOKUP(F130,'Данные ТНПА'!$B$17:$C$37,2,0),"ошибка"))</f>
        <v>1.4</v>
      </c>
      <c r="S130" s="485">
        <f t="shared" si="120"/>
        <v>5.89</v>
      </c>
      <c r="T130" s="486"/>
      <c r="U130" s="487"/>
      <c r="V130" s="485">
        <f t="shared" si="121"/>
        <v>6.3699999999999992</v>
      </c>
      <c r="W130" s="486"/>
      <c r="X130" s="487"/>
      <c r="Y130" s="489">
        <f t="shared" si="122"/>
        <v>0</v>
      </c>
      <c r="Z130" s="491">
        <f t="shared" si="123"/>
        <v>6.3699999999999992</v>
      </c>
      <c r="AA130" s="237">
        <f t="shared" si="124"/>
        <v>0</v>
      </c>
      <c r="AB130" s="452">
        <f t="shared" si="235"/>
        <v>6.3699999999999992</v>
      </c>
      <c r="AC130" s="201">
        <f t="shared" si="126"/>
        <v>0</v>
      </c>
      <c r="AD130" s="203">
        <f t="shared" si="236"/>
        <v>0</v>
      </c>
      <c r="AE130" s="37" t="str">
        <f t="shared" si="128"/>
        <v/>
      </c>
      <c r="AF130" s="202">
        <f t="shared" si="237"/>
        <v>0</v>
      </c>
      <c r="AG130" s="201">
        <f t="shared" si="238"/>
        <v>0</v>
      </c>
      <c r="AH130" s="61">
        <f t="shared" si="131"/>
        <v>6.3699999999999992</v>
      </c>
      <c r="AI130" s="443">
        <f t="shared" si="233"/>
        <v>0</v>
      </c>
      <c r="AJ130" s="444">
        <f t="shared" si="239"/>
        <v>0</v>
      </c>
      <c r="AK130" s="445">
        <f t="shared" si="240"/>
        <v>0</v>
      </c>
      <c r="AL130" s="446">
        <f t="shared" si="241"/>
        <v>0</v>
      </c>
      <c r="AM130" s="447">
        <f t="shared" si="242"/>
        <v>0</v>
      </c>
      <c r="AN130" s="24">
        <f t="shared" si="243"/>
        <v>6.3699999999999992</v>
      </c>
      <c r="AO130" s="443">
        <f t="shared" si="137"/>
        <v>0</v>
      </c>
      <c r="AP130" s="444">
        <f t="shared" si="244"/>
        <v>0</v>
      </c>
      <c r="AQ130" s="445">
        <f t="shared" si="245"/>
        <v>0</v>
      </c>
      <c r="AR130" s="446">
        <f t="shared" si="246"/>
        <v>0</v>
      </c>
      <c r="AS130" s="447">
        <f t="shared" si="247"/>
        <v>0</v>
      </c>
      <c r="AT130" s="24">
        <f t="shared" si="248"/>
        <v>6.3699999999999992</v>
      </c>
      <c r="AU130" s="443">
        <f t="shared" si="143"/>
        <v>0</v>
      </c>
      <c r="AV130" s="444">
        <f t="shared" si="249"/>
        <v>0</v>
      </c>
      <c r="AW130" s="445">
        <f t="shared" si="250"/>
        <v>0</v>
      </c>
      <c r="AX130" s="446">
        <f t="shared" si="251"/>
        <v>0</v>
      </c>
      <c r="AY130" s="447">
        <f t="shared" si="252"/>
        <v>0</v>
      </c>
      <c r="AZ130" s="24">
        <f t="shared" si="253"/>
        <v>6.3699999999999992</v>
      </c>
      <c r="BA130" s="43">
        <f>IF(BB130=0,0,
IF(D130=1,
(IF(AND(AH130&gt;'Данные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"ошибка_1"))))))),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"ошибка_2"))))))))</f>
        <v>0</v>
      </c>
      <c r="BB130" s="43">
        <f>IF(OR($AI$9=0,AND(D130&gt;1,F130&gt;10)),0,
IF(D130=1,
(IF(AND(AH130&gt;'Данные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"ошибка_1"))))))),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IF(AND(AH130&gt;'Данные ТНПА'!#REF!,AH130&lt;='Данные ТНПА'!#REF!),'Данные ТНПА'!#REF!,
"ошибка_2"))))))))</f>
        <v>0</v>
      </c>
      <c r="BC130" s="43">
        <f t="shared" si="254"/>
        <v>6.3699999999999992</v>
      </c>
      <c r="BD130" s="237">
        <f t="shared" si="255"/>
        <v>0</v>
      </c>
      <c r="BE130" s="43">
        <f t="shared" si="256"/>
        <v>0</v>
      </c>
      <c r="BF130" s="201">
        <f t="shared" si="257"/>
        <v>0</v>
      </c>
      <c r="BG130" s="201">
        <f t="shared" si="258"/>
        <v>0</v>
      </c>
      <c r="BH130" s="61">
        <f t="shared" si="259"/>
        <v>6.3699999999999992</v>
      </c>
      <c r="BI130" s="237">
        <f t="shared" si="260"/>
        <v>0</v>
      </c>
      <c r="BJ130" s="247">
        <f t="shared" si="261"/>
        <v>0</v>
      </c>
      <c r="BK130" s="431">
        <f t="shared" si="262"/>
        <v>0</v>
      </c>
      <c r="BL130" s="250">
        <f t="shared" si="263"/>
        <v>0</v>
      </c>
      <c r="BM130" s="237">
        <f t="shared" si="264"/>
        <v>0</v>
      </c>
      <c r="BN130" s="452">
        <f t="shared" si="265"/>
        <v>6.3699999999999992</v>
      </c>
      <c r="BO130" s="237">
        <f t="shared" si="266"/>
        <v>0</v>
      </c>
      <c r="BP130" s="432">
        <f t="shared" si="267"/>
        <v>0</v>
      </c>
      <c r="BQ130" s="22" t="str">
        <f t="shared" si="268"/>
        <v/>
      </c>
      <c r="BR130" s="250">
        <f t="shared" si="269"/>
        <v>0</v>
      </c>
      <c r="BS130" s="237">
        <f t="shared" si="270"/>
        <v>0</v>
      </c>
      <c r="BT130" s="452">
        <f t="shared" si="271"/>
        <v>6.3699999999999992</v>
      </c>
      <c r="BU130" s="492">
        <f t="shared" si="272"/>
        <v>1.1749999999999998</v>
      </c>
      <c r="BV130" s="493">
        <f>IF(BT130="","",
IF(AND(BT130&gt;'Данные ТНПА'!$K$8,BT130&lt;='Данные ТНПА'!$L$8),'Данные ТНПА'!$N$8,
IF(AND(BT130&gt;'Данные ТНПА'!$K$9,BT130&lt;='Данные ТНПА'!$L$9),'Данные ТНПА'!$N$9,
IF(AND(BT130&gt;'Данные ТНПА'!$K$10,BT130&lt;='Данные ТНПА'!$L$10),'Данные ТНПА'!$N$10,
IF(AND(BT130&gt;'Данные ТНПА'!$K$11,BT130&lt;='Данные ТНПА'!$L$11),'Данные ТНПА'!$N$11,
IF(AND(BT130&gt;'Данные ТНПА'!$K$12,BT130&lt;='Данные ТНПА'!$L$12),'Данные ТНПА'!$N$12,
IF(AND(BT130&gt;'Данные ТНПА'!$K$13,BT130&lt;='Данные ТНПА'!$L$13),'Данные ТНПА'!$N$13,
IF(AND(BT130&gt;'Данные ТНПА'!$K$14,BT130&lt;='Данные ТНПА'!$L$14),'Данные ТНПА'!$N$14))))))))</f>
        <v>1.5</v>
      </c>
      <c r="BW130" s="493">
        <f t="shared" si="273"/>
        <v>9.3699999999999992</v>
      </c>
      <c r="BX130" s="457">
        <f t="shared" si="169"/>
        <v>0</v>
      </c>
      <c r="BY130" s="457">
        <f t="shared" si="170"/>
        <v>622.30000000000007</v>
      </c>
      <c r="BZ130" s="457">
        <f t="shared" si="171"/>
        <v>32.220463281741047</v>
      </c>
      <c r="CA130" s="457" t="e">
        <f t="shared" si="274"/>
        <v>#REF!</v>
      </c>
      <c r="CB130" s="458">
        <f t="shared" si="275"/>
        <v>0</v>
      </c>
      <c r="CC130" s="457">
        <f t="shared" si="276"/>
        <v>0</v>
      </c>
      <c r="CD130" s="457">
        <f t="shared" si="277"/>
        <v>0</v>
      </c>
      <c r="CE130" s="457">
        <f t="shared" si="278"/>
        <v>0</v>
      </c>
      <c r="CF130" s="457">
        <f t="shared" si="279"/>
        <v>0</v>
      </c>
      <c r="CG130" s="458">
        <f t="shared" si="178"/>
        <v>0</v>
      </c>
      <c r="CH130" s="457">
        <f t="shared" si="280"/>
        <v>0</v>
      </c>
      <c r="CI130" s="457">
        <f t="shared" si="281"/>
        <v>0</v>
      </c>
      <c r="CJ130" s="458">
        <f t="shared" si="282"/>
        <v>0</v>
      </c>
      <c r="CK130" s="458">
        <f t="shared" si="182"/>
        <v>53.997945857313653</v>
      </c>
      <c r="CL130" s="457">
        <f t="shared" si="183"/>
        <v>708.51840913905471</v>
      </c>
      <c r="CM130" s="504"/>
      <c r="CN130" s="504"/>
    </row>
    <row r="131" spans="1:92" ht="14.25" hidden="1" customHeight="1" x14ac:dyDescent="0.25">
      <c r="A131" s="389" t="str">
        <f>IF(D131="",CONCATENATE("Кабель ",IF(C131="а","А",""),$A$9),CONCATENATE("Кабель ",IF(C131="а","А",""),$A$9," ",D131,"*",F131,IF(G131="ок"," (ож)","")," - ",B131," ",IF(G131="мс"," фас. ",""),$A$2))</f>
        <v>Кабель ВВГ 1*95 - 1 ГОСТ 16442-80</v>
      </c>
      <c r="B131" s="450">
        <v>1</v>
      </c>
      <c r="C131" s="451" t="s">
        <v>163</v>
      </c>
      <c r="D131" s="412">
        <v>1</v>
      </c>
      <c r="E131" s="413" t="s">
        <v>40</v>
      </c>
      <c r="F131" s="423">
        <v>95</v>
      </c>
      <c r="G131" s="414" t="s">
        <v>154</v>
      </c>
      <c r="H131" s="461">
        <v>2.61</v>
      </c>
      <c r="I131" s="478">
        <v>19</v>
      </c>
      <c r="J131" s="477" t="s">
        <v>40</v>
      </c>
      <c r="K131" s="470">
        <f>ROUNDUP(SQRT(F131/I131/PI()*4*1.07),2)</f>
        <v>2.61</v>
      </c>
      <c r="L131" s="501">
        <v>4.5199999999999996</v>
      </c>
      <c r="M131" s="475"/>
      <c r="N131" s="475"/>
      <c r="O131" s="475"/>
      <c r="P131" s="475"/>
      <c r="Q131" s="483">
        <f t="shared" si="234"/>
        <v>1.34</v>
      </c>
      <c r="R131" s="484">
        <f>IF(B131=0.66,VLOOKUP(F131,'Данные ТНПА'!$B$8:$C$16,2,0),
IF(B131=1,VLOOKUP(F131,'Данные ТНПА'!$B$17:$C$37,2,0),"ошибка"))</f>
        <v>1.6</v>
      </c>
      <c r="S131" s="485">
        <f t="shared" si="120"/>
        <v>7.1999999999999993</v>
      </c>
      <c r="T131" s="486"/>
      <c r="U131" s="487"/>
      <c r="V131" s="485">
        <f t="shared" si="121"/>
        <v>7.72</v>
      </c>
      <c r="W131" s="486"/>
      <c r="X131" s="487"/>
      <c r="Y131" s="489">
        <f t="shared" si="122"/>
        <v>0</v>
      </c>
      <c r="Z131" s="491">
        <f t="shared" si="123"/>
        <v>7.72</v>
      </c>
      <c r="AA131" s="237">
        <f t="shared" si="124"/>
        <v>0</v>
      </c>
      <c r="AB131" s="452">
        <f t="shared" si="235"/>
        <v>7.72</v>
      </c>
      <c r="AC131" s="201">
        <f t="shared" si="126"/>
        <v>0</v>
      </c>
      <c r="AD131" s="203">
        <f t="shared" si="236"/>
        <v>0</v>
      </c>
      <c r="AE131" s="37" t="str">
        <f t="shared" si="128"/>
        <v/>
      </c>
      <c r="AF131" s="202">
        <f t="shared" si="237"/>
        <v>0</v>
      </c>
      <c r="AG131" s="201">
        <f t="shared" si="238"/>
        <v>0</v>
      </c>
      <c r="AH131" s="61">
        <f t="shared" si="131"/>
        <v>7.72</v>
      </c>
      <c r="AI131" s="443">
        <f t="shared" si="233"/>
        <v>0</v>
      </c>
      <c r="AJ131" s="444">
        <f t="shared" si="239"/>
        <v>0</v>
      </c>
      <c r="AK131" s="445">
        <f t="shared" si="240"/>
        <v>0</v>
      </c>
      <c r="AL131" s="446">
        <f t="shared" si="241"/>
        <v>0</v>
      </c>
      <c r="AM131" s="447">
        <f t="shared" si="242"/>
        <v>0</v>
      </c>
      <c r="AN131" s="24">
        <f t="shared" si="243"/>
        <v>7.72</v>
      </c>
      <c r="AO131" s="443">
        <f t="shared" si="137"/>
        <v>0</v>
      </c>
      <c r="AP131" s="444">
        <f t="shared" si="244"/>
        <v>0</v>
      </c>
      <c r="AQ131" s="445">
        <f t="shared" si="245"/>
        <v>0</v>
      </c>
      <c r="AR131" s="446">
        <f t="shared" si="246"/>
        <v>0</v>
      </c>
      <c r="AS131" s="447">
        <f t="shared" si="247"/>
        <v>0</v>
      </c>
      <c r="AT131" s="24">
        <f t="shared" si="248"/>
        <v>7.72</v>
      </c>
      <c r="AU131" s="443">
        <f t="shared" si="143"/>
        <v>0</v>
      </c>
      <c r="AV131" s="444">
        <f t="shared" si="249"/>
        <v>0</v>
      </c>
      <c r="AW131" s="445">
        <f t="shared" si="250"/>
        <v>0</v>
      </c>
      <c r="AX131" s="446">
        <f t="shared" si="251"/>
        <v>0</v>
      </c>
      <c r="AY131" s="447">
        <f t="shared" si="252"/>
        <v>0</v>
      </c>
      <c r="AZ131" s="24">
        <f t="shared" si="253"/>
        <v>7.72</v>
      </c>
      <c r="BA131" s="43">
        <f>IF(BB131=0,0,
IF(D131=1,
(IF(AND(AH131&gt;'Данные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"ошибка_1"))))))),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"ошибка_2"))))))))</f>
        <v>0</v>
      </c>
      <c r="BB131" s="43">
        <f>IF(OR($AI$9=0,AND(D131&gt;1,F131&gt;10)),0,
IF(D131=1,
(IF(AND(AH131&gt;'Данные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"ошибка_1"))))))),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IF(AND(AH131&gt;'Данные ТНПА'!#REF!,AH131&lt;='Данные ТНПА'!#REF!),'Данные ТНПА'!#REF!,
"ошибка_2"))))))))</f>
        <v>0</v>
      </c>
      <c r="BC131" s="43">
        <f t="shared" si="254"/>
        <v>7.72</v>
      </c>
      <c r="BD131" s="237">
        <f t="shared" si="255"/>
        <v>0</v>
      </c>
      <c r="BE131" s="43">
        <f t="shared" si="256"/>
        <v>0</v>
      </c>
      <c r="BF131" s="201">
        <f t="shared" si="257"/>
        <v>0</v>
      </c>
      <c r="BG131" s="201">
        <f t="shared" si="258"/>
        <v>0</v>
      </c>
      <c r="BH131" s="61">
        <f t="shared" si="259"/>
        <v>7.72</v>
      </c>
      <c r="BI131" s="237">
        <f t="shared" si="260"/>
        <v>0</v>
      </c>
      <c r="BJ131" s="247">
        <f t="shared" si="261"/>
        <v>0</v>
      </c>
      <c r="BK131" s="431">
        <f t="shared" si="262"/>
        <v>0</v>
      </c>
      <c r="BL131" s="250">
        <f t="shared" si="263"/>
        <v>0</v>
      </c>
      <c r="BM131" s="237">
        <f t="shared" si="264"/>
        <v>0</v>
      </c>
      <c r="BN131" s="452">
        <f t="shared" si="265"/>
        <v>7.72</v>
      </c>
      <c r="BO131" s="237">
        <f t="shared" si="266"/>
        <v>0</v>
      </c>
      <c r="BP131" s="432">
        <f t="shared" si="267"/>
        <v>0</v>
      </c>
      <c r="BQ131" s="22" t="str">
        <f t="shared" si="268"/>
        <v/>
      </c>
      <c r="BR131" s="250">
        <f t="shared" si="269"/>
        <v>0</v>
      </c>
      <c r="BS131" s="237">
        <f t="shared" si="270"/>
        <v>0</v>
      </c>
      <c r="BT131" s="452">
        <f t="shared" si="271"/>
        <v>7.72</v>
      </c>
      <c r="BU131" s="492">
        <f t="shared" si="272"/>
        <v>1.1749999999999998</v>
      </c>
      <c r="BV131" s="493">
        <f>IF(BT131="","",
IF(AND(BT131&gt;'Данные ТНПА'!$K$8,BT131&lt;='Данные ТНПА'!$L$8),'Данные ТНПА'!$N$8,
IF(AND(BT131&gt;'Данные ТНПА'!$K$9,BT131&lt;='Данные ТНПА'!$L$9),'Данные ТНПА'!$N$9,
IF(AND(BT131&gt;'Данные ТНПА'!$K$10,BT131&lt;='Данные ТНПА'!$L$10),'Данные ТНПА'!$N$10,
IF(AND(BT131&gt;'Данные ТНПА'!$K$11,BT131&lt;='Данные ТНПА'!$L$11),'Данные ТНПА'!$N$11,
IF(AND(BT131&gt;'Данные ТНПА'!$K$12,BT131&lt;='Данные ТНПА'!$L$12),'Данные ТНПА'!$N$12,
IF(AND(BT131&gt;'Данные ТНПА'!$K$13,BT131&lt;='Данные ТНПА'!$L$13),'Данные ТНПА'!$N$13,
IF(AND(BT131&gt;'Данные ТНПА'!$K$14,BT131&lt;='Данные ТНПА'!$L$14),'Данные ТНПА'!$N$14))))))))</f>
        <v>1.5</v>
      </c>
      <c r="BW131" s="493">
        <f t="shared" si="273"/>
        <v>10.719999999999999</v>
      </c>
      <c r="BX131" s="457">
        <f t="shared" si="169"/>
        <v>0</v>
      </c>
      <c r="BY131" s="457">
        <f t="shared" si="170"/>
        <v>844.55000000000007</v>
      </c>
      <c r="BZ131" s="457">
        <f t="shared" si="171"/>
        <v>45.343888539064153</v>
      </c>
      <c r="CA131" s="457" t="e">
        <f t="shared" si="274"/>
        <v>#REF!</v>
      </c>
      <c r="CB131" s="458">
        <f t="shared" si="275"/>
        <v>0</v>
      </c>
      <c r="CC131" s="457">
        <f t="shared" si="276"/>
        <v>0</v>
      </c>
      <c r="CD131" s="457">
        <f t="shared" si="277"/>
        <v>0</v>
      </c>
      <c r="CE131" s="457">
        <f t="shared" si="278"/>
        <v>0</v>
      </c>
      <c r="CF131" s="457">
        <f t="shared" si="279"/>
        <v>0</v>
      </c>
      <c r="CG131" s="458">
        <f t="shared" si="178"/>
        <v>0</v>
      </c>
      <c r="CH131" s="457">
        <f t="shared" si="280"/>
        <v>0</v>
      </c>
      <c r="CI131" s="457">
        <f t="shared" si="281"/>
        <v>0</v>
      </c>
      <c r="CJ131" s="458">
        <f t="shared" si="282"/>
        <v>0</v>
      </c>
      <c r="CK131" s="458">
        <f t="shared" si="182"/>
        <v>63.260617637157779</v>
      </c>
      <c r="CL131" s="457">
        <f t="shared" si="183"/>
        <v>953.15450617622196</v>
      </c>
      <c r="CM131" s="504"/>
      <c r="CN131" s="504"/>
    </row>
    <row r="132" spans="1:92" ht="14.25" hidden="1" customHeight="1" x14ac:dyDescent="0.25">
      <c r="A132" s="389" t="str">
        <f>IF(D132="",CONCATENATE("Кабель ",IF(C132="а","А",""),$A$9),CONCATENATE("Кабель ",IF(C132="а","А",""),$A$9," ",D132,"*",F132,IF(G132="ок"," (ож)","")," - ",B132," ",IF(G132="мс"," фас. ",""),$A$2))</f>
        <v>Кабель ВВГ 1*120 - 1 ГОСТ 16442-80</v>
      </c>
      <c r="B132" s="450">
        <v>1</v>
      </c>
      <c r="C132" s="451" t="s">
        <v>163</v>
      </c>
      <c r="D132" s="412">
        <v>1</v>
      </c>
      <c r="E132" s="413" t="s">
        <v>40</v>
      </c>
      <c r="F132" s="423">
        <v>120</v>
      </c>
      <c r="G132" s="414" t="s">
        <v>154</v>
      </c>
      <c r="H132" s="461">
        <v>2.94</v>
      </c>
      <c r="I132" s="478">
        <v>19</v>
      </c>
      <c r="J132" s="477" t="s">
        <v>40</v>
      </c>
      <c r="K132" s="470">
        <f>ROUNDUP(SQRT(F132/I132/PI()*4*1.07),2)</f>
        <v>2.94</v>
      </c>
      <c r="L132" s="501">
        <v>4.79</v>
      </c>
      <c r="M132" s="475"/>
      <c r="N132" s="475"/>
      <c r="O132" s="475"/>
      <c r="P132" s="475"/>
      <c r="Q132" s="483">
        <f t="shared" si="234"/>
        <v>1.34</v>
      </c>
      <c r="R132" s="484">
        <f>IF(B132=0.66,VLOOKUP(F132,'Данные ТНПА'!$B$8:$C$16,2,0),
IF(B132=1,VLOOKUP(F132,'Данные ТНПА'!$B$17:$C$37,2,0),"ошибка"))</f>
        <v>1.6</v>
      </c>
      <c r="S132" s="485">
        <f t="shared" si="120"/>
        <v>7.4700000000000006</v>
      </c>
      <c r="T132" s="486"/>
      <c r="U132" s="487"/>
      <c r="V132" s="485">
        <f t="shared" si="121"/>
        <v>7.99</v>
      </c>
      <c r="W132" s="486"/>
      <c r="X132" s="487"/>
      <c r="Y132" s="489">
        <f t="shared" si="122"/>
        <v>0</v>
      </c>
      <c r="Z132" s="491">
        <f t="shared" si="123"/>
        <v>7.99</v>
      </c>
      <c r="AA132" s="237">
        <f t="shared" si="124"/>
        <v>0</v>
      </c>
      <c r="AB132" s="452">
        <f t="shared" si="235"/>
        <v>7.99</v>
      </c>
      <c r="AC132" s="201">
        <f t="shared" si="126"/>
        <v>0</v>
      </c>
      <c r="AD132" s="203">
        <f t="shared" si="236"/>
        <v>0</v>
      </c>
      <c r="AE132" s="37" t="str">
        <f t="shared" si="128"/>
        <v/>
      </c>
      <c r="AF132" s="202">
        <f t="shared" si="237"/>
        <v>0</v>
      </c>
      <c r="AG132" s="201">
        <f t="shared" si="238"/>
        <v>0</v>
      </c>
      <c r="AH132" s="61">
        <f t="shared" si="131"/>
        <v>7.99</v>
      </c>
      <c r="AI132" s="443">
        <f t="shared" si="233"/>
        <v>0</v>
      </c>
      <c r="AJ132" s="444">
        <f t="shared" si="239"/>
        <v>0</v>
      </c>
      <c r="AK132" s="445">
        <f t="shared" si="240"/>
        <v>0</v>
      </c>
      <c r="AL132" s="446">
        <f t="shared" si="241"/>
        <v>0</v>
      </c>
      <c r="AM132" s="447">
        <f t="shared" si="242"/>
        <v>0</v>
      </c>
      <c r="AN132" s="24">
        <f t="shared" si="243"/>
        <v>7.99</v>
      </c>
      <c r="AO132" s="443">
        <f t="shared" si="137"/>
        <v>0</v>
      </c>
      <c r="AP132" s="444">
        <f t="shared" si="244"/>
        <v>0</v>
      </c>
      <c r="AQ132" s="445">
        <f t="shared" si="245"/>
        <v>0</v>
      </c>
      <c r="AR132" s="446">
        <f t="shared" si="246"/>
        <v>0</v>
      </c>
      <c r="AS132" s="447">
        <f t="shared" si="247"/>
        <v>0</v>
      </c>
      <c r="AT132" s="24">
        <f t="shared" si="248"/>
        <v>7.99</v>
      </c>
      <c r="AU132" s="443">
        <f t="shared" si="143"/>
        <v>0</v>
      </c>
      <c r="AV132" s="444">
        <f t="shared" si="249"/>
        <v>0</v>
      </c>
      <c r="AW132" s="445">
        <f t="shared" si="250"/>
        <v>0</v>
      </c>
      <c r="AX132" s="446">
        <f t="shared" si="251"/>
        <v>0</v>
      </c>
      <c r="AY132" s="447">
        <f t="shared" si="252"/>
        <v>0</v>
      </c>
      <c r="AZ132" s="24">
        <f t="shared" si="253"/>
        <v>7.99</v>
      </c>
      <c r="BA132" s="43">
        <f>IF(BB132=0,0,
IF(D132=1,
(IF(AND(AH132&gt;'Данные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"ошибка_1"))))))),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"ошибка_2"))))))))</f>
        <v>0</v>
      </c>
      <c r="BB132" s="43">
        <f>IF(OR($AI$9=0,AND(D132&gt;1,F132&gt;10)),0,
IF(D132=1,
(IF(AND(AH132&gt;'Данные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"ошибка_1"))))))),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IF(AND(AH132&gt;'Данные ТНПА'!#REF!,AH132&lt;='Данные ТНПА'!#REF!),'Данные ТНПА'!#REF!,
"ошибка_2"))))))))</f>
        <v>0</v>
      </c>
      <c r="BC132" s="43">
        <f t="shared" si="254"/>
        <v>7.99</v>
      </c>
      <c r="BD132" s="237">
        <f t="shared" si="255"/>
        <v>0</v>
      </c>
      <c r="BE132" s="43">
        <f t="shared" si="256"/>
        <v>0</v>
      </c>
      <c r="BF132" s="201">
        <f t="shared" si="257"/>
        <v>0</v>
      </c>
      <c r="BG132" s="201">
        <f t="shared" si="258"/>
        <v>0</v>
      </c>
      <c r="BH132" s="61">
        <f t="shared" si="259"/>
        <v>7.99</v>
      </c>
      <c r="BI132" s="237">
        <f t="shared" si="260"/>
        <v>0</v>
      </c>
      <c r="BJ132" s="247">
        <f t="shared" si="261"/>
        <v>0</v>
      </c>
      <c r="BK132" s="431">
        <f t="shared" si="262"/>
        <v>0</v>
      </c>
      <c r="BL132" s="250">
        <f t="shared" si="263"/>
        <v>0</v>
      </c>
      <c r="BM132" s="237">
        <f t="shared" si="264"/>
        <v>0</v>
      </c>
      <c r="BN132" s="452">
        <f t="shared" si="265"/>
        <v>7.99</v>
      </c>
      <c r="BO132" s="237">
        <f t="shared" si="266"/>
        <v>0</v>
      </c>
      <c r="BP132" s="432">
        <f t="shared" si="267"/>
        <v>0</v>
      </c>
      <c r="BQ132" s="22" t="str">
        <f t="shared" si="268"/>
        <v/>
      </c>
      <c r="BR132" s="250">
        <f t="shared" si="269"/>
        <v>0</v>
      </c>
      <c r="BS132" s="237">
        <f t="shared" si="270"/>
        <v>0</v>
      </c>
      <c r="BT132" s="452">
        <f t="shared" si="271"/>
        <v>7.99</v>
      </c>
      <c r="BU132" s="492">
        <f t="shared" si="272"/>
        <v>1.1749999999999998</v>
      </c>
      <c r="BV132" s="493">
        <f>IF(BT132="","",
IF(AND(BT132&gt;'Данные ТНПА'!$K$8,BT132&lt;='Данные ТНПА'!$L$8),'Данные ТНПА'!$N$8,
IF(AND(BT132&gt;'Данные ТНПА'!$K$9,BT132&lt;='Данные ТНПА'!$L$9),'Данные ТНПА'!$N$9,
IF(AND(BT132&gt;'Данные ТНПА'!$K$10,BT132&lt;='Данные ТНПА'!$L$10),'Данные ТНПА'!$N$10,
IF(AND(BT132&gt;'Данные ТНПА'!$K$11,BT132&lt;='Данные ТНПА'!$L$11),'Данные ТНПА'!$N$11,
IF(AND(BT132&gt;'Данные ТНПА'!$K$12,BT132&lt;='Данные ТНПА'!$L$12),'Данные ТНПА'!$N$12,
IF(AND(BT132&gt;'Данные ТНПА'!$K$13,BT132&lt;='Данные ТНПА'!$L$13),'Данные ТНПА'!$N$13,
IF(AND(BT132&gt;'Данные ТНПА'!$K$14,BT132&lt;='Данные ТНПА'!$L$14),'Данные ТНПА'!$N$14))))))))</f>
        <v>1.5</v>
      </c>
      <c r="BW132" s="493">
        <f t="shared" si="273"/>
        <v>10.99</v>
      </c>
      <c r="BX132" s="457">
        <f t="shared" si="169"/>
        <v>0</v>
      </c>
      <c r="BY132" s="457">
        <f t="shared" si="170"/>
        <v>1066.8000000000002</v>
      </c>
      <c r="BZ132" s="457">
        <f t="shared" si="171"/>
        <v>47.344354209905234</v>
      </c>
      <c r="CA132" s="457" t="e">
        <f t="shared" si="274"/>
        <v>#REF!</v>
      </c>
      <c r="CB132" s="458">
        <f t="shared" si="275"/>
        <v>0</v>
      </c>
      <c r="CC132" s="457">
        <f t="shared" si="276"/>
        <v>0</v>
      </c>
      <c r="CD132" s="457">
        <f t="shared" si="277"/>
        <v>0</v>
      </c>
      <c r="CE132" s="457">
        <f t="shared" si="278"/>
        <v>0</v>
      </c>
      <c r="CF132" s="457">
        <f t="shared" si="279"/>
        <v>0</v>
      </c>
      <c r="CG132" s="458">
        <f t="shared" si="178"/>
        <v>0</v>
      </c>
      <c r="CH132" s="457">
        <f t="shared" si="280"/>
        <v>0</v>
      </c>
      <c r="CI132" s="457">
        <f t="shared" si="281"/>
        <v>0</v>
      </c>
      <c r="CJ132" s="458">
        <f t="shared" si="282"/>
        <v>0</v>
      </c>
      <c r="CK132" s="458">
        <f t="shared" si="182"/>
        <v>65.113151993126621</v>
      </c>
      <c r="CL132" s="457">
        <f t="shared" si="183"/>
        <v>1179.2575062030321</v>
      </c>
      <c r="CM132" s="504"/>
      <c r="CN132" s="504"/>
    </row>
    <row r="133" spans="1:92" ht="14.25" hidden="1" customHeight="1" x14ac:dyDescent="0.25">
      <c r="A133" s="389" t="str">
        <f>IF(D133="",CONCATENATE("Кабель ",IF(C133="а","А",""),$A$9),CONCATENATE("Кабель ",IF(C133="а","А",""),$A$9," ",D133,"*",F133,IF(G133="ок"," (ож)","")," - ",B133," ",IF(G133="мс"," фас. ",""),$A$2))</f>
        <v>Кабель ВВГ 1*150 - 1 ГОСТ 16442-80</v>
      </c>
      <c r="B133" s="450">
        <v>1</v>
      </c>
      <c r="C133" s="451" t="s">
        <v>163</v>
      </c>
      <c r="D133" s="412">
        <v>1</v>
      </c>
      <c r="E133" s="413" t="s">
        <v>40</v>
      </c>
      <c r="F133" s="423">
        <v>150</v>
      </c>
      <c r="G133" s="414" t="s">
        <v>154</v>
      </c>
      <c r="H133" s="461">
        <v>2.36</v>
      </c>
      <c r="I133" s="478">
        <v>37</v>
      </c>
      <c r="J133" s="477" t="s">
        <v>40</v>
      </c>
      <c r="K133" s="470">
        <f>ROUNDUP(SQRT(F133/I133/PI()*4*1.07),2)</f>
        <v>2.36</v>
      </c>
      <c r="L133" s="501">
        <v>5.6499999999999995</v>
      </c>
      <c r="M133" s="475"/>
      <c r="N133" s="475"/>
      <c r="O133" s="475"/>
      <c r="P133" s="475"/>
      <c r="Q133" s="483">
        <f t="shared" si="234"/>
        <v>1.52</v>
      </c>
      <c r="R133" s="484">
        <f>IF(B133=0.66,VLOOKUP(F133,'Данные ТНПА'!$B$8:$C$16,2,0),
IF(B133=1,VLOOKUP(F133,'Данные ТНПА'!$B$17:$C$37,2,0),"ошибка"))</f>
        <v>1.8</v>
      </c>
      <c r="S133" s="485">
        <f t="shared" si="120"/>
        <v>8.69</v>
      </c>
      <c r="T133" s="486"/>
      <c r="U133" s="487"/>
      <c r="V133" s="485">
        <f t="shared" si="121"/>
        <v>9.25</v>
      </c>
      <c r="W133" s="486"/>
      <c r="X133" s="487"/>
      <c r="Y133" s="489">
        <f t="shared" si="122"/>
        <v>0</v>
      </c>
      <c r="Z133" s="491">
        <f t="shared" si="123"/>
        <v>9.25</v>
      </c>
      <c r="AA133" s="237">
        <f t="shared" si="124"/>
        <v>0</v>
      </c>
      <c r="AB133" s="452">
        <f t="shared" si="235"/>
        <v>9.25</v>
      </c>
      <c r="AC133" s="201">
        <f t="shared" si="126"/>
        <v>0</v>
      </c>
      <c r="AD133" s="203">
        <f t="shared" si="236"/>
        <v>0</v>
      </c>
      <c r="AE133" s="37" t="str">
        <f t="shared" si="128"/>
        <v/>
      </c>
      <c r="AF133" s="202">
        <f t="shared" si="237"/>
        <v>0</v>
      </c>
      <c r="AG133" s="201">
        <f t="shared" si="238"/>
        <v>0</v>
      </c>
      <c r="AH133" s="61">
        <f t="shared" si="131"/>
        <v>9.25</v>
      </c>
      <c r="AI133" s="443">
        <f t="shared" si="233"/>
        <v>0</v>
      </c>
      <c r="AJ133" s="444">
        <f t="shared" si="239"/>
        <v>0</v>
      </c>
      <c r="AK133" s="445">
        <f t="shared" si="240"/>
        <v>0</v>
      </c>
      <c r="AL133" s="446">
        <f t="shared" si="241"/>
        <v>0</v>
      </c>
      <c r="AM133" s="447">
        <f t="shared" si="242"/>
        <v>0</v>
      </c>
      <c r="AN133" s="24">
        <f t="shared" si="243"/>
        <v>9.25</v>
      </c>
      <c r="AO133" s="443">
        <f t="shared" si="137"/>
        <v>0</v>
      </c>
      <c r="AP133" s="444">
        <f t="shared" si="244"/>
        <v>0</v>
      </c>
      <c r="AQ133" s="445">
        <f t="shared" si="245"/>
        <v>0</v>
      </c>
      <c r="AR133" s="446">
        <f t="shared" si="246"/>
        <v>0</v>
      </c>
      <c r="AS133" s="447">
        <f t="shared" si="247"/>
        <v>0</v>
      </c>
      <c r="AT133" s="24">
        <f t="shared" si="248"/>
        <v>9.25</v>
      </c>
      <c r="AU133" s="443">
        <f t="shared" si="143"/>
        <v>0</v>
      </c>
      <c r="AV133" s="444">
        <f t="shared" si="249"/>
        <v>0</v>
      </c>
      <c r="AW133" s="445">
        <f t="shared" si="250"/>
        <v>0</v>
      </c>
      <c r="AX133" s="446">
        <f t="shared" si="251"/>
        <v>0</v>
      </c>
      <c r="AY133" s="447">
        <f t="shared" si="252"/>
        <v>0</v>
      </c>
      <c r="AZ133" s="24">
        <f t="shared" si="253"/>
        <v>9.25</v>
      </c>
      <c r="BA133" s="43">
        <f>IF(BB133=0,0,
IF(D133=1,
(IF(AND(AH133&gt;'Данные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"ошибка_1"))))))),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"ошибка_2"))))))))</f>
        <v>0</v>
      </c>
      <c r="BB133" s="43">
        <f>IF(OR($AI$9=0,AND(D133&gt;1,F133&gt;10)),0,
IF(D133=1,
(IF(AND(AH133&gt;'Данные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"ошибка_1"))))))),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IF(AND(AH133&gt;'Данные ТНПА'!#REF!,AH133&lt;='Данные ТНПА'!#REF!),'Данные ТНПА'!#REF!,
"ошибка_2"))))))))</f>
        <v>0</v>
      </c>
      <c r="BC133" s="43">
        <f t="shared" si="254"/>
        <v>9.25</v>
      </c>
      <c r="BD133" s="237">
        <f t="shared" si="255"/>
        <v>0</v>
      </c>
      <c r="BE133" s="43">
        <f t="shared" si="256"/>
        <v>0</v>
      </c>
      <c r="BF133" s="201">
        <f t="shared" si="257"/>
        <v>0</v>
      </c>
      <c r="BG133" s="201">
        <f t="shared" si="258"/>
        <v>0</v>
      </c>
      <c r="BH133" s="61">
        <f t="shared" si="259"/>
        <v>9.25</v>
      </c>
      <c r="BI133" s="237">
        <f t="shared" si="260"/>
        <v>0</v>
      </c>
      <c r="BJ133" s="247">
        <f t="shared" si="261"/>
        <v>0</v>
      </c>
      <c r="BK133" s="431">
        <f t="shared" si="262"/>
        <v>0</v>
      </c>
      <c r="BL133" s="250">
        <f t="shared" si="263"/>
        <v>0</v>
      </c>
      <c r="BM133" s="237">
        <f t="shared" si="264"/>
        <v>0</v>
      </c>
      <c r="BN133" s="452">
        <f t="shared" si="265"/>
        <v>9.25</v>
      </c>
      <c r="BO133" s="237">
        <f t="shared" si="266"/>
        <v>0</v>
      </c>
      <c r="BP133" s="432">
        <f t="shared" si="267"/>
        <v>0</v>
      </c>
      <c r="BQ133" s="22" t="str">
        <f t="shared" si="268"/>
        <v/>
      </c>
      <c r="BR133" s="250">
        <f t="shared" si="269"/>
        <v>0</v>
      </c>
      <c r="BS133" s="237">
        <f t="shared" si="270"/>
        <v>0</v>
      </c>
      <c r="BT133" s="452">
        <f t="shared" si="271"/>
        <v>9.25</v>
      </c>
      <c r="BU133" s="492">
        <f t="shared" si="272"/>
        <v>1.1749999999999998</v>
      </c>
      <c r="BV133" s="493">
        <f>IF(BT133="","",
IF(AND(BT133&gt;'Данные ТНПА'!$K$8,BT133&lt;='Данные ТНПА'!$L$8),'Данные ТНПА'!$N$8,
IF(AND(BT133&gt;'Данные ТНПА'!$K$9,BT133&lt;='Данные ТНПА'!$L$9),'Данные ТНПА'!$N$9,
IF(AND(BT133&gt;'Данные ТНПА'!$K$10,BT133&lt;='Данные ТНПА'!$L$10),'Данные ТНПА'!$N$10,
IF(AND(BT133&gt;'Данные ТНПА'!$K$11,BT133&lt;='Данные ТНПА'!$L$11),'Данные ТНПА'!$N$11,
IF(AND(BT133&gt;'Данные ТНПА'!$K$12,BT133&lt;='Данные ТНПА'!$L$12),'Данные ТНПА'!$N$12,
IF(AND(BT133&gt;'Данные ТНПА'!$K$13,BT133&lt;='Данные ТНПА'!$L$13),'Данные ТНПА'!$N$13,
IF(AND(BT133&gt;'Данные ТНПА'!$K$14,BT133&lt;='Данные ТНПА'!$L$14),'Данные ТНПА'!$N$14))))))))</f>
        <v>1.5</v>
      </c>
      <c r="BW133" s="493">
        <f t="shared" si="273"/>
        <v>12.25</v>
      </c>
      <c r="BX133" s="457">
        <f t="shared" si="169"/>
        <v>0</v>
      </c>
      <c r="BY133" s="457">
        <f t="shared" si="170"/>
        <v>1333.5</v>
      </c>
      <c r="BZ133" s="457">
        <f t="shared" si="171"/>
        <v>62.097788532358081</v>
      </c>
      <c r="CA133" s="457" t="e">
        <f t="shared" si="274"/>
        <v>#REF!</v>
      </c>
      <c r="CB133" s="458">
        <f t="shared" si="275"/>
        <v>0</v>
      </c>
      <c r="CC133" s="457">
        <f t="shared" si="276"/>
        <v>0</v>
      </c>
      <c r="CD133" s="457">
        <f t="shared" si="277"/>
        <v>0</v>
      </c>
      <c r="CE133" s="457">
        <f t="shared" si="278"/>
        <v>0</v>
      </c>
      <c r="CF133" s="457">
        <f t="shared" si="279"/>
        <v>0</v>
      </c>
      <c r="CG133" s="458">
        <f t="shared" si="178"/>
        <v>0</v>
      </c>
      <c r="CH133" s="457">
        <f t="shared" si="280"/>
        <v>0</v>
      </c>
      <c r="CI133" s="457">
        <f t="shared" si="281"/>
        <v>0</v>
      </c>
      <c r="CJ133" s="458">
        <f t="shared" si="282"/>
        <v>0</v>
      </c>
      <c r="CK133" s="458">
        <f t="shared" si="182"/>
        <v>73.758312320981162</v>
      </c>
      <c r="CL133" s="457">
        <f t="shared" si="183"/>
        <v>1469.3561008533391</v>
      </c>
      <c r="CM133" s="504"/>
      <c r="CN133" s="504"/>
    </row>
    <row r="134" spans="1:92" ht="14.25" hidden="1" customHeight="1" x14ac:dyDescent="0.25">
      <c r="A134" s="389" t="str">
        <f>IF(D134="",CONCATENATE("Кабель ",IF(C134="а","А",""),$A$9),CONCATENATE("Кабель ",IF(C134="а","А",""),$A$9," ",D134,"*",F134,IF(G134="ок"," (ож)","")," - ",B134," ",IF(G134="мс"," фас. ",""),$A$2))</f>
        <v>Кабель ВВГ 1*185 - 1 ГОСТ 16442-80</v>
      </c>
      <c r="B134" s="450">
        <v>1</v>
      </c>
      <c r="C134" s="451" t="s">
        <v>163</v>
      </c>
      <c r="D134" s="412">
        <v>1</v>
      </c>
      <c r="E134" s="413" t="s">
        <v>40</v>
      </c>
      <c r="F134" s="423">
        <v>185</v>
      </c>
      <c r="G134" s="414" t="s">
        <v>154</v>
      </c>
      <c r="H134" s="461">
        <v>2.61</v>
      </c>
      <c r="I134" s="478">
        <v>37</v>
      </c>
      <c r="J134" s="477" t="s">
        <v>40</v>
      </c>
      <c r="K134" s="470">
        <f>ROUNDUP(SQRT(F134/I134/PI()*4*1.07),2)</f>
        <v>2.61</v>
      </c>
      <c r="L134" s="501">
        <v>5.99</v>
      </c>
      <c r="M134" s="475"/>
      <c r="N134" s="475"/>
      <c r="O134" s="475"/>
      <c r="P134" s="475"/>
      <c r="Q134" s="483">
        <f t="shared" si="234"/>
        <v>1.7</v>
      </c>
      <c r="R134" s="484">
        <f>IF(B134=0.66,VLOOKUP(F134,'Данные ТНПА'!$B$8:$C$16,2,0),
IF(B134=1,VLOOKUP(F134,'Данные ТНПА'!$B$17:$C$37,2,0),"ошибка"))</f>
        <v>2</v>
      </c>
      <c r="S134" s="485">
        <f t="shared" si="120"/>
        <v>9.39</v>
      </c>
      <c r="T134" s="486"/>
      <c r="U134" s="487"/>
      <c r="V134" s="485">
        <f t="shared" si="121"/>
        <v>9.99</v>
      </c>
      <c r="W134" s="486"/>
      <c r="X134" s="487"/>
      <c r="Y134" s="489">
        <f t="shared" si="122"/>
        <v>0</v>
      </c>
      <c r="Z134" s="491">
        <f t="shared" si="123"/>
        <v>9.99</v>
      </c>
      <c r="AA134" s="237">
        <f t="shared" si="124"/>
        <v>0</v>
      </c>
      <c r="AB134" s="452">
        <f t="shared" si="235"/>
        <v>9.99</v>
      </c>
      <c r="AC134" s="201">
        <f t="shared" si="126"/>
        <v>0</v>
      </c>
      <c r="AD134" s="203">
        <f t="shared" si="236"/>
        <v>0</v>
      </c>
      <c r="AE134" s="37" t="str">
        <f t="shared" si="128"/>
        <v/>
      </c>
      <c r="AF134" s="202">
        <f t="shared" si="237"/>
        <v>0</v>
      </c>
      <c r="AG134" s="201">
        <f t="shared" si="238"/>
        <v>0</v>
      </c>
      <c r="AH134" s="61">
        <f t="shared" si="131"/>
        <v>9.99</v>
      </c>
      <c r="AI134" s="443">
        <f t="shared" si="233"/>
        <v>0</v>
      </c>
      <c r="AJ134" s="444">
        <f t="shared" si="239"/>
        <v>0</v>
      </c>
      <c r="AK134" s="445">
        <f t="shared" si="240"/>
        <v>0</v>
      </c>
      <c r="AL134" s="446">
        <f t="shared" si="241"/>
        <v>0</v>
      </c>
      <c r="AM134" s="447">
        <f t="shared" si="242"/>
        <v>0</v>
      </c>
      <c r="AN134" s="24">
        <f t="shared" si="243"/>
        <v>9.99</v>
      </c>
      <c r="AO134" s="443">
        <f t="shared" si="137"/>
        <v>0</v>
      </c>
      <c r="AP134" s="444">
        <f t="shared" si="244"/>
        <v>0</v>
      </c>
      <c r="AQ134" s="445">
        <f t="shared" si="245"/>
        <v>0</v>
      </c>
      <c r="AR134" s="446">
        <f t="shared" si="246"/>
        <v>0</v>
      </c>
      <c r="AS134" s="447">
        <f t="shared" si="247"/>
        <v>0</v>
      </c>
      <c r="AT134" s="24">
        <f t="shared" si="248"/>
        <v>9.99</v>
      </c>
      <c r="AU134" s="443">
        <f t="shared" si="143"/>
        <v>0</v>
      </c>
      <c r="AV134" s="444">
        <f t="shared" si="249"/>
        <v>0</v>
      </c>
      <c r="AW134" s="445">
        <f t="shared" si="250"/>
        <v>0</v>
      </c>
      <c r="AX134" s="446">
        <f t="shared" si="251"/>
        <v>0</v>
      </c>
      <c r="AY134" s="447">
        <f t="shared" si="252"/>
        <v>0</v>
      </c>
      <c r="AZ134" s="24">
        <f t="shared" si="253"/>
        <v>9.99</v>
      </c>
      <c r="BA134" s="43">
        <f>IF(BB134=0,0,
IF(D134=1,
(IF(AND(AH134&gt;'Данные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"ошибка_1"))))))),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"ошибка_2"))))))))</f>
        <v>0</v>
      </c>
      <c r="BB134" s="43">
        <f>IF(OR($AI$9=0,AND(D134&gt;1,F134&gt;10)),0,
IF(D134=1,
(IF(AND(AH134&gt;'Данные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"ошибка_1"))))))),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IF(AND(AH134&gt;'Данные ТНПА'!#REF!,AH134&lt;='Данные ТНПА'!#REF!),'Данные ТНПА'!#REF!,
"ошибка_2"))))))))</f>
        <v>0</v>
      </c>
      <c r="BC134" s="43">
        <f t="shared" si="254"/>
        <v>9.99</v>
      </c>
      <c r="BD134" s="237">
        <f t="shared" si="255"/>
        <v>0</v>
      </c>
      <c r="BE134" s="43">
        <f t="shared" si="256"/>
        <v>0</v>
      </c>
      <c r="BF134" s="201">
        <f t="shared" si="257"/>
        <v>0</v>
      </c>
      <c r="BG134" s="201">
        <f t="shared" si="258"/>
        <v>0</v>
      </c>
      <c r="BH134" s="61">
        <f t="shared" si="259"/>
        <v>9.99</v>
      </c>
      <c r="BI134" s="237">
        <f t="shared" si="260"/>
        <v>0</v>
      </c>
      <c r="BJ134" s="247">
        <f t="shared" si="261"/>
        <v>0</v>
      </c>
      <c r="BK134" s="431">
        <f t="shared" si="262"/>
        <v>0</v>
      </c>
      <c r="BL134" s="250">
        <f t="shared" si="263"/>
        <v>0</v>
      </c>
      <c r="BM134" s="237">
        <f t="shared" si="264"/>
        <v>0</v>
      </c>
      <c r="BN134" s="452">
        <f t="shared" si="265"/>
        <v>9.99</v>
      </c>
      <c r="BO134" s="237">
        <f t="shared" si="266"/>
        <v>0</v>
      </c>
      <c r="BP134" s="432">
        <f t="shared" si="267"/>
        <v>0</v>
      </c>
      <c r="BQ134" s="22" t="str">
        <f t="shared" si="268"/>
        <v/>
      </c>
      <c r="BR134" s="250">
        <f t="shared" si="269"/>
        <v>0</v>
      </c>
      <c r="BS134" s="237">
        <f t="shared" si="270"/>
        <v>0</v>
      </c>
      <c r="BT134" s="452">
        <f t="shared" si="271"/>
        <v>9.99</v>
      </c>
      <c r="BU134" s="492">
        <f t="shared" si="272"/>
        <v>1.1749999999999998</v>
      </c>
      <c r="BV134" s="493">
        <f>IF(BT134="","",
IF(AND(BT134&gt;'Данные ТНПА'!$K$8,BT134&lt;='Данные ТНПА'!$L$8),'Данные ТНПА'!$N$8,
IF(AND(BT134&gt;'Данные ТНПА'!$K$9,BT134&lt;='Данные ТНПА'!$L$9),'Данные ТНПА'!$N$9,
IF(AND(BT134&gt;'Данные ТНПА'!$K$10,BT134&lt;='Данные ТНПА'!$L$10),'Данные ТНПА'!$N$10,
IF(AND(BT134&gt;'Данные ТНПА'!$K$11,BT134&lt;='Данные ТНПА'!$L$11),'Данные ТНПА'!$N$11,
IF(AND(BT134&gt;'Данные ТНПА'!$K$12,BT134&lt;='Данные ТНПА'!$L$12),'Данные ТНПА'!$N$12,
IF(AND(BT134&gt;'Данные ТНПА'!$K$13,BT134&lt;='Данные ТНПА'!$L$13),'Данные ТНПА'!$N$13,
IF(AND(BT134&gt;'Данные ТНПА'!$K$14,BT134&lt;='Данные ТНПА'!$L$14),'Данные ТНПА'!$N$14))))))))</f>
        <v>1.5</v>
      </c>
      <c r="BW134" s="493">
        <f t="shared" si="273"/>
        <v>12.99</v>
      </c>
      <c r="BX134" s="457">
        <f t="shared" si="169"/>
        <v>0</v>
      </c>
      <c r="BY134" s="457">
        <f t="shared" si="170"/>
        <v>1644.65</v>
      </c>
      <c r="BZ134" s="457">
        <f t="shared" si="171"/>
        <v>73.998706990833881</v>
      </c>
      <c r="CA134" s="457" t="e">
        <f t="shared" si="274"/>
        <v>#REF!</v>
      </c>
      <c r="CB134" s="458">
        <f t="shared" si="275"/>
        <v>0</v>
      </c>
      <c r="CC134" s="457">
        <f t="shared" si="276"/>
        <v>0</v>
      </c>
      <c r="CD134" s="457">
        <f t="shared" si="277"/>
        <v>0</v>
      </c>
      <c r="CE134" s="457">
        <f t="shared" si="278"/>
        <v>0</v>
      </c>
      <c r="CF134" s="457">
        <f t="shared" si="279"/>
        <v>0</v>
      </c>
      <c r="CG134" s="458">
        <f t="shared" si="178"/>
        <v>0</v>
      </c>
      <c r="CH134" s="457">
        <f t="shared" si="280"/>
        <v>0</v>
      </c>
      <c r="CI134" s="457">
        <f t="shared" si="281"/>
        <v>0</v>
      </c>
      <c r="CJ134" s="458">
        <f t="shared" si="282"/>
        <v>0</v>
      </c>
      <c r="CK134" s="458">
        <f t="shared" si="182"/>
        <v>78.835628704006851</v>
      </c>
      <c r="CL134" s="457">
        <f t="shared" si="183"/>
        <v>1797.4843356948409</v>
      </c>
      <c r="CM134" s="504"/>
      <c r="CN134" s="504"/>
    </row>
    <row r="135" spans="1:92" ht="14.25" hidden="1" customHeight="1" x14ac:dyDescent="0.25">
      <c r="A135" s="389" t="str">
        <f>IF(D135="",CONCATENATE("Кабель ",IF(C135="а","А",""),$A$9),CONCATENATE("Кабель ",IF(C135="а","А",""),$A$9," ",D135,"*",F135,IF(G135="ок"," (ож)","")," - ",B135," ",IF(G135="мс"," фас. ",""),$A$2))</f>
        <v>Кабель ВВГ 1*240 - 1 ГОСТ 16442-80</v>
      </c>
      <c r="B135" s="450">
        <v>1</v>
      </c>
      <c r="C135" s="451" t="s">
        <v>163</v>
      </c>
      <c r="D135" s="412">
        <v>1</v>
      </c>
      <c r="E135" s="413" t="s">
        <v>40</v>
      </c>
      <c r="F135" s="423">
        <v>240</v>
      </c>
      <c r="G135" s="414" t="s">
        <v>154</v>
      </c>
      <c r="H135" s="461">
        <v>2.98</v>
      </c>
      <c r="I135" s="478">
        <v>37</v>
      </c>
      <c r="J135" s="477" t="s">
        <v>40</v>
      </c>
      <c r="K135" s="470">
        <f>ROUNDUP(SQRT(F135/I135/PI()*4*1.07),2)</f>
        <v>2.98</v>
      </c>
      <c r="L135" s="501">
        <v>6.68</v>
      </c>
      <c r="M135" s="475"/>
      <c r="N135" s="475"/>
      <c r="O135" s="475"/>
      <c r="P135" s="475"/>
      <c r="Q135" s="483">
        <f t="shared" si="234"/>
        <v>1.8800000000000001</v>
      </c>
      <c r="R135" s="484">
        <f>IF(B135=0.66,VLOOKUP(F135,'Данные ТНПА'!$B$8:$C$16,2,0),
IF(B135=1,VLOOKUP(F135,'Данные ТНПА'!$B$17:$C$37,2,0),"ошибка"))</f>
        <v>2.2000000000000002</v>
      </c>
      <c r="S135" s="485">
        <f t="shared" si="120"/>
        <v>10.44</v>
      </c>
      <c r="T135" s="486"/>
      <c r="U135" s="487"/>
      <c r="V135" s="485">
        <f t="shared" si="121"/>
        <v>11.08</v>
      </c>
      <c r="W135" s="486"/>
      <c r="X135" s="487"/>
      <c r="Y135" s="489">
        <f t="shared" si="122"/>
        <v>0</v>
      </c>
      <c r="Z135" s="491">
        <f t="shared" si="123"/>
        <v>11.08</v>
      </c>
      <c r="AA135" s="237">
        <f t="shared" si="124"/>
        <v>0</v>
      </c>
      <c r="AB135" s="452">
        <f t="shared" si="235"/>
        <v>11.08</v>
      </c>
      <c r="AC135" s="201">
        <f t="shared" si="126"/>
        <v>0</v>
      </c>
      <c r="AD135" s="203">
        <f t="shared" si="236"/>
        <v>0</v>
      </c>
      <c r="AE135" s="37" t="str">
        <f t="shared" si="128"/>
        <v/>
      </c>
      <c r="AF135" s="202">
        <f t="shared" si="237"/>
        <v>0</v>
      </c>
      <c r="AG135" s="201">
        <f t="shared" si="238"/>
        <v>0</v>
      </c>
      <c r="AH135" s="61">
        <f t="shared" si="131"/>
        <v>11.08</v>
      </c>
      <c r="AI135" s="443">
        <f t="shared" si="233"/>
        <v>0</v>
      </c>
      <c r="AJ135" s="444">
        <f t="shared" si="239"/>
        <v>0</v>
      </c>
      <c r="AK135" s="445">
        <f t="shared" si="240"/>
        <v>0</v>
      </c>
      <c r="AL135" s="446">
        <f t="shared" si="241"/>
        <v>0</v>
      </c>
      <c r="AM135" s="447">
        <f t="shared" si="242"/>
        <v>0</v>
      </c>
      <c r="AN135" s="24">
        <f t="shared" si="243"/>
        <v>11.08</v>
      </c>
      <c r="AO135" s="443">
        <f t="shared" si="137"/>
        <v>0</v>
      </c>
      <c r="AP135" s="444">
        <f t="shared" si="244"/>
        <v>0</v>
      </c>
      <c r="AQ135" s="445">
        <f t="shared" si="245"/>
        <v>0</v>
      </c>
      <c r="AR135" s="446">
        <f t="shared" si="246"/>
        <v>0</v>
      </c>
      <c r="AS135" s="447">
        <f t="shared" si="247"/>
        <v>0</v>
      </c>
      <c r="AT135" s="24">
        <f t="shared" si="248"/>
        <v>11.08</v>
      </c>
      <c r="AU135" s="443">
        <f t="shared" si="143"/>
        <v>0</v>
      </c>
      <c r="AV135" s="444">
        <f t="shared" si="249"/>
        <v>0</v>
      </c>
      <c r="AW135" s="445">
        <f t="shared" si="250"/>
        <v>0</v>
      </c>
      <c r="AX135" s="446">
        <f t="shared" si="251"/>
        <v>0</v>
      </c>
      <c r="AY135" s="447">
        <f t="shared" si="252"/>
        <v>0</v>
      </c>
      <c r="AZ135" s="24">
        <f t="shared" si="253"/>
        <v>11.08</v>
      </c>
      <c r="BA135" s="43">
        <f>IF(BB135=0,0,
IF(D135=1,
(IF(AND(AH135&gt;'Данные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"ошибка_1"))))))),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"ошибка_2"))))))))</f>
        <v>0</v>
      </c>
      <c r="BB135" s="43">
        <f>IF(OR($AI$9=0,AND(D135&gt;1,F135&gt;10)),0,
IF(D135=1,
(IF(AND(AH135&gt;'Данные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"ошибка_1"))))))),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IF(AND(AH135&gt;'Данные ТНПА'!#REF!,AH135&lt;='Данные ТНПА'!#REF!),'Данные ТНПА'!#REF!,
"ошибка_2"))))))))</f>
        <v>0</v>
      </c>
      <c r="BC135" s="43">
        <f t="shared" si="254"/>
        <v>11.08</v>
      </c>
      <c r="BD135" s="237">
        <f t="shared" si="255"/>
        <v>0</v>
      </c>
      <c r="BE135" s="43">
        <f t="shared" si="256"/>
        <v>0</v>
      </c>
      <c r="BF135" s="201">
        <f t="shared" si="257"/>
        <v>0</v>
      </c>
      <c r="BG135" s="201">
        <f t="shared" si="258"/>
        <v>0</v>
      </c>
      <c r="BH135" s="61">
        <f t="shared" si="259"/>
        <v>11.08</v>
      </c>
      <c r="BI135" s="237">
        <f t="shared" si="260"/>
        <v>0</v>
      </c>
      <c r="BJ135" s="247">
        <f t="shared" si="261"/>
        <v>0</v>
      </c>
      <c r="BK135" s="431">
        <f t="shared" si="262"/>
        <v>0</v>
      </c>
      <c r="BL135" s="250">
        <f t="shared" si="263"/>
        <v>0</v>
      </c>
      <c r="BM135" s="237">
        <f t="shared" si="264"/>
        <v>0</v>
      </c>
      <c r="BN135" s="452">
        <f t="shared" si="265"/>
        <v>11.08</v>
      </c>
      <c r="BO135" s="237">
        <f t="shared" si="266"/>
        <v>0</v>
      </c>
      <c r="BP135" s="432">
        <f t="shared" si="267"/>
        <v>0</v>
      </c>
      <c r="BQ135" s="22" t="str">
        <f t="shared" si="268"/>
        <v/>
      </c>
      <c r="BR135" s="250">
        <f t="shared" si="269"/>
        <v>0</v>
      </c>
      <c r="BS135" s="237">
        <f t="shared" si="270"/>
        <v>0</v>
      </c>
      <c r="BT135" s="452">
        <f t="shared" si="271"/>
        <v>11.08</v>
      </c>
      <c r="BU135" s="492">
        <f t="shared" si="272"/>
        <v>1.1749999999999998</v>
      </c>
      <c r="BV135" s="493">
        <f>IF(BT135="","",
IF(AND(BT135&gt;'Данные ТНПА'!$K$8,BT135&lt;='Данные ТНПА'!$L$8),'Данные ТНПА'!$N$8,
IF(AND(BT135&gt;'Данные ТНПА'!$K$9,BT135&lt;='Данные ТНПА'!$L$9),'Данные ТНПА'!$N$9,
IF(AND(BT135&gt;'Данные ТНПА'!$K$10,BT135&lt;='Данные ТНПА'!$L$10),'Данные ТНПА'!$N$10,
IF(AND(BT135&gt;'Данные ТНПА'!$K$11,BT135&lt;='Данные ТНПА'!$L$11),'Данные ТНПА'!$N$11,
IF(AND(BT135&gt;'Данные ТНПА'!$K$12,BT135&lt;='Данные ТНПА'!$L$12),'Данные ТНПА'!$N$12,
IF(AND(BT135&gt;'Данные ТНПА'!$K$13,BT135&lt;='Данные ТНПА'!$L$13),'Данные ТНПА'!$N$13,
IF(AND(BT135&gt;'Данные ТНПА'!$K$14,BT135&lt;='Данные ТНПА'!$L$14),'Данные ТНПА'!$N$14))))))))</f>
        <v>1.5</v>
      </c>
      <c r="BW135" s="493">
        <f t="shared" si="273"/>
        <v>14.08</v>
      </c>
      <c r="BX135" s="457">
        <f t="shared" si="169"/>
        <v>0</v>
      </c>
      <c r="BY135" s="457">
        <f t="shared" si="170"/>
        <v>2133.6000000000004</v>
      </c>
      <c r="BZ135" s="457">
        <f t="shared" si="171"/>
        <v>90.465503114701519</v>
      </c>
      <c r="CA135" s="457" t="e">
        <f t="shared" si="274"/>
        <v>#REF!</v>
      </c>
      <c r="CB135" s="458">
        <f t="shared" si="275"/>
        <v>0</v>
      </c>
      <c r="CC135" s="457">
        <f t="shared" si="276"/>
        <v>0</v>
      </c>
      <c r="CD135" s="457">
        <f t="shared" si="277"/>
        <v>0</v>
      </c>
      <c r="CE135" s="457">
        <f t="shared" si="278"/>
        <v>0</v>
      </c>
      <c r="CF135" s="457">
        <f t="shared" si="279"/>
        <v>0</v>
      </c>
      <c r="CG135" s="458">
        <f t="shared" si="178"/>
        <v>0</v>
      </c>
      <c r="CH135" s="457">
        <f t="shared" si="280"/>
        <v>0</v>
      </c>
      <c r="CI135" s="457">
        <f t="shared" si="281"/>
        <v>0</v>
      </c>
      <c r="CJ135" s="458">
        <f t="shared" si="282"/>
        <v>0</v>
      </c>
      <c r="CK135" s="458">
        <f t="shared" si="182"/>
        <v>86.314378511436558</v>
      </c>
      <c r="CL135" s="457">
        <f t="shared" si="183"/>
        <v>2310.3798816261387</v>
      </c>
      <c r="CM135" s="504"/>
      <c r="CN135" s="504"/>
    </row>
    <row r="136" spans="1:92" ht="14.25" hidden="1" customHeight="1" x14ac:dyDescent="0.25">
      <c r="A136" s="389" t="str">
        <f>IF(D136="",CONCATENATE("Кабель ",IF(C136="а","А",""),$A$9),CONCATENATE("Кабель ",IF(C136="а","А",""),$A$9," ",D136,"*",F136,IF(G136="ок"," (ож)","")," - ",B136," ",IF(G136="мс"," фас. ",""),$A$2))</f>
        <v>Кабель ВВГ 1*300 - 1 ГОСТ 16442-80</v>
      </c>
      <c r="B136" s="450">
        <v>1</v>
      </c>
      <c r="C136" s="451" t="s">
        <v>163</v>
      </c>
      <c r="D136" s="412">
        <v>1</v>
      </c>
      <c r="E136" s="413" t="s">
        <v>40</v>
      </c>
      <c r="F136" s="423">
        <v>300</v>
      </c>
      <c r="G136" s="414" t="s">
        <v>154</v>
      </c>
      <c r="H136" s="461">
        <v>3.3699999999999997</v>
      </c>
      <c r="I136" s="478">
        <v>36</v>
      </c>
      <c r="J136" s="477" t="s">
        <v>40</v>
      </c>
      <c r="K136" s="470">
        <f>ROUNDUP(SQRT(F136/I136/PI()*4*1.07),2)</f>
        <v>3.3699999999999997</v>
      </c>
      <c r="L136" s="501">
        <v>7.1000000000000005</v>
      </c>
      <c r="M136" s="475"/>
      <c r="N136" s="475"/>
      <c r="O136" s="475"/>
      <c r="P136" s="475"/>
      <c r="Q136" s="483">
        <f t="shared" si="234"/>
        <v>2.06</v>
      </c>
      <c r="R136" s="484">
        <f>IF(B136=0.66,VLOOKUP(F136,'Данные ТНПА'!$B$8:$C$16,2,0),
IF(B136=1,VLOOKUP(F136,'Данные ТНПА'!$B$17:$C$37,2,0),"ошибка"))</f>
        <v>2.4</v>
      </c>
      <c r="S136" s="485">
        <f t="shared" si="120"/>
        <v>11.22</v>
      </c>
      <c r="T136" s="486"/>
      <c r="U136" s="487"/>
      <c r="V136" s="485">
        <f t="shared" si="121"/>
        <v>11.9</v>
      </c>
      <c r="W136" s="486"/>
      <c r="X136" s="487"/>
      <c r="Y136" s="489">
        <f t="shared" si="122"/>
        <v>0</v>
      </c>
      <c r="Z136" s="491">
        <f t="shared" si="123"/>
        <v>11.9</v>
      </c>
      <c r="AA136" s="237">
        <f t="shared" si="124"/>
        <v>0</v>
      </c>
      <c r="AB136" s="452">
        <f t="shared" si="235"/>
        <v>11.9</v>
      </c>
      <c r="AC136" s="201">
        <f t="shared" si="126"/>
        <v>0</v>
      </c>
      <c r="AD136" s="203">
        <f t="shared" si="236"/>
        <v>0</v>
      </c>
      <c r="AE136" s="37" t="str">
        <f t="shared" si="128"/>
        <v/>
      </c>
      <c r="AF136" s="202">
        <f t="shared" si="237"/>
        <v>0</v>
      </c>
      <c r="AG136" s="201">
        <f t="shared" si="238"/>
        <v>0</v>
      </c>
      <c r="AH136" s="61">
        <f t="shared" si="131"/>
        <v>11.9</v>
      </c>
      <c r="AI136" s="443">
        <f t="shared" si="233"/>
        <v>0</v>
      </c>
      <c r="AJ136" s="444">
        <f t="shared" si="239"/>
        <v>0</v>
      </c>
      <c r="AK136" s="445">
        <f t="shared" si="240"/>
        <v>0</v>
      </c>
      <c r="AL136" s="446">
        <f t="shared" si="241"/>
        <v>0</v>
      </c>
      <c r="AM136" s="447">
        <f t="shared" si="242"/>
        <v>0</v>
      </c>
      <c r="AN136" s="24">
        <f t="shared" si="243"/>
        <v>11.9</v>
      </c>
      <c r="AO136" s="443">
        <f t="shared" si="137"/>
        <v>0</v>
      </c>
      <c r="AP136" s="444">
        <f t="shared" si="244"/>
        <v>0</v>
      </c>
      <c r="AQ136" s="445">
        <f t="shared" si="245"/>
        <v>0</v>
      </c>
      <c r="AR136" s="446">
        <f t="shared" si="246"/>
        <v>0</v>
      </c>
      <c r="AS136" s="447">
        <f t="shared" si="247"/>
        <v>0</v>
      </c>
      <c r="AT136" s="24">
        <f t="shared" si="248"/>
        <v>11.9</v>
      </c>
      <c r="AU136" s="443">
        <f t="shared" si="143"/>
        <v>0</v>
      </c>
      <c r="AV136" s="444">
        <f t="shared" si="249"/>
        <v>0</v>
      </c>
      <c r="AW136" s="445">
        <f t="shared" si="250"/>
        <v>0</v>
      </c>
      <c r="AX136" s="446">
        <f t="shared" si="251"/>
        <v>0</v>
      </c>
      <c r="AY136" s="447">
        <f t="shared" si="252"/>
        <v>0</v>
      </c>
      <c r="AZ136" s="24">
        <f t="shared" si="253"/>
        <v>11.9</v>
      </c>
      <c r="BA136" s="43">
        <f>IF(BB136=0,0,
IF(D136=1,
(IF(AND(AH136&gt;'Данные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"ошибка_1"))))))),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"ошибка_2"))))))))</f>
        <v>0</v>
      </c>
      <c r="BB136" s="43">
        <f>IF(OR($AI$9=0,AND(D136&gt;1,F136&gt;10)),0,
IF(D136=1,
(IF(AND(AH136&gt;'Данные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"ошибка_1"))))))),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IF(AND(AH136&gt;'Данные ТНПА'!#REF!,AH136&lt;='Данные ТНПА'!#REF!),'Данные ТНПА'!#REF!,
"ошибка_2"))))))))</f>
        <v>0</v>
      </c>
      <c r="BC136" s="43">
        <f t="shared" si="254"/>
        <v>11.9</v>
      </c>
      <c r="BD136" s="237">
        <f t="shared" si="255"/>
        <v>0</v>
      </c>
      <c r="BE136" s="43">
        <f t="shared" si="256"/>
        <v>0</v>
      </c>
      <c r="BF136" s="201">
        <f t="shared" si="257"/>
        <v>0</v>
      </c>
      <c r="BG136" s="201">
        <f t="shared" si="258"/>
        <v>0</v>
      </c>
      <c r="BH136" s="61">
        <f t="shared" si="259"/>
        <v>11.9</v>
      </c>
      <c r="BI136" s="237">
        <f t="shared" si="260"/>
        <v>0</v>
      </c>
      <c r="BJ136" s="247">
        <f t="shared" si="261"/>
        <v>0</v>
      </c>
      <c r="BK136" s="431">
        <f t="shared" si="262"/>
        <v>0</v>
      </c>
      <c r="BL136" s="250">
        <f t="shared" si="263"/>
        <v>0</v>
      </c>
      <c r="BM136" s="237">
        <f t="shared" si="264"/>
        <v>0</v>
      </c>
      <c r="BN136" s="452">
        <f t="shared" si="265"/>
        <v>11.9</v>
      </c>
      <c r="BO136" s="237">
        <f t="shared" si="266"/>
        <v>0</v>
      </c>
      <c r="BP136" s="432">
        <f t="shared" si="267"/>
        <v>0</v>
      </c>
      <c r="BQ136" s="22" t="str">
        <f t="shared" si="268"/>
        <v/>
      </c>
      <c r="BR136" s="250">
        <f t="shared" si="269"/>
        <v>0</v>
      </c>
      <c r="BS136" s="237">
        <f t="shared" si="270"/>
        <v>0</v>
      </c>
      <c r="BT136" s="452">
        <f t="shared" si="271"/>
        <v>11.9</v>
      </c>
      <c r="BU136" s="492">
        <f t="shared" si="272"/>
        <v>1.1749999999999998</v>
      </c>
      <c r="BV136" s="493">
        <f>IF(BT136="","",
IF(AND(BT136&gt;'Данные ТНПА'!$K$8,BT136&lt;='Данные ТНПА'!$L$8),'Данные ТНПА'!$N$8,
IF(AND(BT136&gt;'Данные ТНПА'!$K$9,BT136&lt;='Данные ТНПА'!$L$9),'Данные ТНПА'!$N$9,
IF(AND(BT136&gt;'Данные ТНПА'!$K$10,BT136&lt;='Данные ТНПА'!$L$10),'Данные ТНПА'!$N$10,
IF(AND(BT136&gt;'Данные ТНПА'!$K$11,BT136&lt;='Данные ТНПА'!$L$11),'Данные ТНПА'!$N$11,
IF(AND(BT136&gt;'Данные ТНПА'!$K$12,BT136&lt;='Данные ТНПА'!$L$12),'Данные ТНПА'!$N$12,
IF(AND(BT136&gt;'Данные ТНПА'!$K$13,BT136&lt;='Данные ТНПА'!$L$13),'Данные ТНПА'!$N$13,
IF(AND(BT136&gt;'Данные ТНПА'!$K$14,BT136&lt;='Данные ТНПА'!$L$14),'Данные ТНПА'!$N$14))))))))</f>
        <v>1.5</v>
      </c>
      <c r="BW136" s="493">
        <f t="shared" si="273"/>
        <v>14.9</v>
      </c>
      <c r="BX136" s="457">
        <f t="shared" si="169"/>
        <v>0</v>
      </c>
      <c r="BY136" s="457">
        <f t="shared" si="170"/>
        <v>2667</v>
      </c>
      <c r="BZ136" s="457">
        <f t="shared" si="171"/>
        <v>105.5801326277229</v>
      </c>
      <c r="CA136" s="457" t="e">
        <f t="shared" si="274"/>
        <v>#REF!</v>
      </c>
      <c r="CB136" s="458">
        <f t="shared" si="275"/>
        <v>0</v>
      </c>
      <c r="CC136" s="457">
        <f t="shared" si="276"/>
        <v>0</v>
      </c>
      <c r="CD136" s="457">
        <f t="shared" si="277"/>
        <v>0</v>
      </c>
      <c r="CE136" s="457">
        <f t="shared" si="278"/>
        <v>0</v>
      </c>
      <c r="CF136" s="457">
        <f t="shared" si="279"/>
        <v>0</v>
      </c>
      <c r="CG136" s="458">
        <f t="shared" si="178"/>
        <v>0</v>
      </c>
      <c r="CH136" s="457">
        <f t="shared" si="280"/>
        <v>0</v>
      </c>
      <c r="CI136" s="457">
        <f t="shared" si="281"/>
        <v>0</v>
      </c>
      <c r="CJ136" s="458">
        <f t="shared" si="282"/>
        <v>0</v>
      </c>
      <c r="CK136" s="458">
        <f t="shared" si="182"/>
        <v>91.940593962897452</v>
      </c>
      <c r="CL136" s="457">
        <f t="shared" si="183"/>
        <v>2864.5207265906201</v>
      </c>
      <c r="CM136" s="504"/>
      <c r="CN136" s="504"/>
    </row>
    <row r="137" spans="1:92" ht="14.25" hidden="1" customHeight="1" x14ac:dyDescent="0.25">
      <c r="A137" s="389" t="str">
        <f>IF(D137="",CONCATENATE("Кабель ",IF(C137="а","А",""),$A$9),CONCATENATE("Кабель ",IF(C137="а","А",""),$A$9," ",D137,"*",F137,IF(G137="ок"," (ож)","")," - ",B137," ",IF(G137="мс"," фас. ",""),$A$2))</f>
        <v>Кабель ВВГ 1*400 - 1 ГОСТ 16442-80</v>
      </c>
      <c r="B137" s="450">
        <v>1</v>
      </c>
      <c r="C137" s="451" t="s">
        <v>163</v>
      </c>
      <c r="D137" s="412">
        <v>1</v>
      </c>
      <c r="E137" s="413" t="s">
        <v>40</v>
      </c>
      <c r="F137" s="423">
        <v>400</v>
      </c>
      <c r="G137" s="414" t="s">
        <v>154</v>
      </c>
      <c r="H137" s="461">
        <v>3.0999999999999996</v>
      </c>
      <c r="I137" s="478">
        <v>57</v>
      </c>
      <c r="J137" s="477" t="s">
        <v>40</v>
      </c>
      <c r="K137" s="470">
        <f>ROUNDUP(SQRT(F137/I137/PI()*4*1.07),2)</f>
        <v>3.0999999999999996</v>
      </c>
      <c r="L137" s="501">
        <v>8.15</v>
      </c>
      <c r="M137" s="475"/>
      <c r="N137" s="475"/>
      <c r="O137" s="475"/>
      <c r="P137" s="475"/>
      <c r="Q137" s="483">
        <f t="shared" si="234"/>
        <v>2.2400000000000002</v>
      </c>
      <c r="R137" s="484">
        <f>IF(B137=0.66,VLOOKUP(F137,'Данные ТНПА'!$B$8:$C$16,2,0),
IF(B137=1,VLOOKUP(F137,'Данные ТНПА'!$B$17:$C$37,2,0),"ошибка"))</f>
        <v>2.6</v>
      </c>
      <c r="S137" s="485">
        <f t="shared" si="120"/>
        <v>12.63</v>
      </c>
      <c r="T137" s="486"/>
      <c r="U137" s="487"/>
      <c r="V137" s="485">
        <f t="shared" si="121"/>
        <v>13.350000000000001</v>
      </c>
      <c r="W137" s="486"/>
      <c r="X137" s="487"/>
      <c r="Y137" s="489">
        <f t="shared" si="122"/>
        <v>0</v>
      </c>
      <c r="Z137" s="491">
        <f t="shared" si="123"/>
        <v>13.350000000000001</v>
      </c>
      <c r="AA137" s="237">
        <f t="shared" si="124"/>
        <v>0</v>
      </c>
      <c r="AB137" s="452">
        <f t="shared" si="235"/>
        <v>13.350000000000001</v>
      </c>
      <c r="AC137" s="201">
        <f t="shared" si="126"/>
        <v>0</v>
      </c>
      <c r="AD137" s="203">
        <f t="shared" si="236"/>
        <v>0</v>
      </c>
      <c r="AE137" s="37" t="str">
        <f t="shared" si="128"/>
        <v/>
      </c>
      <c r="AF137" s="202">
        <f t="shared" si="237"/>
        <v>0</v>
      </c>
      <c r="AG137" s="201">
        <f t="shared" si="238"/>
        <v>0</v>
      </c>
      <c r="AH137" s="61">
        <f t="shared" si="131"/>
        <v>13.350000000000001</v>
      </c>
      <c r="AI137" s="443">
        <f t="shared" si="233"/>
        <v>0</v>
      </c>
      <c r="AJ137" s="444">
        <f t="shared" si="239"/>
        <v>0</v>
      </c>
      <c r="AK137" s="445">
        <f t="shared" si="240"/>
        <v>0</v>
      </c>
      <c r="AL137" s="446">
        <f t="shared" si="241"/>
        <v>0</v>
      </c>
      <c r="AM137" s="447">
        <f t="shared" si="242"/>
        <v>0</v>
      </c>
      <c r="AN137" s="24">
        <f t="shared" si="243"/>
        <v>13.350000000000001</v>
      </c>
      <c r="AO137" s="443">
        <f t="shared" si="137"/>
        <v>0</v>
      </c>
      <c r="AP137" s="444">
        <f t="shared" si="244"/>
        <v>0</v>
      </c>
      <c r="AQ137" s="445">
        <f t="shared" si="245"/>
        <v>0</v>
      </c>
      <c r="AR137" s="446">
        <f t="shared" si="246"/>
        <v>0</v>
      </c>
      <c r="AS137" s="447">
        <f t="shared" si="247"/>
        <v>0</v>
      </c>
      <c r="AT137" s="24">
        <f t="shared" si="248"/>
        <v>13.350000000000001</v>
      </c>
      <c r="AU137" s="443">
        <f t="shared" si="143"/>
        <v>0</v>
      </c>
      <c r="AV137" s="444">
        <f t="shared" si="249"/>
        <v>0</v>
      </c>
      <c r="AW137" s="445">
        <f t="shared" si="250"/>
        <v>0</v>
      </c>
      <c r="AX137" s="446">
        <f t="shared" si="251"/>
        <v>0</v>
      </c>
      <c r="AY137" s="447">
        <f t="shared" si="252"/>
        <v>0</v>
      </c>
      <c r="AZ137" s="24">
        <f t="shared" si="253"/>
        <v>13.350000000000001</v>
      </c>
      <c r="BA137" s="43">
        <f>IF(BB137=0,0,
IF(D137=1,
(IF(AND(AH137&gt;'Данные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"ошибка_1"))))))),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"ошибка_2"))))))))</f>
        <v>0</v>
      </c>
      <c r="BB137" s="43">
        <f>IF(OR($AI$9=0,AND(D137&gt;1,F137&gt;10)),0,
IF(D137=1,
(IF(AND(AH137&gt;'Данные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"ошибка_1"))))))),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IF(AND(AH137&gt;'Данные ТНПА'!#REF!,AH137&lt;='Данные ТНПА'!#REF!),'Данные ТНПА'!#REF!,
"ошибка_2"))))))))</f>
        <v>0</v>
      </c>
      <c r="BC137" s="43">
        <f t="shared" si="254"/>
        <v>13.350000000000001</v>
      </c>
      <c r="BD137" s="237">
        <f t="shared" si="255"/>
        <v>0</v>
      </c>
      <c r="BE137" s="43">
        <f t="shared" si="256"/>
        <v>0</v>
      </c>
      <c r="BF137" s="201">
        <f t="shared" si="257"/>
        <v>0</v>
      </c>
      <c r="BG137" s="201">
        <f t="shared" si="258"/>
        <v>0</v>
      </c>
      <c r="BH137" s="61">
        <f t="shared" si="259"/>
        <v>13.350000000000001</v>
      </c>
      <c r="BI137" s="237">
        <f t="shared" si="260"/>
        <v>0</v>
      </c>
      <c r="BJ137" s="247">
        <f t="shared" si="261"/>
        <v>0</v>
      </c>
      <c r="BK137" s="431">
        <f t="shared" si="262"/>
        <v>0</v>
      </c>
      <c r="BL137" s="250">
        <f t="shared" si="263"/>
        <v>0</v>
      </c>
      <c r="BM137" s="237">
        <f t="shared" si="264"/>
        <v>0</v>
      </c>
      <c r="BN137" s="452">
        <f t="shared" si="265"/>
        <v>13.350000000000001</v>
      </c>
      <c r="BO137" s="237">
        <f t="shared" si="266"/>
        <v>0</v>
      </c>
      <c r="BP137" s="432">
        <f t="shared" si="267"/>
        <v>0</v>
      </c>
      <c r="BQ137" s="22" t="str">
        <f t="shared" si="268"/>
        <v/>
      </c>
      <c r="BR137" s="250">
        <f t="shared" si="269"/>
        <v>0</v>
      </c>
      <c r="BS137" s="237">
        <f t="shared" si="270"/>
        <v>0</v>
      </c>
      <c r="BT137" s="452">
        <f t="shared" si="271"/>
        <v>13.350000000000001</v>
      </c>
      <c r="BU137" s="492">
        <f t="shared" si="272"/>
        <v>1.1749999999999998</v>
      </c>
      <c r="BV137" s="493">
        <f>IF(BT137="","",
IF(AND(BT137&gt;'Данные ТНПА'!$K$8,BT137&lt;='Данные ТНПА'!$L$8),'Данные ТНПА'!$N$8,
IF(AND(BT137&gt;'Данные ТНПА'!$K$9,BT137&lt;='Данные ТНПА'!$L$9),'Данные ТНПА'!$N$9,
IF(AND(BT137&gt;'Данные ТНПА'!$K$10,BT137&lt;='Данные ТНПА'!$L$10),'Данные ТНПА'!$N$10,
IF(AND(BT137&gt;'Данные ТНПА'!$K$11,BT137&lt;='Данные ТНПА'!$L$11),'Данные ТНПА'!$N$11,
IF(AND(BT137&gt;'Данные ТНПА'!$K$12,BT137&lt;='Данные ТНПА'!$L$12),'Данные ТНПА'!$N$12,
IF(AND(BT137&gt;'Данные ТНПА'!$K$13,BT137&lt;='Данные ТНПА'!$L$13),'Данные ТНПА'!$N$13,
IF(AND(BT137&gt;'Данные ТНПА'!$K$14,BT137&lt;='Данные ТНПА'!$L$14),'Данные ТНПА'!$N$14))))))))</f>
        <v>1.5</v>
      </c>
      <c r="BW137" s="493">
        <f t="shared" si="273"/>
        <v>16.350000000000001</v>
      </c>
      <c r="BX137" s="457">
        <f t="shared" si="169"/>
        <v>0</v>
      </c>
      <c r="BY137" s="457">
        <f t="shared" si="170"/>
        <v>3556</v>
      </c>
      <c r="BZ137" s="457">
        <f t="shared" si="171"/>
        <v>129.4282766203884</v>
      </c>
      <c r="CA137" s="457" t="e">
        <f t="shared" si="274"/>
        <v>#REF!</v>
      </c>
      <c r="CB137" s="458">
        <f t="shared" si="275"/>
        <v>0</v>
      </c>
      <c r="CC137" s="457">
        <f t="shared" si="276"/>
        <v>0</v>
      </c>
      <c r="CD137" s="457">
        <f t="shared" si="277"/>
        <v>0</v>
      </c>
      <c r="CE137" s="457">
        <f t="shared" si="278"/>
        <v>0</v>
      </c>
      <c r="CF137" s="457">
        <f t="shared" si="279"/>
        <v>0</v>
      </c>
      <c r="CG137" s="458">
        <f t="shared" si="178"/>
        <v>0</v>
      </c>
      <c r="CH137" s="457">
        <f t="shared" si="280"/>
        <v>0</v>
      </c>
      <c r="CI137" s="457">
        <f t="shared" si="281"/>
        <v>0</v>
      </c>
      <c r="CJ137" s="458">
        <f t="shared" si="282"/>
        <v>0</v>
      </c>
      <c r="CK137" s="458">
        <f t="shared" si="182"/>
        <v>101.88938957828563</v>
      </c>
      <c r="CL137" s="457">
        <f t="shared" si="183"/>
        <v>3787.317666198674</v>
      </c>
      <c r="CM137" s="504"/>
      <c r="CN137" s="504"/>
    </row>
    <row r="138" spans="1:92" ht="14.25" hidden="1" customHeight="1" x14ac:dyDescent="0.25">
      <c r="A138" s="389" t="str">
        <f>IF(D138="",CONCATENATE("Кабель ",IF(C138="а","А",""),$A$9),CONCATENATE("Кабель ",IF(C138="а","А",""),$A$9," ",D138,"*",F138,IF(G138="ок"," (ож)","")," - ",B138," ",IF(G138="мс"," фас. ",""),$A$2))</f>
        <v>Кабель ВВГ 1*500 - 1 ГОСТ 16442-80</v>
      </c>
      <c r="B138" s="450">
        <v>1</v>
      </c>
      <c r="C138" s="451" t="s">
        <v>163</v>
      </c>
      <c r="D138" s="412">
        <v>1</v>
      </c>
      <c r="E138" s="413" t="s">
        <v>40</v>
      </c>
      <c r="F138" s="423">
        <v>500</v>
      </c>
      <c r="G138" s="414" t="s">
        <v>154</v>
      </c>
      <c r="H138" s="461">
        <v>3.46</v>
      </c>
      <c r="I138" s="478">
        <v>57</v>
      </c>
      <c r="J138" s="477" t="s">
        <v>40</v>
      </c>
      <c r="K138" s="470">
        <f>ROUNDUP(SQRT(F138/I138/PI()*4*1.07),2)</f>
        <v>3.46</v>
      </c>
      <c r="L138" s="501">
        <v>9.75</v>
      </c>
      <c r="M138" s="475"/>
      <c r="N138" s="475"/>
      <c r="O138" s="475"/>
      <c r="P138" s="475"/>
      <c r="Q138" s="483">
        <f t="shared" si="234"/>
        <v>2.42</v>
      </c>
      <c r="R138" s="484">
        <f>IF(B138=0.66,VLOOKUP(F138,'Данные ТНПА'!$B$8:$C$16,2,0),
IF(B138=1,VLOOKUP(F138,'Данные ТНПА'!$B$17:$C$37,2,0),"ошибка"))</f>
        <v>2.8</v>
      </c>
      <c r="S138" s="485">
        <f t="shared" ref="S138:S201" si="283">IF(I138=1,K138+2*Q138,L138+2*Q138)</f>
        <v>14.59</v>
      </c>
      <c r="T138" s="486"/>
      <c r="U138" s="487"/>
      <c r="V138" s="485">
        <f t="shared" ref="V138:V201" si="284">IF(I138=1,K138+2*R138,L138+2*R138)</f>
        <v>15.35</v>
      </c>
      <c r="W138" s="486"/>
      <c r="X138" s="487"/>
      <c r="Y138" s="489">
        <f t="shared" ref="Y138:Y201" si="285">IF(V138="","",ROUND(V138*IF(AND(D138=4,F138&gt;16),0.414,IF(D138=5,0.702,0)),1))</f>
        <v>0</v>
      </c>
      <c r="Z138" s="491">
        <f t="shared" ref="Z138:Z201" si="286">IF(R138="","",
IF(G138="мс",2*(V138+(N138+R138)*(1/COS(PI()*(D138-2)/(2*D138))-1)),
IF(D138=1,V138*1,IF(D138=2,V138*2,IF(D138=3,V138*2.15,IF(D138=4,V138*2.41,IF(D138=5,V138*2.7,"ошибка")))))))</f>
        <v>15.35</v>
      </c>
      <c r="AA138" s="237">
        <f t="shared" ref="AA138:AA201" si="287">IF(G138="","",IF(G138="мс",$AA$9,0))</f>
        <v>0</v>
      </c>
      <c r="AB138" s="452">
        <f t="shared" si="235"/>
        <v>15.35</v>
      </c>
      <c r="AC138" s="201">
        <f t="shared" ref="AC138:AC201" si="288">IF(G138="","",IF(G138="мс",$AC$9,0))</f>
        <v>0</v>
      </c>
      <c r="AD138" s="203">
        <f t="shared" si="236"/>
        <v>0</v>
      </c>
      <c r="AE138" s="37" t="str">
        <f t="shared" ref="AE138:AE201" si="289">IF(Z138="","",IF(AND(G138="мс",AC138&gt;0),"×",""))</f>
        <v/>
      </c>
      <c r="AF138" s="202">
        <f t="shared" si="237"/>
        <v>0</v>
      </c>
      <c r="AG138" s="201">
        <f t="shared" si="238"/>
        <v>0</v>
      </c>
      <c r="AH138" s="61">
        <f t="shared" ref="AH138:AH201" si="290">IF(Z138="","",IF(AND(G138="мс",AC138&gt;0),Z138+2*AC138*AD138*IF(AG138&lt;=25,1,IF(AG138&gt;33,2,1.5)),Z138))</f>
        <v>15.35</v>
      </c>
      <c r="AI138" s="443">
        <f t="shared" si="233"/>
        <v>0</v>
      </c>
      <c r="AJ138" s="444">
        <f t="shared" si="239"/>
        <v>0</v>
      </c>
      <c r="AK138" s="445">
        <f t="shared" si="240"/>
        <v>0</v>
      </c>
      <c r="AL138" s="446">
        <f t="shared" si="241"/>
        <v>0</v>
      </c>
      <c r="AM138" s="447">
        <f t="shared" si="242"/>
        <v>0</v>
      </c>
      <c r="AN138" s="24">
        <f t="shared" si="243"/>
        <v>15.35</v>
      </c>
      <c r="AO138" s="443">
        <f t="shared" ref="AO138:AO201" si="291">IF(OR(AI138=0,AN138&lt;=10,AN138&gt;23,AND(D138&gt;1,F138&lt;=10,OR(G138="ок",G138="мк"))),0,1)</f>
        <v>0</v>
      </c>
      <c r="AP138" s="444">
        <f t="shared" si="244"/>
        <v>0</v>
      </c>
      <c r="AQ138" s="445">
        <f t="shared" si="245"/>
        <v>0</v>
      </c>
      <c r="AR138" s="446">
        <f t="shared" si="246"/>
        <v>0</v>
      </c>
      <c r="AS138" s="447">
        <f t="shared" si="247"/>
        <v>0</v>
      </c>
      <c r="AT138" s="24">
        <f t="shared" si="248"/>
        <v>15.35</v>
      </c>
      <c r="AU138" s="443">
        <f t="shared" ref="AU138:AU201" si="292">IF(OR(AI138=0,D138=1,AN138&lt;=23),0,1)</f>
        <v>0</v>
      </c>
      <c r="AV138" s="444">
        <f t="shared" si="249"/>
        <v>0</v>
      </c>
      <c r="AW138" s="445">
        <f t="shared" si="250"/>
        <v>0</v>
      </c>
      <c r="AX138" s="446">
        <f t="shared" si="251"/>
        <v>0</v>
      </c>
      <c r="AY138" s="447">
        <f t="shared" si="252"/>
        <v>0</v>
      </c>
      <c r="AZ138" s="24">
        <f t="shared" si="253"/>
        <v>15.35</v>
      </c>
      <c r="BA138" s="43">
        <f>IF(BB138=0,0,
IF(D138=1,
(IF(AND(AH138&gt;'Данные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"ошибка_1"))))))),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"ошибка_2"))))))))</f>
        <v>0</v>
      </c>
      <c r="BB138" s="43">
        <f>IF(OR($AI$9=0,AND(D138&gt;1,F138&gt;10)),0,
IF(D138=1,
(IF(AND(AH138&gt;'Данные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"ошибка_1"))))))),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IF(AND(AH138&gt;'Данные ТНПА'!#REF!,AH138&lt;='Данные ТНПА'!#REF!),'Данные ТНПА'!#REF!,
"ошибка_2"))))))))</f>
        <v>0</v>
      </c>
      <c r="BC138" s="43">
        <f t="shared" si="254"/>
        <v>15.35</v>
      </c>
      <c r="BD138" s="237">
        <f t="shared" si="255"/>
        <v>0</v>
      </c>
      <c r="BE138" s="43">
        <f t="shared" si="256"/>
        <v>0</v>
      </c>
      <c r="BF138" s="201">
        <f t="shared" si="257"/>
        <v>0</v>
      </c>
      <c r="BG138" s="201">
        <f t="shared" si="258"/>
        <v>0</v>
      </c>
      <c r="BH138" s="61">
        <f t="shared" si="259"/>
        <v>15.35</v>
      </c>
      <c r="BI138" s="237">
        <f t="shared" si="260"/>
        <v>0</v>
      </c>
      <c r="BJ138" s="247">
        <f t="shared" si="261"/>
        <v>0</v>
      </c>
      <c r="BK138" s="431">
        <f t="shared" si="262"/>
        <v>0</v>
      </c>
      <c r="BL138" s="250">
        <f t="shared" si="263"/>
        <v>0</v>
      </c>
      <c r="BM138" s="237">
        <f t="shared" si="264"/>
        <v>0</v>
      </c>
      <c r="BN138" s="452">
        <f t="shared" si="265"/>
        <v>15.35</v>
      </c>
      <c r="BO138" s="237">
        <f t="shared" si="266"/>
        <v>0</v>
      </c>
      <c r="BP138" s="432">
        <f t="shared" si="267"/>
        <v>0</v>
      </c>
      <c r="BQ138" s="22" t="str">
        <f t="shared" si="268"/>
        <v/>
      </c>
      <c r="BR138" s="250">
        <f t="shared" si="269"/>
        <v>0</v>
      </c>
      <c r="BS138" s="237">
        <f t="shared" si="270"/>
        <v>0</v>
      </c>
      <c r="BT138" s="452">
        <f t="shared" si="271"/>
        <v>15.35</v>
      </c>
      <c r="BU138" s="492">
        <f t="shared" si="272"/>
        <v>1.3449999999999998</v>
      </c>
      <c r="BV138" s="493">
        <f>IF(BT138="","",
IF(AND(BT138&gt;'Данные ТНПА'!$K$8,BT138&lt;='Данные ТНПА'!$L$8),'Данные ТНПА'!$N$8,
IF(AND(BT138&gt;'Данные ТНПА'!$K$9,BT138&lt;='Данные ТНПА'!$L$9),'Данные ТНПА'!$N$9,
IF(AND(BT138&gt;'Данные ТНПА'!$K$10,BT138&lt;='Данные ТНПА'!$L$10),'Данные ТНПА'!$N$10,
IF(AND(BT138&gt;'Данные ТНПА'!$K$11,BT138&lt;='Данные ТНПА'!$L$11),'Данные ТНПА'!$N$11,
IF(AND(BT138&gt;'Данные ТНПА'!$K$12,BT138&lt;='Данные ТНПА'!$L$12),'Данные ТНПА'!$N$12,
IF(AND(BT138&gt;'Данные ТНПА'!$K$13,BT138&lt;='Данные ТНПА'!$L$13),'Данные ТНПА'!$N$13,
IF(AND(BT138&gt;'Данные ТНПА'!$K$14,BT138&lt;='Данные ТНПА'!$L$14),'Данные ТНПА'!$N$14))))))))</f>
        <v>1.7</v>
      </c>
      <c r="BW138" s="493">
        <f t="shared" si="273"/>
        <v>18.75</v>
      </c>
      <c r="BX138" s="457">
        <f t="shared" ref="BX138:BX201" si="293">IF(C138="а",F138*$BX$9*D138*IF(D138&gt;1,1.007,1),0)</f>
        <v>0</v>
      </c>
      <c r="BY138" s="457">
        <f t="shared" ref="BY138:BY201" si="294">IF(C138="а",0,F138*$BY$9*D138*IF(D138&gt;1,1.007,1))</f>
        <v>4445</v>
      </c>
      <c r="BZ138" s="457">
        <f t="shared" ref="BZ138:BZ201" si="295">IF(G138="мс",PI()*(P138/PI()+R138)*R138*$BZ$9*1.13*D138*1.007,
PI()*(IF(I138=1,K138,L138)+R138)*R138*$BZ$9*D138*IF(D138&gt;1,1.007,1)*IF(I138=1,1,(IF(F138&gt;=4,1.1,1.07))))</f>
        <v>162.72306405869224</v>
      </c>
      <c r="CA138" s="457" t="e">
        <f t="shared" si="274"/>
        <v>#REF!</v>
      </c>
      <c r="CB138" s="458">
        <f t="shared" si="275"/>
        <v>0</v>
      </c>
      <c r="CC138" s="457">
        <f t="shared" si="276"/>
        <v>0</v>
      </c>
      <c r="CD138" s="457">
        <f t="shared" si="277"/>
        <v>0</v>
      </c>
      <c r="CE138" s="457">
        <f t="shared" si="278"/>
        <v>0</v>
      </c>
      <c r="CF138" s="457">
        <f t="shared" si="279"/>
        <v>0</v>
      </c>
      <c r="CG138" s="458">
        <f t="shared" ref="CG138:CG201" si="296">IF(CB138="","",
IF(BB138=0,0,
IF(AND(G138="мс",AC138=0),(PI()*BC138^2/4-D138*(O138+PI()*(P138/PI()+R138)*R138)-((POWER((N138+R138),2)*(D138*TAN(PI()*((D138-2)/(2*D138)))-(PI()*(D138-2)/2)))))*$CG$9,
IF(AND(D138&gt;1,OR(G138="ок",G138="мк")),(PI()*BC138^2/4-PI()*V138^2*(D138+2)/8-D138*(SIN(PI()*(D138-2)/D138))/2*(AB138/2-V138/2)^2)*$CG$9,
PI()*(AB138+BB138)*BB138*1.07*$CG$9))))</f>
        <v>0</v>
      </c>
      <c r="CH138" s="457">
        <f t="shared" si="280"/>
        <v>0</v>
      </c>
      <c r="CI138" s="457">
        <f t="shared" si="281"/>
        <v>0</v>
      </c>
      <c r="CJ138" s="458">
        <f t="shared" si="282"/>
        <v>0</v>
      </c>
      <c r="CK138" s="458">
        <f t="shared" si="182"/>
        <v>132.58199582162104</v>
      </c>
      <c r="CL138" s="457">
        <f t="shared" si="183"/>
        <v>4740.3050598803129</v>
      </c>
      <c r="CM138" s="504"/>
      <c r="CN138" s="504"/>
    </row>
    <row r="139" spans="1:92" ht="14.25" hidden="1" customHeight="1" x14ac:dyDescent="0.25">
      <c r="A139" s="389" t="str">
        <f>IF(D139="",CONCATENATE("Кабель ",IF(C139="а","А",""),$A$9),CONCATENATE("Кабель ",IF(C139="а","А",""),$A$9," ",D139,"*",F139,IF(G139="ок"," (ож)","")," - ",B139," ",IF(G139="мс"," фас. ",""),$A$2))</f>
        <v>Кабель ВВГ 1*630 - 1 ГОСТ 16442-80</v>
      </c>
      <c r="B139" s="450">
        <v>1</v>
      </c>
      <c r="C139" s="451" t="s">
        <v>163</v>
      </c>
      <c r="D139" s="412">
        <v>1</v>
      </c>
      <c r="E139" s="413" t="s">
        <v>40</v>
      </c>
      <c r="F139" s="423">
        <v>630</v>
      </c>
      <c r="G139" s="414" t="s">
        <v>154</v>
      </c>
      <c r="H139" s="461">
        <v>3.8499999999999996</v>
      </c>
      <c r="I139" s="478">
        <v>58</v>
      </c>
      <c r="J139" s="477" t="s">
        <v>40</v>
      </c>
      <c r="K139" s="470">
        <f>ROUNDUP(SQRT(F139/I139/PI()*4*1.07),2)</f>
        <v>3.8499999999999996</v>
      </c>
      <c r="L139" s="501">
        <v>11.55</v>
      </c>
      <c r="M139" s="475"/>
      <c r="N139" s="475"/>
      <c r="O139" s="475"/>
      <c r="P139" s="475"/>
      <c r="Q139" s="483">
        <f t="shared" si="234"/>
        <v>2.42</v>
      </c>
      <c r="R139" s="484">
        <f>IF(B139=0.66,VLOOKUP(F139,'Данные ТНПА'!$B$8:$C$16,2,0),
IF(B139=1,VLOOKUP(F139,'Данные ТНПА'!$B$17:$C$37,2,0),"ошибка"))</f>
        <v>2.8</v>
      </c>
      <c r="S139" s="485">
        <f t="shared" si="283"/>
        <v>16.39</v>
      </c>
      <c r="T139" s="486"/>
      <c r="U139" s="487"/>
      <c r="V139" s="485">
        <f t="shared" si="284"/>
        <v>17.149999999999999</v>
      </c>
      <c r="W139" s="486"/>
      <c r="X139" s="487"/>
      <c r="Y139" s="489">
        <f t="shared" si="285"/>
        <v>0</v>
      </c>
      <c r="Z139" s="491">
        <f t="shared" si="286"/>
        <v>17.149999999999999</v>
      </c>
      <c r="AA139" s="237">
        <f t="shared" si="287"/>
        <v>0</v>
      </c>
      <c r="AB139" s="452">
        <f t="shared" si="235"/>
        <v>17.149999999999999</v>
      </c>
      <c r="AC139" s="201">
        <f t="shared" si="288"/>
        <v>0</v>
      </c>
      <c r="AD139" s="203">
        <f t="shared" si="236"/>
        <v>0</v>
      </c>
      <c r="AE139" s="37" t="str">
        <f t="shared" si="289"/>
        <v/>
      </c>
      <c r="AF139" s="202">
        <f t="shared" si="237"/>
        <v>0</v>
      </c>
      <c r="AG139" s="201">
        <f t="shared" si="238"/>
        <v>0</v>
      </c>
      <c r="AH139" s="61">
        <f t="shared" si="290"/>
        <v>17.149999999999999</v>
      </c>
      <c r="AI139" s="443">
        <f t="shared" si="233"/>
        <v>0</v>
      </c>
      <c r="AJ139" s="444">
        <f t="shared" si="239"/>
        <v>0</v>
      </c>
      <c r="AK139" s="445">
        <f t="shared" si="240"/>
        <v>0</v>
      </c>
      <c r="AL139" s="446">
        <f t="shared" si="241"/>
        <v>0</v>
      </c>
      <c r="AM139" s="447">
        <f t="shared" si="242"/>
        <v>0</v>
      </c>
      <c r="AN139" s="24">
        <f t="shared" si="243"/>
        <v>17.149999999999999</v>
      </c>
      <c r="AO139" s="443">
        <f t="shared" si="291"/>
        <v>0</v>
      </c>
      <c r="AP139" s="444">
        <f t="shared" si="244"/>
        <v>0</v>
      </c>
      <c r="AQ139" s="445">
        <f t="shared" si="245"/>
        <v>0</v>
      </c>
      <c r="AR139" s="446">
        <f t="shared" si="246"/>
        <v>0</v>
      </c>
      <c r="AS139" s="447">
        <f t="shared" si="247"/>
        <v>0</v>
      </c>
      <c r="AT139" s="24">
        <f t="shared" si="248"/>
        <v>17.149999999999999</v>
      </c>
      <c r="AU139" s="443">
        <f t="shared" si="292"/>
        <v>0</v>
      </c>
      <c r="AV139" s="444">
        <f t="shared" si="249"/>
        <v>0</v>
      </c>
      <c r="AW139" s="445">
        <f t="shared" si="250"/>
        <v>0</v>
      </c>
      <c r="AX139" s="446">
        <f t="shared" si="251"/>
        <v>0</v>
      </c>
      <c r="AY139" s="447">
        <f t="shared" si="252"/>
        <v>0</v>
      </c>
      <c r="AZ139" s="24">
        <f t="shared" si="253"/>
        <v>17.149999999999999</v>
      </c>
      <c r="BA139" s="43">
        <f>IF(BB139=0,0,
IF(D139=1,
(IF(AND(AH139&gt;'Данные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"ошибка_1"))))))),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"ошибка_2"))))))))</f>
        <v>0</v>
      </c>
      <c r="BB139" s="43">
        <f>IF(OR($AI$9=0,AND(D139&gt;1,F139&gt;10)),0,
IF(D139=1,
(IF(AND(AH139&gt;'Данные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"ошибка_1"))))))),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IF(AND(AH139&gt;'Данные ТНПА'!#REF!,AH139&lt;='Данные ТНПА'!#REF!),'Данные ТНПА'!#REF!,
"ошибка_2"))))))))</f>
        <v>0</v>
      </c>
      <c r="BC139" s="43">
        <f t="shared" si="254"/>
        <v>17.149999999999999</v>
      </c>
      <c r="BD139" s="237">
        <f t="shared" si="255"/>
        <v>0</v>
      </c>
      <c r="BE139" s="43">
        <f t="shared" si="256"/>
        <v>0</v>
      </c>
      <c r="BF139" s="201">
        <f t="shared" si="257"/>
        <v>0</v>
      </c>
      <c r="BG139" s="201">
        <f t="shared" si="258"/>
        <v>0</v>
      </c>
      <c r="BH139" s="61">
        <f t="shared" si="259"/>
        <v>17.149999999999999</v>
      </c>
      <c r="BI139" s="237">
        <f t="shared" si="260"/>
        <v>0</v>
      </c>
      <c r="BJ139" s="247">
        <f t="shared" si="261"/>
        <v>0</v>
      </c>
      <c r="BK139" s="431">
        <f t="shared" si="262"/>
        <v>0</v>
      </c>
      <c r="BL139" s="250">
        <f t="shared" si="263"/>
        <v>0</v>
      </c>
      <c r="BM139" s="237">
        <f t="shared" si="264"/>
        <v>0</v>
      </c>
      <c r="BN139" s="452">
        <f t="shared" si="265"/>
        <v>17.149999999999999</v>
      </c>
      <c r="BO139" s="237">
        <f t="shared" si="266"/>
        <v>0</v>
      </c>
      <c r="BP139" s="432">
        <f t="shared" si="267"/>
        <v>0</v>
      </c>
      <c r="BQ139" s="22" t="str">
        <f t="shared" si="268"/>
        <v/>
      </c>
      <c r="BR139" s="250">
        <f t="shared" si="269"/>
        <v>0</v>
      </c>
      <c r="BS139" s="237">
        <f t="shared" si="270"/>
        <v>0</v>
      </c>
      <c r="BT139" s="452">
        <f t="shared" si="271"/>
        <v>17.149999999999999</v>
      </c>
      <c r="BU139" s="492">
        <f t="shared" si="272"/>
        <v>1.3449999999999998</v>
      </c>
      <c r="BV139" s="493">
        <f>IF(BT139="","",
IF(AND(BT139&gt;'Данные ТНПА'!$K$8,BT139&lt;='Данные ТНПА'!$L$8),'Данные ТНПА'!$N$8,
IF(AND(BT139&gt;'Данные ТНПА'!$K$9,BT139&lt;='Данные ТНПА'!$L$9),'Данные ТНПА'!$N$9,
IF(AND(BT139&gt;'Данные ТНПА'!$K$10,BT139&lt;='Данные ТНПА'!$L$10),'Данные ТНПА'!$N$10,
IF(AND(BT139&gt;'Данные ТНПА'!$K$11,BT139&lt;='Данные ТНПА'!$L$11),'Данные ТНПА'!$N$11,
IF(AND(BT139&gt;'Данные ТНПА'!$K$12,BT139&lt;='Данные ТНПА'!$L$12),'Данные ТНПА'!$N$12,
IF(AND(BT139&gt;'Данные ТНПА'!$K$13,BT139&lt;='Данные ТНПА'!$L$13),'Данные ТНПА'!$N$13,
IF(AND(BT139&gt;'Данные ТНПА'!$K$14,BT139&lt;='Данные ТНПА'!$L$14),'Данные ТНПА'!$N$14))))))))</f>
        <v>1.7</v>
      </c>
      <c r="BW139" s="493">
        <f t="shared" si="273"/>
        <v>20.549999999999997</v>
      </c>
      <c r="BX139" s="457">
        <f t="shared" si="293"/>
        <v>0</v>
      </c>
      <c r="BY139" s="457">
        <f t="shared" si="294"/>
        <v>5600.7000000000007</v>
      </c>
      <c r="BZ139" s="457">
        <f t="shared" si="295"/>
        <v>186.0618302185047</v>
      </c>
      <c r="CA139" s="457" t="e">
        <f t="shared" si="274"/>
        <v>#REF!</v>
      </c>
      <c r="CB139" s="458">
        <f t="shared" si="275"/>
        <v>0</v>
      </c>
      <c r="CC139" s="457">
        <f t="shared" si="276"/>
        <v>0</v>
      </c>
      <c r="CD139" s="457">
        <f t="shared" si="277"/>
        <v>0</v>
      </c>
      <c r="CE139" s="457">
        <f t="shared" si="278"/>
        <v>0</v>
      </c>
      <c r="CF139" s="457">
        <f t="shared" si="279"/>
        <v>0</v>
      </c>
      <c r="CG139" s="458">
        <f t="shared" si="296"/>
        <v>0</v>
      </c>
      <c r="CH139" s="457">
        <f t="shared" si="280"/>
        <v>0</v>
      </c>
      <c r="CI139" s="457">
        <f t="shared" si="281"/>
        <v>0</v>
      </c>
      <c r="CJ139" s="458">
        <f t="shared" si="282"/>
        <v>0</v>
      </c>
      <c r="CK139" s="458">
        <f t="shared" ref="CK139:CK202" si="297">PI()*(BT139+BV139)*BV139*IF($BI$9&gt;0,1.1,1.04)*$CK$9</f>
        <v>146.5789220667188</v>
      </c>
      <c r="CL139" s="457">
        <f t="shared" ref="CL139:CL202" si="298">BX139+BY139+BZ139+CK139</f>
        <v>5933.340752285224</v>
      </c>
      <c r="CM139" s="504"/>
      <c r="CN139" s="504"/>
    </row>
    <row r="140" spans="1:92" ht="14.25" hidden="1" customHeight="1" x14ac:dyDescent="0.25">
      <c r="A140" s="389" t="str">
        <f>IF(D140="",CONCATENATE("Кабель ",IF(C140="а","А",""),$A$9),CONCATENATE("Кабель ",IF(C140="а","А",""),$A$9," ",D140,"*",F140,IF(G140="ок"," (ож)","")," - ",B140," ",IF(G140="мс"," фас. ",""),$A$2))</f>
        <v>Кабель ВВГ 1*800 - 1 ГОСТ 16442-80</v>
      </c>
      <c r="B140" s="450">
        <v>1</v>
      </c>
      <c r="C140" s="451" t="s">
        <v>163</v>
      </c>
      <c r="D140" s="412">
        <v>1</v>
      </c>
      <c r="E140" s="413" t="s">
        <v>40</v>
      </c>
      <c r="F140" s="423">
        <v>800</v>
      </c>
      <c r="G140" s="414" t="s">
        <v>154</v>
      </c>
      <c r="H140" s="461">
        <v>3.61</v>
      </c>
      <c r="I140" s="478">
        <v>84</v>
      </c>
      <c r="J140" s="477" t="s">
        <v>40</v>
      </c>
      <c r="K140" s="470">
        <f>ROUNDUP(SQRT(F140/I140/PI()*4*1.07),2)</f>
        <v>3.61</v>
      </c>
      <c r="L140" s="501">
        <v>12.950000000000001</v>
      </c>
      <c r="M140" s="475"/>
      <c r="N140" s="475"/>
      <c r="O140" s="475"/>
      <c r="P140" s="475"/>
      <c r="Q140" s="483">
        <f t="shared" si="234"/>
        <v>2.42</v>
      </c>
      <c r="R140" s="484">
        <f>IF(B140=0.66,VLOOKUP(F140,'Данные ТНПА'!$B$8:$C$16,2,0),
IF(B140=1,VLOOKUP(F140,'Данные ТНПА'!$B$17:$C$37,2,0),"ошибка"))</f>
        <v>2.8</v>
      </c>
      <c r="S140" s="485">
        <f t="shared" si="283"/>
        <v>17.79</v>
      </c>
      <c r="T140" s="486"/>
      <c r="U140" s="487"/>
      <c r="V140" s="485">
        <f t="shared" si="284"/>
        <v>18.55</v>
      </c>
      <c r="W140" s="486"/>
      <c r="X140" s="487"/>
      <c r="Y140" s="489">
        <f t="shared" si="285"/>
        <v>0</v>
      </c>
      <c r="Z140" s="491">
        <f t="shared" si="286"/>
        <v>18.55</v>
      </c>
      <c r="AA140" s="237">
        <f t="shared" si="287"/>
        <v>0</v>
      </c>
      <c r="AB140" s="452">
        <f t="shared" si="235"/>
        <v>18.55</v>
      </c>
      <c r="AC140" s="201">
        <f t="shared" si="288"/>
        <v>0</v>
      </c>
      <c r="AD140" s="203">
        <f t="shared" si="236"/>
        <v>0</v>
      </c>
      <c r="AE140" s="37" t="str">
        <f t="shared" si="289"/>
        <v/>
      </c>
      <c r="AF140" s="202">
        <f t="shared" si="237"/>
        <v>0</v>
      </c>
      <c r="AG140" s="201">
        <f t="shared" si="238"/>
        <v>0</v>
      </c>
      <c r="AH140" s="61">
        <f t="shared" si="290"/>
        <v>18.55</v>
      </c>
      <c r="AI140" s="443">
        <f t="shared" si="233"/>
        <v>0</v>
      </c>
      <c r="AJ140" s="444">
        <f t="shared" si="239"/>
        <v>0</v>
      </c>
      <c r="AK140" s="445">
        <f t="shared" si="240"/>
        <v>0</v>
      </c>
      <c r="AL140" s="446">
        <f t="shared" si="241"/>
        <v>0</v>
      </c>
      <c r="AM140" s="447">
        <f t="shared" si="242"/>
        <v>0</v>
      </c>
      <c r="AN140" s="24">
        <f t="shared" si="243"/>
        <v>18.55</v>
      </c>
      <c r="AO140" s="443">
        <f t="shared" si="291"/>
        <v>0</v>
      </c>
      <c r="AP140" s="444">
        <f t="shared" si="244"/>
        <v>0</v>
      </c>
      <c r="AQ140" s="445">
        <f t="shared" si="245"/>
        <v>0</v>
      </c>
      <c r="AR140" s="446">
        <f t="shared" si="246"/>
        <v>0</v>
      </c>
      <c r="AS140" s="447">
        <f t="shared" si="247"/>
        <v>0</v>
      </c>
      <c r="AT140" s="24">
        <f t="shared" si="248"/>
        <v>18.55</v>
      </c>
      <c r="AU140" s="443">
        <f t="shared" si="292"/>
        <v>0</v>
      </c>
      <c r="AV140" s="444">
        <f t="shared" si="249"/>
        <v>0</v>
      </c>
      <c r="AW140" s="445">
        <f t="shared" si="250"/>
        <v>0</v>
      </c>
      <c r="AX140" s="446">
        <f t="shared" si="251"/>
        <v>0</v>
      </c>
      <c r="AY140" s="447">
        <f t="shared" si="252"/>
        <v>0</v>
      </c>
      <c r="AZ140" s="24">
        <f t="shared" si="253"/>
        <v>18.55</v>
      </c>
      <c r="BA140" s="43">
        <f>IF(BB140=0,0,
IF(D140=1,
(IF(AND(AH140&gt;'Данные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"ошибка_1"))))))),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"ошибка_2"))))))))</f>
        <v>0</v>
      </c>
      <c r="BB140" s="43">
        <f>IF(OR($AI$9=0,AND(D140&gt;1,F140&gt;10)),0,
IF(D140=1,
(IF(AND(AH140&gt;'Данные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"ошибка_1"))))))),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IF(AND(AH140&gt;'Данные ТНПА'!#REF!,AH140&lt;='Данные ТНПА'!#REF!),'Данные ТНПА'!#REF!,
"ошибка_2"))))))))</f>
        <v>0</v>
      </c>
      <c r="BC140" s="43">
        <f t="shared" si="254"/>
        <v>18.55</v>
      </c>
      <c r="BD140" s="237">
        <f t="shared" si="255"/>
        <v>0</v>
      </c>
      <c r="BE140" s="43">
        <f t="shared" si="256"/>
        <v>0</v>
      </c>
      <c r="BF140" s="201">
        <f t="shared" si="257"/>
        <v>0</v>
      </c>
      <c r="BG140" s="201">
        <f t="shared" si="258"/>
        <v>0</v>
      </c>
      <c r="BH140" s="61">
        <f t="shared" si="259"/>
        <v>18.55</v>
      </c>
      <c r="BI140" s="237">
        <f t="shared" si="260"/>
        <v>0</v>
      </c>
      <c r="BJ140" s="247">
        <f t="shared" si="261"/>
        <v>0</v>
      </c>
      <c r="BK140" s="431">
        <f t="shared" si="262"/>
        <v>0</v>
      </c>
      <c r="BL140" s="250">
        <f t="shared" si="263"/>
        <v>0</v>
      </c>
      <c r="BM140" s="237">
        <f t="shared" si="264"/>
        <v>0</v>
      </c>
      <c r="BN140" s="452">
        <f t="shared" si="265"/>
        <v>18.55</v>
      </c>
      <c r="BO140" s="237">
        <f t="shared" si="266"/>
        <v>0</v>
      </c>
      <c r="BP140" s="432">
        <f t="shared" si="267"/>
        <v>0</v>
      </c>
      <c r="BQ140" s="22" t="str">
        <f t="shared" si="268"/>
        <v/>
      </c>
      <c r="BR140" s="250">
        <f t="shared" si="269"/>
        <v>0</v>
      </c>
      <c r="BS140" s="237">
        <f t="shared" si="270"/>
        <v>0</v>
      </c>
      <c r="BT140" s="452">
        <f t="shared" si="271"/>
        <v>18.55</v>
      </c>
      <c r="BU140" s="492">
        <f t="shared" si="272"/>
        <v>1.3449999999999998</v>
      </c>
      <c r="BV140" s="493">
        <f>IF(BT140="","",
IF(AND(BT140&gt;'Данные ТНПА'!$K$8,BT140&lt;='Данные ТНПА'!$L$8),'Данные ТНПА'!$N$8,
IF(AND(BT140&gt;'Данные ТНПА'!$K$9,BT140&lt;='Данные ТНПА'!$L$9),'Данные ТНПА'!$N$9,
IF(AND(BT140&gt;'Данные ТНПА'!$K$10,BT140&lt;='Данные ТНПА'!$L$10),'Данные ТНПА'!$N$10,
IF(AND(BT140&gt;'Данные ТНПА'!$K$11,BT140&lt;='Данные ТНПА'!$L$11),'Данные ТНПА'!$N$11,
IF(AND(BT140&gt;'Данные ТНПА'!$K$12,BT140&lt;='Данные ТНПА'!$L$12),'Данные ТНПА'!$N$12,
IF(AND(BT140&gt;'Данные ТНПА'!$K$13,BT140&lt;='Данные ТНПА'!$L$13),'Данные ТНПА'!$N$13,
IF(AND(BT140&gt;'Данные ТНПА'!$K$14,BT140&lt;='Данные ТНПА'!$L$14),'Данные ТНПА'!$N$14))))))))</f>
        <v>1.7</v>
      </c>
      <c r="BW140" s="493">
        <f t="shared" si="273"/>
        <v>21.95</v>
      </c>
      <c r="BX140" s="457">
        <f t="shared" si="293"/>
        <v>0</v>
      </c>
      <c r="BY140" s="457">
        <f t="shared" si="294"/>
        <v>7112</v>
      </c>
      <c r="BZ140" s="457">
        <f t="shared" si="295"/>
        <v>204.21420389835879</v>
      </c>
      <c r="CA140" s="457" t="e">
        <f t="shared" si="274"/>
        <v>#REF!</v>
      </c>
      <c r="CB140" s="458">
        <f t="shared" si="275"/>
        <v>0</v>
      </c>
      <c r="CC140" s="457">
        <f t="shared" si="276"/>
        <v>0</v>
      </c>
      <c r="CD140" s="457">
        <f t="shared" si="277"/>
        <v>0</v>
      </c>
      <c r="CE140" s="457">
        <f t="shared" si="278"/>
        <v>0</v>
      </c>
      <c r="CF140" s="457">
        <f t="shared" si="279"/>
        <v>0</v>
      </c>
      <c r="CG140" s="458">
        <f t="shared" si="296"/>
        <v>0</v>
      </c>
      <c r="CH140" s="457">
        <f t="shared" si="280"/>
        <v>0</v>
      </c>
      <c r="CI140" s="457">
        <f t="shared" si="281"/>
        <v>0</v>
      </c>
      <c r="CJ140" s="458">
        <f t="shared" si="282"/>
        <v>0</v>
      </c>
      <c r="CK140" s="458">
        <f t="shared" si="297"/>
        <v>157.46542025735047</v>
      </c>
      <c r="CL140" s="457">
        <f t="shared" si="298"/>
        <v>7473.6796241557086</v>
      </c>
      <c r="CM140" s="504"/>
      <c r="CN140" s="504"/>
    </row>
    <row r="141" spans="1:92" ht="14.25" hidden="1" customHeight="1" x14ac:dyDescent="0.25">
      <c r="A141" s="389" t="str">
        <f>IF(D141="",CONCATENATE("Кабель ",IF(C141="а","А",""),$A$9),CONCATENATE("Кабель ",IF(C141="а","А",""),$A$9," ",D141,"*",F141,IF(G141="ок"," (ож)","")," - ",B141," ",IF(G141="мс"," фас. ",""),$A$2))</f>
        <v>Кабель ВВГ 1*1000 - 1 ГОСТ 16442-80</v>
      </c>
      <c r="B141" s="450">
        <v>1</v>
      </c>
      <c r="C141" s="451" t="s">
        <v>163</v>
      </c>
      <c r="D141" s="412">
        <v>1</v>
      </c>
      <c r="E141" s="413" t="s">
        <v>40</v>
      </c>
      <c r="F141" s="423">
        <v>1000</v>
      </c>
      <c r="G141" s="414" t="s">
        <v>154</v>
      </c>
      <c r="H141" s="461">
        <v>4.0599999999999996</v>
      </c>
      <c r="I141" s="478">
        <v>83</v>
      </c>
      <c r="J141" s="477" t="s">
        <v>40</v>
      </c>
      <c r="K141" s="470">
        <f>ROUNDUP(SQRT(F141/I141/PI()*4*1.07),2)</f>
        <v>4.0599999999999996</v>
      </c>
      <c r="L141" s="501">
        <v>14.450000000000001</v>
      </c>
      <c r="M141" s="475"/>
      <c r="N141" s="475"/>
      <c r="O141" s="475"/>
      <c r="P141" s="475"/>
      <c r="Q141" s="483">
        <f t="shared" si="234"/>
        <v>2.6</v>
      </c>
      <c r="R141" s="484">
        <f>IF(B141=0.66,VLOOKUP(F141,'Данные ТНПА'!$B$8:$C$16,2,0),
IF(B141=1,VLOOKUP(F141,'Данные ТНПА'!$B$17:$C$37,2,0),"ошибка"))</f>
        <v>3</v>
      </c>
      <c r="S141" s="485">
        <f t="shared" si="283"/>
        <v>19.650000000000002</v>
      </c>
      <c r="T141" s="486"/>
      <c r="U141" s="487"/>
      <c r="V141" s="485">
        <f t="shared" si="284"/>
        <v>20.450000000000003</v>
      </c>
      <c r="W141" s="486"/>
      <c r="X141" s="487"/>
      <c r="Y141" s="489">
        <f t="shared" si="285"/>
        <v>0</v>
      </c>
      <c r="Z141" s="491">
        <f t="shared" si="286"/>
        <v>20.450000000000003</v>
      </c>
      <c r="AA141" s="237">
        <f t="shared" si="287"/>
        <v>0</v>
      </c>
      <c r="AB141" s="452">
        <f t="shared" si="235"/>
        <v>20.450000000000003</v>
      </c>
      <c r="AC141" s="201">
        <f t="shared" si="288"/>
        <v>0</v>
      </c>
      <c r="AD141" s="203">
        <f t="shared" si="236"/>
        <v>0</v>
      </c>
      <c r="AE141" s="37" t="str">
        <f t="shared" si="289"/>
        <v/>
      </c>
      <c r="AF141" s="202">
        <f t="shared" si="237"/>
        <v>0</v>
      </c>
      <c r="AG141" s="201">
        <f t="shared" si="238"/>
        <v>0</v>
      </c>
      <c r="AH141" s="61">
        <f t="shared" si="290"/>
        <v>20.450000000000003</v>
      </c>
      <c r="AI141" s="443">
        <f t="shared" si="233"/>
        <v>0</v>
      </c>
      <c r="AJ141" s="444">
        <f t="shared" si="239"/>
        <v>0</v>
      </c>
      <c r="AK141" s="445">
        <f t="shared" si="240"/>
        <v>0</v>
      </c>
      <c r="AL141" s="446">
        <f t="shared" si="241"/>
        <v>0</v>
      </c>
      <c r="AM141" s="447">
        <f t="shared" si="242"/>
        <v>0</v>
      </c>
      <c r="AN141" s="24">
        <f t="shared" si="243"/>
        <v>20.450000000000003</v>
      </c>
      <c r="AO141" s="443">
        <f t="shared" si="291"/>
        <v>0</v>
      </c>
      <c r="AP141" s="444">
        <f t="shared" si="244"/>
        <v>0</v>
      </c>
      <c r="AQ141" s="445">
        <f t="shared" si="245"/>
        <v>0</v>
      </c>
      <c r="AR141" s="446">
        <f t="shared" si="246"/>
        <v>0</v>
      </c>
      <c r="AS141" s="447">
        <f t="shared" si="247"/>
        <v>0</v>
      </c>
      <c r="AT141" s="24">
        <f t="shared" si="248"/>
        <v>20.450000000000003</v>
      </c>
      <c r="AU141" s="443">
        <f t="shared" si="292"/>
        <v>0</v>
      </c>
      <c r="AV141" s="444">
        <f t="shared" si="249"/>
        <v>0</v>
      </c>
      <c r="AW141" s="445">
        <f t="shared" si="250"/>
        <v>0</v>
      </c>
      <c r="AX141" s="446">
        <f t="shared" si="251"/>
        <v>0</v>
      </c>
      <c r="AY141" s="447">
        <f t="shared" si="252"/>
        <v>0</v>
      </c>
      <c r="AZ141" s="24">
        <f t="shared" si="253"/>
        <v>20.450000000000003</v>
      </c>
      <c r="BA141" s="43">
        <f>IF(BB141=0,0,
IF(D141=1,
(IF(AND(AH141&gt;'Данные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"ошибка_1"))))))),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"ошибка_2"))))))))</f>
        <v>0</v>
      </c>
      <c r="BB141" s="43">
        <f>IF(OR($AI$9=0,AND(D141&gt;1,F141&gt;10)),0,
IF(D141=1,
(IF(AND(AH141&gt;'Данные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"ошибка_1"))))))),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IF(AND(AH141&gt;'Данные ТНПА'!#REF!,AH141&lt;='Данные ТНПА'!#REF!),'Данные ТНПА'!#REF!,
"ошибка_2"))))))))</f>
        <v>0</v>
      </c>
      <c r="BC141" s="43">
        <f t="shared" si="254"/>
        <v>20.450000000000003</v>
      </c>
      <c r="BD141" s="237">
        <f t="shared" si="255"/>
        <v>0</v>
      </c>
      <c r="BE141" s="43">
        <f t="shared" si="256"/>
        <v>0</v>
      </c>
      <c r="BF141" s="201">
        <f t="shared" si="257"/>
        <v>0</v>
      </c>
      <c r="BG141" s="201">
        <f t="shared" si="258"/>
        <v>0</v>
      </c>
      <c r="BH141" s="61">
        <f t="shared" si="259"/>
        <v>20.450000000000003</v>
      </c>
      <c r="BI141" s="237">
        <f t="shared" si="260"/>
        <v>0</v>
      </c>
      <c r="BJ141" s="247">
        <f t="shared" si="261"/>
        <v>0</v>
      </c>
      <c r="BK141" s="431">
        <f t="shared" si="262"/>
        <v>0</v>
      </c>
      <c r="BL141" s="250">
        <f t="shared" si="263"/>
        <v>0</v>
      </c>
      <c r="BM141" s="237">
        <f t="shared" si="264"/>
        <v>0</v>
      </c>
      <c r="BN141" s="452">
        <f t="shared" si="265"/>
        <v>20.450000000000003</v>
      </c>
      <c r="BO141" s="237">
        <f t="shared" si="266"/>
        <v>0</v>
      </c>
      <c r="BP141" s="432">
        <f t="shared" si="267"/>
        <v>0</v>
      </c>
      <c r="BQ141" s="22" t="str">
        <f t="shared" si="268"/>
        <v/>
      </c>
      <c r="BR141" s="250">
        <f t="shared" si="269"/>
        <v>0</v>
      </c>
      <c r="BS141" s="237">
        <f t="shared" si="270"/>
        <v>0</v>
      </c>
      <c r="BT141" s="452">
        <f t="shared" si="271"/>
        <v>20.450000000000003</v>
      </c>
      <c r="BU141" s="492">
        <f t="shared" si="272"/>
        <v>1.5149999999999999</v>
      </c>
      <c r="BV141" s="493">
        <f>IF(BT141="","",
IF(AND(BT141&gt;'Данные ТНПА'!$K$8,BT141&lt;='Данные ТНПА'!$L$8),'Данные ТНПА'!$N$8,
IF(AND(BT141&gt;'Данные ТНПА'!$K$9,BT141&lt;='Данные ТНПА'!$L$9),'Данные ТНПА'!$N$9,
IF(AND(BT141&gt;'Данные ТНПА'!$K$10,BT141&lt;='Данные ТНПА'!$L$10),'Данные ТНПА'!$N$10,
IF(AND(BT141&gt;'Данные ТНПА'!$K$11,BT141&lt;='Данные ТНПА'!$L$11),'Данные ТНПА'!$N$11,
IF(AND(BT141&gt;'Данные ТНПА'!$K$12,BT141&lt;='Данные ТНПА'!$L$12),'Данные ТНПА'!$N$12,
IF(AND(BT141&gt;'Данные ТНПА'!$K$13,BT141&lt;='Данные ТНПА'!$L$13),'Данные ТНПА'!$N$13,
IF(AND(BT141&gt;'Данные ТНПА'!$K$14,BT141&lt;='Данные ТНПА'!$L$14),'Данные ТНПА'!$N$14))))))))</f>
        <v>1.9</v>
      </c>
      <c r="BW141" s="493">
        <f t="shared" si="273"/>
        <v>24.250000000000004</v>
      </c>
      <c r="BX141" s="457">
        <f t="shared" si="293"/>
        <v>0</v>
      </c>
      <c r="BY141" s="457">
        <f t="shared" si="294"/>
        <v>8890</v>
      </c>
      <c r="BZ141" s="457">
        <f t="shared" si="295"/>
        <v>242.41754136233752</v>
      </c>
      <c r="CA141" s="457" t="e">
        <f t="shared" si="274"/>
        <v>#REF!</v>
      </c>
      <c r="CB141" s="458">
        <f t="shared" si="275"/>
        <v>0</v>
      </c>
      <c r="CC141" s="457">
        <f t="shared" si="276"/>
        <v>0</v>
      </c>
      <c r="CD141" s="457">
        <f t="shared" si="277"/>
        <v>0</v>
      </c>
      <c r="CE141" s="457">
        <f t="shared" si="278"/>
        <v>0</v>
      </c>
      <c r="CF141" s="457">
        <f t="shared" si="279"/>
        <v>0</v>
      </c>
      <c r="CG141" s="458">
        <f t="shared" si="296"/>
        <v>0</v>
      </c>
      <c r="CH141" s="457">
        <f t="shared" si="280"/>
        <v>0</v>
      </c>
      <c r="CI141" s="457">
        <f t="shared" si="281"/>
        <v>0</v>
      </c>
      <c r="CJ141" s="458">
        <f t="shared" si="282"/>
        <v>0</v>
      </c>
      <c r="CK141" s="458">
        <f t="shared" si="297"/>
        <v>194.24165784250948</v>
      </c>
      <c r="CL141" s="457">
        <f t="shared" si="298"/>
        <v>9326.659199204847</v>
      </c>
      <c r="CM141" s="504"/>
      <c r="CN141" s="504"/>
    </row>
    <row r="142" spans="1:92" ht="14.25" hidden="1" customHeight="1" x14ac:dyDescent="0.25">
      <c r="A142" s="389" t="str">
        <f>IF(D142="",CONCATENATE("Кабель ",IF(C142="а","А",""),$A$9),CONCATENATE("Кабель ",IF(C142="а","А",""),$A$9," ",D142,"*",F142,IF(G142="ок"," (ож)","")," - ",B142," ",IF(G142="мс"," фас. ",""),$A$2))</f>
        <v>Кабель ВВГ 1*1,5 (ож) - 1 ГОСТ 16442-80</v>
      </c>
      <c r="B142" s="450">
        <v>1</v>
      </c>
      <c r="C142" s="451" t="s">
        <v>163</v>
      </c>
      <c r="D142" s="412">
        <v>1</v>
      </c>
      <c r="E142" s="413" t="s">
        <v>40</v>
      </c>
      <c r="F142" s="423">
        <v>1.5</v>
      </c>
      <c r="G142" s="414" t="s">
        <v>153</v>
      </c>
      <c r="H142" s="461">
        <v>1.39</v>
      </c>
      <c r="I142" s="499">
        <v>1</v>
      </c>
      <c r="J142" s="498" t="s">
        <v>40</v>
      </c>
      <c r="K142" s="496">
        <f>ROUNDUP(SQRT(F142/PI()*4),2)</f>
        <v>1.39</v>
      </c>
      <c r="L142" s="501">
        <v>15.950000000000001</v>
      </c>
      <c r="M142" s="475"/>
      <c r="N142" s="475"/>
      <c r="O142" s="475"/>
      <c r="P142" s="475"/>
      <c r="Q142" s="483">
        <f t="shared" si="234"/>
        <v>0.62000000000000011</v>
      </c>
      <c r="R142" s="484">
        <f>IF(B142=0.66,VLOOKUP(F142,'Данные ТНПА'!$B$8:$C$16,2,0),
IF(B142=1,VLOOKUP(F142,'Данные ТНПА'!$B$17:$C$37,2,0),"ошибка"))</f>
        <v>0.8</v>
      </c>
      <c r="S142" s="485">
        <f t="shared" si="283"/>
        <v>2.63</v>
      </c>
      <c r="T142" s="486"/>
      <c r="U142" s="487"/>
      <c r="V142" s="485">
        <f t="shared" si="284"/>
        <v>2.99</v>
      </c>
      <c r="W142" s="486"/>
      <c r="X142" s="487"/>
      <c r="Y142" s="489">
        <f t="shared" si="285"/>
        <v>0</v>
      </c>
      <c r="Z142" s="491">
        <f t="shared" si="286"/>
        <v>2.99</v>
      </c>
      <c r="AA142" s="237">
        <f t="shared" si="287"/>
        <v>0</v>
      </c>
      <c r="AB142" s="452">
        <f t="shared" si="235"/>
        <v>2.99</v>
      </c>
      <c r="AC142" s="201">
        <f t="shared" si="288"/>
        <v>0</v>
      </c>
      <c r="AD142" s="203">
        <f t="shared" si="236"/>
        <v>0</v>
      </c>
      <c r="AE142" s="37" t="str">
        <f t="shared" si="289"/>
        <v/>
      </c>
      <c r="AF142" s="202">
        <f t="shared" si="237"/>
        <v>0</v>
      </c>
      <c r="AG142" s="201">
        <f t="shared" si="238"/>
        <v>0</v>
      </c>
      <c r="AH142" s="61">
        <f t="shared" si="290"/>
        <v>2.99</v>
      </c>
      <c r="AI142" s="443">
        <f t="shared" si="233"/>
        <v>0</v>
      </c>
      <c r="AJ142" s="444">
        <f t="shared" si="239"/>
        <v>0</v>
      </c>
      <c r="AK142" s="445">
        <f t="shared" si="240"/>
        <v>0</v>
      </c>
      <c r="AL142" s="446">
        <f t="shared" si="241"/>
        <v>0</v>
      </c>
      <c r="AM142" s="447">
        <f t="shared" si="242"/>
        <v>0</v>
      </c>
      <c r="AN142" s="24">
        <f t="shared" si="243"/>
        <v>2.99</v>
      </c>
      <c r="AO142" s="443">
        <f t="shared" si="291"/>
        <v>0</v>
      </c>
      <c r="AP142" s="444">
        <f t="shared" si="244"/>
        <v>0</v>
      </c>
      <c r="AQ142" s="445">
        <f t="shared" si="245"/>
        <v>0</v>
      </c>
      <c r="AR142" s="446">
        <f t="shared" si="246"/>
        <v>0</v>
      </c>
      <c r="AS142" s="447">
        <f t="shared" si="247"/>
        <v>0</v>
      </c>
      <c r="AT142" s="24">
        <f t="shared" si="248"/>
        <v>2.99</v>
      </c>
      <c r="AU142" s="443">
        <f t="shared" si="292"/>
        <v>0</v>
      </c>
      <c r="AV142" s="444">
        <f t="shared" si="249"/>
        <v>0</v>
      </c>
      <c r="AW142" s="445">
        <f t="shared" si="250"/>
        <v>0</v>
      </c>
      <c r="AX142" s="446">
        <f t="shared" si="251"/>
        <v>0</v>
      </c>
      <c r="AY142" s="447">
        <f t="shared" si="252"/>
        <v>0</v>
      </c>
      <c r="AZ142" s="24">
        <f t="shared" si="253"/>
        <v>2.99</v>
      </c>
      <c r="BA142" s="43">
        <f>IF(BB142=0,0,
IF(D142=1,
(IF(AND(AH142&gt;'Данные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"ошибка_1"))))))),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"ошибка_2"))))))))</f>
        <v>0</v>
      </c>
      <c r="BB142" s="43">
        <f>IF(OR($AI$9=0,AND(D142&gt;1,F142&gt;10)),0,
IF(D142=1,
(IF(AND(AH142&gt;'Данные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"ошибка_1"))))))),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IF(AND(AH142&gt;'Данные ТНПА'!#REF!,AH142&lt;='Данные ТНПА'!#REF!),'Данные ТНПА'!#REF!,
"ошибка_2"))))))))</f>
        <v>0</v>
      </c>
      <c r="BC142" s="43">
        <f t="shared" si="254"/>
        <v>2.99</v>
      </c>
      <c r="BD142" s="237">
        <f t="shared" si="255"/>
        <v>0</v>
      </c>
      <c r="BE142" s="43">
        <f t="shared" si="256"/>
        <v>0</v>
      </c>
      <c r="BF142" s="201">
        <f t="shared" si="257"/>
        <v>0</v>
      </c>
      <c r="BG142" s="201">
        <f t="shared" si="258"/>
        <v>0</v>
      </c>
      <c r="BH142" s="61">
        <f t="shared" si="259"/>
        <v>2.99</v>
      </c>
      <c r="BI142" s="237">
        <f t="shared" si="260"/>
        <v>0</v>
      </c>
      <c r="BJ142" s="247">
        <f t="shared" si="261"/>
        <v>0</v>
      </c>
      <c r="BK142" s="431">
        <f t="shared" si="262"/>
        <v>0</v>
      </c>
      <c r="BL142" s="250">
        <f t="shared" si="263"/>
        <v>0</v>
      </c>
      <c r="BM142" s="237">
        <f t="shared" si="264"/>
        <v>0</v>
      </c>
      <c r="BN142" s="452">
        <f t="shared" si="265"/>
        <v>2.99</v>
      </c>
      <c r="BO142" s="237">
        <f t="shared" si="266"/>
        <v>0</v>
      </c>
      <c r="BP142" s="432">
        <f t="shared" si="267"/>
        <v>0</v>
      </c>
      <c r="BQ142" s="22" t="str">
        <f t="shared" si="268"/>
        <v/>
      </c>
      <c r="BR142" s="250">
        <f t="shared" si="269"/>
        <v>0</v>
      </c>
      <c r="BS142" s="237">
        <f t="shared" si="270"/>
        <v>0</v>
      </c>
      <c r="BT142" s="452">
        <f t="shared" si="271"/>
        <v>2.99</v>
      </c>
      <c r="BU142" s="492">
        <f t="shared" si="272"/>
        <v>0.92</v>
      </c>
      <c r="BV142" s="493">
        <f>IF(BT142="","",
IF(AND(BT142&gt;'Данные ТНПА'!$K$8,BT142&lt;='Данные ТНПА'!$L$8),'Данные ТНПА'!$N$8,
IF(AND(BT142&gt;'Данные ТНПА'!$K$9,BT142&lt;='Данные ТНПА'!$L$9),'Данные ТНПА'!$N$9,
IF(AND(BT142&gt;'Данные ТНПА'!$K$10,BT142&lt;='Данные ТНПА'!$L$10),'Данные ТНПА'!$N$10,
IF(AND(BT142&gt;'Данные ТНПА'!$K$11,BT142&lt;='Данные ТНПА'!$L$11),'Данные ТНПА'!$N$11,
IF(AND(BT142&gt;'Данные ТНПА'!$K$12,BT142&lt;='Данные ТНПА'!$L$12),'Данные ТНПА'!$N$12,
IF(AND(BT142&gt;'Данные ТНПА'!$K$13,BT142&lt;='Данные ТНПА'!$L$13),'Данные ТНПА'!$N$13,
IF(AND(BT142&gt;'Данные ТНПА'!$K$14,BT142&lt;='Данные ТНПА'!$L$14),'Данные ТНПА'!$N$14))))))))</f>
        <v>1.2</v>
      </c>
      <c r="BW142" s="493">
        <f t="shared" si="273"/>
        <v>5.3900000000000006</v>
      </c>
      <c r="BX142" s="457">
        <f t="shared" si="293"/>
        <v>0</v>
      </c>
      <c r="BY142" s="457">
        <f t="shared" si="294"/>
        <v>13.335000000000001</v>
      </c>
      <c r="BZ142" s="457">
        <f t="shared" si="295"/>
        <v>7.3754542409796864</v>
      </c>
      <c r="CA142" s="457" t="e">
        <f t="shared" si="274"/>
        <v>#REF!</v>
      </c>
      <c r="CB142" s="458">
        <f t="shared" si="275"/>
        <v>0</v>
      </c>
      <c r="CC142" s="457">
        <f t="shared" si="276"/>
        <v>0</v>
      </c>
      <c r="CD142" s="457">
        <f t="shared" si="277"/>
        <v>0</v>
      </c>
      <c r="CE142" s="457">
        <f t="shared" si="278"/>
        <v>0</v>
      </c>
      <c r="CF142" s="457">
        <f t="shared" si="279"/>
        <v>0</v>
      </c>
      <c r="CG142" s="458">
        <f t="shared" si="296"/>
        <v>0</v>
      </c>
      <c r="CH142" s="457">
        <f t="shared" si="280"/>
        <v>0</v>
      </c>
      <c r="CI142" s="457">
        <f t="shared" si="281"/>
        <v>0</v>
      </c>
      <c r="CJ142" s="458">
        <f t="shared" si="282"/>
        <v>0</v>
      </c>
      <c r="CK142" s="458">
        <f t="shared" si="297"/>
        <v>22.998870967435245</v>
      </c>
      <c r="CL142" s="457">
        <f t="shared" si="298"/>
        <v>43.709325208414931</v>
      </c>
      <c r="CM142" s="504"/>
      <c r="CN142" s="504"/>
    </row>
    <row r="143" spans="1:92" ht="14.25" hidden="1" customHeight="1" x14ac:dyDescent="0.25">
      <c r="A143" s="389" t="str">
        <f>IF(D143="",CONCATENATE("Кабель ",IF(C143="а","А",""),$A$9),CONCATENATE("Кабель ",IF(C143="а","А",""),$A$9," ",D143,"*",F143,IF(G143="ок"," (ож)","")," - ",B143," ",IF(G143="мс"," фас. ",""),$A$2))</f>
        <v>Кабель ВВГ 1*2,5 (ож) - 1 ГОСТ 16442-80</v>
      </c>
      <c r="B143" s="450">
        <v>1</v>
      </c>
      <c r="C143" s="451" t="s">
        <v>163</v>
      </c>
      <c r="D143" s="412">
        <v>1</v>
      </c>
      <c r="E143" s="413" t="s">
        <v>40</v>
      </c>
      <c r="F143" s="423">
        <v>2.5</v>
      </c>
      <c r="G143" s="414" t="s">
        <v>153</v>
      </c>
      <c r="H143" s="461">
        <v>1.79</v>
      </c>
      <c r="I143" s="499">
        <v>1</v>
      </c>
      <c r="J143" s="498" t="s">
        <v>40</v>
      </c>
      <c r="K143" s="496">
        <f>ROUNDUP(SQRT(F143/PI()*4),2)</f>
        <v>1.79</v>
      </c>
      <c r="L143" s="501">
        <v>18.549999999999997</v>
      </c>
      <c r="M143" s="475"/>
      <c r="N143" s="475"/>
      <c r="O143" s="475"/>
      <c r="P143" s="475"/>
      <c r="Q143" s="483">
        <f t="shared" si="234"/>
        <v>0.62000000000000011</v>
      </c>
      <c r="R143" s="484">
        <f>IF(B143=0.66,VLOOKUP(F143,'Данные ТНПА'!$B$8:$C$16,2,0),
IF(B143=1,VLOOKUP(F143,'Данные ТНПА'!$B$17:$C$37,2,0),"ошибка"))</f>
        <v>0.8</v>
      </c>
      <c r="S143" s="485">
        <f t="shared" si="283"/>
        <v>3.0300000000000002</v>
      </c>
      <c r="T143" s="486"/>
      <c r="U143" s="487"/>
      <c r="V143" s="485">
        <f t="shared" si="284"/>
        <v>3.39</v>
      </c>
      <c r="W143" s="486"/>
      <c r="X143" s="487"/>
      <c r="Y143" s="489">
        <f t="shared" si="285"/>
        <v>0</v>
      </c>
      <c r="Z143" s="491">
        <f t="shared" si="286"/>
        <v>3.39</v>
      </c>
      <c r="AA143" s="237">
        <f t="shared" si="287"/>
        <v>0</v>
      </c>
      <c r="AB143" s="452">
        <f t="shared" si="235"/>
        <v>3.39</v>
      </c>
      <c r="AC143" s="201">
        <f t="shared" si="288"/>
        <v>0</v>
      </c>
      <c r="AD143" s="203">
        <f t="shared" si="236"/>
        <v>0</v>
      </c>
      <c r="AE143" s="37" t="str">
        <f t="shared" si="289"/>
        <v/>
      </c>
      <c r="AF143" s="202">
        <f t="shared" si="237"/>
        <v>0</v>
      </c>
      <c r="AG143" s="201">
        <f t="shared" si="238"/>
        <v>0</v>
      </c>
      <c r="AH143" s="61">
        <f t="shared" si="290"/>
        <v>3.39</v>
      </c>
      <c r="AI143" s="443">
        <f t="shared" si="233"/>
        <v>0</v>
      </c>
      <c r="AJ143" s="444">
        <f t="shared" si="239"/>
        <v>0</v>
      </c>
      <c r="AK143" s="445">
        <f t="shared" si="240"/>
        <v>0</v>
      </c>
      <c r="AL143" s="446">
        <f t="shared" si="241"/>
        <v>0</v>
      </c>
      <c r="AM143" s="447">
        <f t="shared" si="242"/>
        <v>0</v>
      </c>
      <c r="AN143" s="24">
        <f t="shared" si="243"/>
        <v>3.39</v>
      </c>
      <c r="AO143" s="443">
        <f t="shared" si="291"/>
        <v>0</v>
      </c>
      <c r="AP143" s="444">
        <f t="shared" si="244"/>
        <v>0</v>
      </c>
      <c r="AQ143" s="445">
        <f t="shared" si="245"/>
        <v>0</v>
      </c>
      <c r="AR143" s="446">
        <f t="shared" si="246"/>
        <v>0</v>
      </c>
      <c r="AS143" s="447">
        <f t="shared" si="247"/>
        <v>0</v>
      </c>
      <c r="AT143" s="24">
        <f t="shared" si="248"/>
        <v>3.39</v>
      </c>
      <c r="AU143" s="443">
        <f t="shared" si="292"/>
        <v>0</v>
      </c>
      <c r="AV143" s="444">
        <f t="shared" si="249"/>
        <v>0</v>
      </c>
      <c r="AW143" s="445">
        <f t="shared" si="250"/>
        <v>0</v>
      </c>
      <c r="AX143" s="446">
        <f t="shared" si="251"/>
        <v>0</v>
      </c>
      <c r="AY143" s="447">
        <f t="shared" si="252"/>
        <v>0</v>
      </c>
      <c r="AZ143" s="24">
        <f t="shared" si="253"/>
        <v>3.39</v>
      </c>
      <c r="BA143" s="43">
        <f>IF(BB143=0,0,
IF(D143=1,
(IF(AND(AH143&gt;'Данные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"ошибка_1"))))))),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"ошибка_2"))))))))</f>
        <v>0</v>
      </c>
      <c r="BB143" s="43">
        <f>IF(OR($AI$9=0,AND(D143&gt;1,F143&gt;10)),0,
IF(D143=1,
(IF(AND(AH143&gt;'Данные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"ошибка_1"))))))),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IF(AND(AH143&gt;'Данные ТНПА'!#REF!,AH143&lt;='Данные ТНПА'!#REF!),'Данные ТНПА'!#REF!,
"ошибка_2"))))))))</f>
        <v>0</v>
      </c>
      <c r="BC143" s="43">
        <f t="shared" si="254"/>
        <v>3.39</v>
      </c>
      <c r="BD143" s="237">
        <f t="shared" si="255"/>
        <v>0</v>
      </c>
      <c r="BE143" s="43">
        <f t="shared" si="256"/>
        <v>0</v>
      </c>
      <c r="BF143" s="201">
        <f t="shared" si="257"/>
        <v>0</v>
      </c>
      <c r="BG143" s="201">
        <f t="shared" si="258"/>
        <v>0</v>
      </c>
      <c r="BH143" s="61">
        <f t="shared" si="259"/>
        <v>3.39</v>
      </c>
      <c r="BI143" s="237">
        <f t="shared" si="260"/>
        <v>0</v>
      </c>
      <c r="BJ143" s="247">
        <f t="shared" si="261"/>
        <v>0</v>
      </c>
      <c r="BK143" s="431">
        <f t="shared" si="262"/>
        <v>0</v>
      </c>
      <c r="BL143" s="250">
        <f t="shared" si="263"/>
        <v>0</v>
      </c>
      <c r="BM143" s="237">
        <f t="shared" si="264"/>
        <v>0</v>
      </c>
      <c r="BN143" s="452">
        <f t="shared" si="265"/>
        <v>3.39</v>
      </c>
      <c r="BO143" s="237">
        <f t="shared" si="266"/>
        <v>0</v>
      </c>
      <c r="BP143" s="432">
        <f t="shared" si="267"/>
        <v>0</v>
      </c>
      <c r="BQ143" s="22" t="str">
        <f t="shared" si="268"/>
        <v/>
      </c>
      <c r="BR143" s="250">
        <f t="shared" si="269"/>
        <v>0</v>
      </c>
      <c r="BS143" s="237">
        <f t="shared" si="270"/>
        <v>0</v>
      </c>
      <c r="BT143" s="452">
        <f t="shared" si="271"/>
        <v>3.39</v>
      </c>
      <c r="BU143" s="492">
        <f t="shared" si="272"/>
        <v>0.92</v>
      </c>
      <c r="BV143" s="493">
        <f>IF(BT143="","",
IF(AND(BT143&gt;'Данные ТНПА'!$K$8,BT143&lt;='Данные ТНПА'!$L$8),'Данные ТНПА'!$N$8,
IF(AND(BT143&gt;'Данные ТНПА'!$K$9,BT143&lt;='Данные ТНПА'!$L$9),'Данные ТНПА'!$N$9,
IF(AND(BT143&gt;'Данные ТНПА'!$K$10,BT143&lt;='Данные ТНПА'!$L$10),'Данные ТНПА'!$N$10,
IF(AND(BT143&gt;'Данные ТНПА'!$K$11,BT143&lt;='Данные ТНПА'!$L$11),'Данные ТНПА'!$N$11,
IF(AND(BT143&gt;'Данные ТНПА'!$K$12,BT143&lt;='Данные ТНПА'!$L$12),'Данные ТНПА'!$N$12,
IF(AND(BT143&gt;'Данные ТНПА'!$K$13,BT143&lt;='Данные ТНПА'!$L$13),'Данные ТНПА'!$N$13,
IF(AND(BT143&gt;'Данные ТНПА'!$K$14,BT143&lt;='Данные ТНПА'!$L$14),'Данные ТНПА'!$N$14))))))))</f>
        <v>1.2</v>
      </c>
      <c r="BW143" s="493">
        <f t="shared" si="273"/>
        <v>5.79</v>
      </c>
      <c r="BX143" s="457">
        <f t="shared" si="293"/>
        <v>0</v>
      </c>
      <c r="BY143" s="457">
        <f t="shared" si="294"/>
        <v>22.225000000000001</v>
      </c>
      <c r="BZ143" s="457">
        <f t="shared" si="295"/>
        <v>8.7225691708389892</v>
      </c>
      <c r="CA143" s="457" t="e">
        <f t="shared" si="274"/>
        <v>#REF!</v>
      </c>
      <c r="CB143" s="458">
        <f t="shared" si="275"/>
        <v>0</v>
      </c>
      <c r="CC143" s="457">
        <f t="shared" si="276"/>
        <v>0</v>
      </c>
      <c r="CD143" s="457">
        <f t="shared" si="277"/>
        <v>0</v>
      </c>
      <c r="CE143" s="457">
        <f t="shared" si="278"/>
        <v>0</v>
      </c>
      <c r="CF143" s="457">
        <f t="shared" si="279"/>
        <v>0</v>
      </c>
      <c r="CG143" s="458">
        <f t="shared" si="296"/>
        <v>0</v>
      </c>
      <c r="CH143" s="457">
        <f t="shared" si="280"/>
        <v>0</v>
      </c>
      <c r="CI143" s="457">
        <f t="shared" si="281"/>
        <v>0</v>
      </c>
      <c r="CJ143" s="458">
        <f t="shared" si="282"/>
        <v>0</v>
      </c>
      <c r="CK143" s="458">
        <f t="shared" si="297"/>
        <v>25.194467241176074</v>
      </c>
      <c r="CL143" s="457">
        <f t="shared" si="298"/>
        <v>56.142036412015059</v>
      </c>
      <c r="CM143" s="504"/>
      <c r="CN143" s="504"/>
    </row>
    <row r="144" spans="1:92" ht="14.25" hidden="1" customHeight="1" x14ac:dyDescent="0.25">
      <c r="A144" s="389" t="str">
        <f>IF(D144="",CONCATENATE("Кабель ",IF(C144="а","А",""),$A$9),CONCATENATE("Кабель ",IF(C144="а","А",""),$A$9," ",D144,"*",F144,IF(G144="ок"," (ож)","")," - ",B144," ",IF(G144="мс"," фас. ",""),$A$2))</f>
        <v>Кабель ВВГ 1*4 (ож) - 1 ГОСТ 16442-80</v>
      </c>
      <c r="B144" s="450">
        <v>1</v>
      </c>
      <c r="C144" s="451" t="s">
        <v>163</v>
      </c>
      <c r="D144" s="412">
        <v>1</v>
      </c>
      <c r="E144" s="413" t="s">
        <v>40</v>
      </c>
      <c r="F144" s="423">
        <v>4</v>
      </c>
      <c r="G144" s="414" t="s">
        <v>153</v>
      </c>
      <c r="H144" s="461">
        <v>2.2599999999999998</v>
      </c>
      <c r="I144" s="499">
        <v>1</v>
      </c>
      <c r="J144" s="498" t="s">
        <v>40</v>
      </c>
      <c r="K144" s="496">
        <f>ROUNDUP(SQRT(F144/PI()*4),2)</f>
        <v>2.2599999999999998</v>
      </c>
      <c r="L144" s="501">
        <v>20.149999999999999</v>
      </c>
      <c r="M144" s="475"/>
      <c r="N144" s="475"/>
      <c r="O144" s="475"/>
      <c r="P144" s="475"/>
      <c r="Q144" s="483">
        <f t="shared" si="234"/>
        <v>0.8</v>
      </c>
      <c r="R144" s="484">
        <f>IF(B144=0.66,VLOOKUP(F144,'Данные ТНПА'!$B$8:$C$16,2,0),
IF(B144=1,VLOOKUP(F144,'Данные ТНПА'!$B$17:$C$37,2,0),"ошибка"))</f>
        <v>1</v>
      </c>
      <c r="S144" s="485">
        <f t="shared" si="283"/>
        <v>3.86</v>
      </c>
      <c r="T144" s="486"/>
      <c r="U144" s="487"/>
      <c r="V144" s="485">
        <f t="shared" si="284"/>
        <v>4.26</v>
      </c>
      <c r="W144" s="486"/>
      <c r="X144" s="487"/>
      <c r="Y144" s="489">
        <f t="shared" si="285"/>
        <v>0</v>
      </c>
      <c r="Z144" s="491">
        <f t="shared" si="286"/>
        <v>4.26</v>
      </c>
      <c r="AA144" s="237">
        <f t="shared" si="287"/>
        <v>0</v>
      </c>
      <c r="AB144" s="452">
        <f t="shared" si="235"/>
        <v>4.26</v>
      </c>
      <c r="AC144" s="201">
        <f t="shared" si="288"/>
        <v>0</v>
      </c>
      <c r="AD144" s="203">
        <f t="shared" si="236"/>
        <v>0</v>
      </c>
      <c r="AE144" s="37" t="str">
        <f t="shared" si="289"/>
        <v/>
      </c>
      <c r="AF144" s="202">
        <f t="shared" si="237"/>
        <v>0</v>
      </c>
      <c r="AG144" s="201">
        <f t="shared" si="238"/>
        <v>0</v>
      </c>
      <c r="AH144" s="61">
        <f t="shared" si="290"/>
        <v>4.26</v>
      </c>
      <c r="AI144" s="443">
        <f t="shared" si="233"/>
        <v>0</v>
      </c>
      <c r="AJ144" s="444">
        <f t="shared" si="239"/>
        <v>0</v>
      </c>
      <c r="AK144" s="445">
        <f t="shared" si="240"/>
        <v>0</v>
      </c>
      <c r="AL144" s="446">
        <f t="shared" si="241"/>
        <v>0</v>
      </c>
      <c r="AM144" s="447">
        <f t="shared" si="242"/>
        <v>0</v>
      </c>
      <c r="AN144" s="24">
        <f t="shared" si="243"/>
        <v>4.26</v>
      </c>
      <c r="AO144" s="443">
        <f t="shared" si="291"/>
        <v>0</v>
      </c>
      <c r="AP144" s="444">
        <f t="shared" si="244"/>
        <v>0</v>
      </c>
      <c r="AQ144" s="445">
        <f t="shared" si="245"/>
        <v>0</v>
      </c>
      <c r="AR144" s="446">
        <f t="shared" si="246"/>
        <v>0</v>
      </c>
      <c r="AS144" s="447">
        <f t="shared" si="247"/>
        <v>0</v>
      </c>
      <c r="AT144" s="24">
        <f t="shared" si="248"/>
        <v>4.26</v>
      </c>
      <c r="AU144" s="443">
        <f t="shared" si="292"/>
        <v>0</v>
      </c>
      <c r="AV144" s="444">
        <f t="shared" si="249"/>
        <v>0</v>
      </c>
      <c r="AW144" s="445">
        <f t="shared" si="250"/>
        <v>0</v>
      </c>
      <c r="AX144" s="446">
        <f t="shared" si="251"/>
        <v>0</v>
      </c>
      <c r="AY144" s="447">
        <f t="shared" si="252"/>
        <v>0</v>
      </c>
      <c r="AZ144" s="24">
        <f t="shared" si="253"/>
        <v>4.26</v>
      </c>
      <c r="BA144" s="43">
        <f>IF(BB144=0,0,
IF(D144=1,
(IF(AND(AH144&gt;'Данные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"ошибка_1"))))))),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"ошибка_2"))))))))</f>
        <v>0</v>
      </c>
      <c r="BB144" s="43">
        <f>IF(OR($AI$9=0,AND(D144&gt;1,F144&gt;10)),0,
IF(D144=1,
(IF(AND(AH144&gt;'Данные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"ошибка_1"))))))),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IF(AND(AH144&gt;'Данные ТНПА'!#REF!,AH144&lt;='Данные ТНПА'!#REF!),'Данные ТНПА'!#REF!,
"ошибка_2"))))))))</f>
        <v>0</v>
      </c>
      <c r="BC144" s="43">
        <f t="shared" si="254"/>
        <v>4.26</v>
      </c>
      <c r="BD144" s="237">
        <f t="shared" si="255"/>
        <v>0</v>
      </c>
      <c r="BE144" s="43">
        <f t="shared" si="256"/>
        <v>0</v>
      </c>
      <c r="BF144" s="201">
        <f t="shared" si="257"/>
        <v>0</v>
      </c>
      <c r="BG144" s="201">
        <f t="shared" si="258"/>
        <v>0</v>
      </c>
      <c r="BH144" s="61">
        <f t="shared" si="259"/>
        <v>4.26</v>
      </c>
      <c r="BI144" s="237">
        <f t="shared" si="260"/>
        <v>0</v>
      </c>
      <c r="BJ144" s="247">
        <f t="shared" si="261"/>
        <v>0</v>
      </c>
      <c r="BK144" s="431">
        <f t="shared" si="262"/>
        <v>0</v>
      </c>
      <c r="BL144" s="250">
        <f t="shared" si="263"/>
        <v>0</v>
      </c>
      <c r="BM144" s="237">
        <f t="shared" si="264"/>
        <v>0</v>
      </c>
      <c r="BN144" s="452">
        <f t="shared" si="265"/>
        <v>4.26</v>
      </c>
      <c r="BO144" s="237">
        <f t="shared" si="266"/>
        <v>0</v>
      </c>
      <c r="BP144" s="432">
        <f t="shared" si="267"/>
        <v>0</v>
      </c>
      <c r="BQ144" s="22" t="str">
        <f t="shared" si="268"/>
        <v/>
      </c>
      <c r="BR144" s="250">
        <f t="shared" si="269"/>
        <v>0</v>
      </c>
      <c r="BS144" s="237">
        <f t="shared" si="270"/>
        <v>0</v>
      </c>
      <c r="BT144" s="452">
        <f t="shared" si="271"/>
        <v>4.26</v>
      </c>
      <c r="BU144" s="492">
        <f t="shared" si="272"/>
        <v>0.92</v>
      </c>
      <c r="BV144" s="493">
        <f>IF(BT144="","",
IF(AND(BT144&gt;'Данные ТНПА'!$K$8,BT144&lt;='Данные ТНПА'!$L$8),'Данные ТНПА'!$N$8,
IF(AND(BT144&gt;'Данные ТНПА'!$K$9,BT144&lt;='Данные ТНПА'!$L$9),'Данные ТНПА'!$N$9,
IF(AND(BT144&gt;'Данные ТНПА'!$K$10,BT144&lt;='Данные ТНПА'!$L$10),'Данные ТНПА'!$N$10,
IF(AND(BT144&gt;'Данные ТНПА'!$K$11,BT144&lt;='Данные ТНПА'!$L$11),'Данные ТНПА'!$N$11,
IF(AND(BT144&gt;'Данные ТНПА'!$K$12,BT144&lt;='Данные ТНПА'!$L$12),'Данные ТНПА'!$N$12,
IF(AND(BT144&gt;'Данные ТНПА'!$K$13,BT144&lt;='Данные ТНПА'!$L$13),'Данные ТНПА'!$N$13,
IF(AND(BT144&gt;'Данные ТНПА'!$K$14,BT144&lt;='Данные ТНПА'!$L$14),'Данные ТНПА'!$N$14))))))))</f>
        <v>1.2</v>
      </c>
      <c r="BW144" s="493">
        <f t="shared" si="273"/>
        <v>6.66</v>
      </c>
      <c r="BX144" s="457">
        <f t="shared" si="293"/>
        <v>0</v>
      </c>
      <c r="BY144" s="457">
        <f t="shared" si="294"/>
        <v>35.56</v>
      </c>
      <c r="BZ144" s="457">
        <f t="shared" si="295"/>
        <v>13.723733347941652</v>
      </c>
      <c r="CA144" s="457" t="e">
        <f t="shared" si="274"/>
        <v>#REF!</v>
      </c>
      <c r="CB144" s="458">
        <f t="shared" si="275"/>
        <v>0</v>
      </c>
      <c r="CC144" s="457">
        <f t="shared" si="276"/>
        <v>0</v>
      </c>
      <c r="CD144" s="457">
        <f t="shared" si="277"/>
        <v>0</v>
      </c>
      <c r="CE144" s="457">
        <f t="shared" si="278"/>
        <v>0</v>
      </c>
      <c r="CF144" s="457">
        <f t="shared" si="279"/>
        <v>0</v>
      </c>
      <c r="CG144" s="458">
        <f t="shared" si="296"/>
        <v>0</v>
      </c>
      <c r="CH144" s="457">
        <f t="shared" si="280"/>
        <v>0</v>
      </c>
      <c r="CI144" s="457">
        <f t="shared" si="281"/>
        <v>0</v>
      </c>
      <c r="CJ144" s="458">
        <f t="shared" si="282"/>
        <v>0</v>
      </c>
      <c r="CK144" s="458">
        <f t="shared" si="297"/>
        <v>29.96988913656239</v>
      </c>
      <c r="CL144" s="457">
        <f t="shared" si="298"/>
        <v>79.253622484504049</v>
      </c>
      <c r="CM144" s="504"/>
      <c r="CN144" s="504"/>
    </row>
    <row r="145" spans="1:92" ht="14.25" hidden="1" customHeight="1" x14ac:dyDescent="0.25">
      <c r="A145" s="389" t="str">
        <f>IF(D145="",CONCATENATE("Кабель ",IF(C145="а","А",""),$A$9),CONCATENATE("Кабель ",IF(C145="а","А",""),$A$9," ",D145,"*",F145,IF(G145="ок"," (ож)","")," - ",B145," ",IF(G145="мс"," фас. ",""),$A$2))</f>
        <v>Кабель ВВГ 1*6 (ож) - 1 ГОСТ 16442-80</v>
      </c>
      <c r="B145" s="450">
        <v>1</v>
      </c>
      <c r="C145" s="451" t="s">
        <v>163</v>
      </c>
      <c r="D145" s="412">
        <v>1</v>
      </c>
      <c r="E145" s="413" t="s">
        <v>40</v>
      </c>
      <c r="F145" s="423">
        <v>6</v>
      </c>
      <c r="G145" s="414" t="s">
        <v>153</v>
      </c>
      <c r="H145" s="461">
        <v>2.7699999999999996</v>
      </c>
      <c r="I145" s="499">
        <v>1</v>
      </c>
      <c r="J145" s="498" t="s">
        <v>40</v>
      </c>
      <c r="K145" s="496">
        <f>ROUNDUP(SQRT(F145/PI()*4),2)</f>
        <v>2.7699999999999996</v>
      </c>
      <c r="L145" s="501">
        <v>22.95</v>
      </c>
      <c r="M145" s="475"/>
      <c r="N145" s="475"/>
      <c r="O145" s="475"/>
      <c r="P145" s="475"/>
      <c r="Q145" s="483">
        <f t="shared" si="234"/>
        <v>0.8</v>
      </c>
      <c r="R145" s="484">
        <f>IF(B145=0.66,VLOOKUP(F145,'Данные ТНПА'!$B$8:$C$16,2,0),
IF(B145=1,VLOOKUP(F145,'Данные ТНПА'!$B$17:$C$37,2,0),"ошибка"))</f>
        <v>1</v>
      </c>
      <c r="S145" s="485">
        <f t="shared" si="283"/>
        <v>4.3699999999999992</v>
      </c>
      <c r="T145" s="486"/>
      <c r="U145" s="487"/>
      <c r="V145" s="485">
        <f t="shared" si="284"/>
        <v>4.7699999999999996</v>
      </c>
      <c r="W145" s="486"/>
      <c r="X145" s="487"/>
      <c r="Y145" s="489">
        <f t="shared" si="285"/>
        <v>0</v>
      </c>
      <c r="Z145" s="491">
        <f t="shared" si="286"/>
        <v>4.7699999999999996</v>
      </c>
      <c r="AA145" s="237">
        <f t="shared" si="287"/>
        <v>0</v>
      </c>
      <c r="AB145" s="452">
        <f t="shared" si="235"/>
        <v>4.7699999999999996</v>
      </c>
      <c r="AC145" s="201">
        <f t="shared" si="288"/>
        <v>0</v>
      </c>
      <c r="AD145" s="203">
        <f t="shared" si="236"/>
        <v>0</v>
      </c>
      <c r="AE145" s="37" t="str">
        <f t="shared" si="289"/>
        <v/>
      </c>
      <c r="AF145" s="202">
        <f t="shared" si="237"/>
        <v>0</v>
      </c>
      <c r="AG145" s="201">
        <f t="shared" si="238"/>
        <v>0</v>
      </c>
      <c r="AH145" s="61">
        <f t="shared" si="290"/>
        <v>4.7699999999999996</v>
      </c>
      <c r="AI145" s="443">
        <f t="shared" si="233"/>
        <v>0</v>
      </c>
      <c r="AJ145" s="444">
        <f t="shared" si="239"/>
        <v>0</v>
      </c>
      <c r="AK145" s="445">
        <f t="shared" si="240"/>
        <v>0</v>
      </c>
      <c r="AL145" s="446">
        <f t="shared" si="241"/>
        <v>0</v>
      </c>
      <c r="AM145" s="447">
        <f t="shared" si="242"/>
        <v>0</v>
      </c>
      <c r="AN145" s="24">
        <f t="shared" si="243"/>
        <v>4.7699999999999996</v>
      </c>
      <c r="AO145" s="443">
        <f t="shared" si="291"/>
        <v>0</v>
      </c>
      <c r="AP145" s="444">
        <f t="shared" si="244"/>
        <v>0</v>
      </c>
      <c r="AQ145" s="445">
        <f t="shared" si="245"/>
        <v>0</v>
      </c>
      <c r="AR145" s="446">
        <f t="shared" si="246"/>
        <v>0</v>
      </c>
      <c r="AS145" s="447">
        <f t="shared" si="247"/>
        <v>0</v>
      </c>
      <c r="AT145" s="24">
        <f t="shared" si="248"/>
        <v>4.7699999999999996</v>
      </c>
      <c r="AU145" s="443">
        <f t="shared" si="292"/>
        <v>0</v>
      </c>
      <c r="AV145" s="444">
        <f t="shared" si="249"/>
        <v>0</v>
      </c>
      <c r="AW145" s="445">
        <f t="shared" si="250"/>
        <v>0</v>
      </c>
      <c r="AX145" s="446">
        <f t="shared" si="251"/>
        <v>0</v>
      </c>
      <c r="AY145" s="447">
        <f t="shared" si="252"/>
        <v>0</v>
      </c>
      <c r="AZ145" s="24">
        <f t="shared" si="253"/>
        <v>4.7699999999999996</v>
      </c>
      <c r="BA145" s="43">
        <f>IF(BB145=0,0,
IF(D145=1,
(IF(AND(AH145&gt;'Данные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"ошибка_1"))))))),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"ошибка_2"))))))))</f>
        <v>0</v>
      </c>
      <c r="BB145" s="43">
        <f>IF(OR($AI$9=0,AND(D145&gt;1,F145&gt;10)),0,
IF(D145=1,
(IF(AND(AH145&gt;'Данные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"ошибка_1"))))))),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IF(AND(AH145&gt;'Данные ТНПА'!#REF!,AH145&lt;='Данные ТНПА'!#REF!),'Данные ТНПА'!#REF!,
"ошибка_2"))))))))</f>
        <v>0</v>
      </c>
      <c r="BC145" s="43">
        <f t="shared" si="254"/>
        <v>4.7699999999999996</v>
      </c>
      <c r="BD145" s="237">
        <f t="shared" si="255"/>
        <v>0</v>
      </c>
      <c r="BE145" s="43">
        <f t="shared" si="256"/>
        <v>0</v>
      </c>
      <c r="BF145" s="201">
        <f t="shared" si="257"/>
        <v>0</v>
      </c>
      <c r="BG145" s="201">
        <f t="shared" si="258"/>
        <v>0</v>
      </c>
      <c r="BH145" s="61">
        <f t="shared" si="259"/>
        <v>4.7699999999999996</v>
      </c>
      <c r="BI145" s="237">
        <f t="shared" si="260"/>
        <v>0</v>
      </c>
      <c r="BJ145" s="247">
        <f t="shared" si="261"/>
        <v>0</v>
      </c>
      <c r="BK145" s="431">
        <f t="shared" si="262"/>
        <v>0</v>
      </c>
      <c r="BL145" s="250">
        <f t="shared" si="263"/>
        <v>0</v>
      </c>
      <c r="BM145" s="237">
        <f t="shared" si="264"/>
        <v>0</v>
      </c>
      <c r="BN145" s="452">
        <f t="shared" si="265"/>
        <v>4.7699999999999996</v>
      </c>
      <c r="BO145" s="237">
        <f t="shared" si="266"/>
        <v>0</v>
      </c>
      <c r="BP145" s="432">
        <f t="shared" si="267"/>
        <v>0</v>
      </c>
      <c r="BQ145" s="22" t="str">
        <f t="shared" si="268"/>
        <v/>
      </c>
      <c r="BR145" s="250">
        <f t="shared" si="269"/>
        <v>0</v>
      </c>
      <c r="BS145" s="237">
        <f t="shared" si="270"/>
        <v>0</v>
      </c>
      <c r="BT145" s="452">
        <f t="shared" si="271"/>
        <v>4.7699999999999996</v>
      </c>
      <c r="BU145" s="492">
        <f t="shared" si="272"/>
        <v>0.92</v>
      </c>
      <c r="BV145" s="493">
        <f>IF(BT145="","",
IF(AND(BT145&gt;'Данные ТНПА'!$K$8,BT145&lt;='Данные ТНПА'!$L$8),'Данные ТНПА'!$N$8,
IF(AND(BT145&gt;'Данные ТНПА'!$K$9,BT145&lt;='Данные ТНПА'!$L$9),'Данные ТНПА'!$N$9,
IF(AND(BT145&gt;'Данные ТНПА'!$K$10,BT145&lt;='Данные ТНПА'!$L$10),'Данные ТНПА'!$N$10,
IF(AND(BT145&gt;'Данные ТНПА'!$K$11,BT145&lt;='Данные ТНПА'!$L$11),'Данные ТНПА'!$N$11,
IF(AND(BT145&gt;'Данные ТНПА'!$K$12,BT145&lt;='Данные ТНПА'!$L$12),'Данные ТНПА'!$N$12,
IF(AND(BT145&gt;'Данные ТНПА'!$K$13,BT145&lt;='Данные ТНПА'!$L$13),'Данные ТНПА'!$N$13,
IF(AND(BT145&gt;'Данные ТНПА'!$K$14,BT145&lt;='Данные ТНПА'!$L$14),'Данные ТНПА'!$N$14))))))))</f>
        <v>1.2</v>
      </c>
      <c r="BW145" s="493">
        <f t="shared" si="273"/>
        <v>7.17</v>
      </c>
      <c r="BX145" s="457">
        <f t="shared" si="293"/>
        <v>0</v>
      </c>
      <c r="BY145" s="457">
        <f t="shared" si="294"/>
        <v>53.34</v>
      </c>
      <c r="BZ145" s="457">
        <f t="shared" si="295"/>
        <v>15.870697767404916</v>
      </c>
      <c r="CA145" s="457" t="e">
        <f t="shared" si="274"/>
        <v>#REF!</v>
      </c>
      <c r="CB145" s="458">
        <f t="shared" si="275"/>
        <v>0</v>
      </c>
      <c r="CC145" s="457">
        <f t="shared" si="276"/>
        <v>0</v>
      </c>
      <c r="CD145" s="457">
        <f t="shared" si="277"/>
        <v>0</v>
      </c>
      <c r="CE145" s="457">
        <f t="shared" si="278"/>
        <v>0</v>
      </c>
      <c r="CF145" s="457">
        <f t="shared" si="279"/>
        <v>0</v>
      </c>
      <c r="CG145" s="458">
        <f t="shared" si="296"/>
        <v>0</v>
      </c>
      <c r="CH145" s="457">
        <f t="shared" si="280"/>
        <v>0</v>
      </c>
      <c r="CI145" s="457">
        <f t="shared" si="281"/>
        <v>0</v>
      </c>
      <c r="CJ145" s="458">
        <f t="shared" si="282"/>
        <v>0</v>
      </c>
      <c r="CK145" s="458">
        <f t="shared" si="297"/>
        <v>32.769274385581951</v>
      </c>
      <c r="CL145" s="457">
        <f t="shared" si="298"/>
        <v>101.97997215298687</v>
      </c>
      <c r="CM145" s="504"/>
      <c r="CN145" s="504"/>
    </row>
    <row r="146" spans="1:92" ht="14.25" hidden="1" customHeight="1" x14ac:dyDescent="0.25">
      <c r="A146" s="389" t="str">
        <f>IF(D146="",CONCATENATE("Кабель ",IF(C146="а","А",""),$A$9),CONCATENATE("Кабель ",IF(C146="а","А",""),$A$9," ",D146,"*",F146,IF(G146="ок"," (ож)","")," - ",B146," ",IF(G146="мс"," фас. ",""),$A$2))</f>
        <v>Кабель ВВГ 1*10 (ож) - 1 ГОСТ 16442-80</v>
      </c>
      <c r="B146" s="450">
        <v>1</v>
      </c>
      <c r="C146" s="451" t="s">
        <v>163</v>
      </c>
      <c r="D146" s="412">
        <v>1</v>
      </c>
      <c r="E146" s="413" t="s">
        <v>40</v>
      </c>
      <c r="F146" s="423">
        <v>10</v>
      </c>
      <c r="G146" s="414" t="s">
        <v>153</v>
      </c>
      <c r="H146" s="461">
        <v>3.57</v>
      </c>
      <c r="I146" s="499">
        <v>1</v>
      </c>
      <c r="J146" s="498" t="s">
        <v>40</v>
      </c>
      <c r="K146" s="496">
        <f>ROUNDUP(SQRT(F146/PI()*4),2)</f>
        <v>3.57</v>
      </c>
      <c r="L146" s="501">
        <v>25.95</v>
      </c>
      <c r="M146" s="475"/>
      <c r="N146" s="475"/>
      <c r="O146" s="475"/>
      <c r="P146" s="475"/>
      <c r="Q146" s="483">
        <f t="shared" si="234"/>
        <v>0.8</v>
      </c>
      <c r="R146" s="484">
        <f>IF(B146=0.66,VLOOKUP(F146,'Данные ТНПА'!$B$8:$C$16,2,0),
IF(B146=1,VLOOKUP(F146,'Данные ТНПА'!$B$17:$C$37,2,0),"ошибка"))</f>
        <v>1</v>
      </c>
      <c r="S146" s="485">
        <f t="shared" si="283"/>
        <v>5.17</v>
      </c>
      <c r="T146" s="486"/>
      <c r="U146" s="487"/>
      <c r="V146" s="485">
        <f t="shared" si="284"/>
        <v>5.57</v>
      </c>
      <c r="W146" s="486"/>
      <c r="X146" s="487"/>
      <c r="Y146" s="489">
        <f t="shared" si="285"/>
        <v>0</v>
      </c>
      <c r="Z146" s="491">
        <f t="shared" si="286"/>
        <v>5.57</v>
      </c>
      <c r="AA146" s="237">
        <f t="shared" si="287"/>
        <v>0</v>
      </c>
      <c r="AB146" s="452">
        <f t="shared" si="235"/>
        <v>5.57</v>
      </c>
      <c r="AC146" s="201">
        <f t="shared" si="288"/>
        <v>0</v>
      </c>
      <c r="AD146" s="203">
        <f t="shared" si="236"/>
        <v>0</v>
      </c>
      <c r="AE146" s="37" t="str">
        <f t="shared" si="289"/>
        <v/>
      </c>
      <c r="AF146" s="202">
        <f t="shared" si="237"/>
        <v>0</v>
      </c>
      <c r="AG146" s="201">
        <f t="shared" si="238"/>
        <v>0</v>
      </c>
      <c r="AH146" s="61">
        <f t="shared" si="290"/>
        <v>5.57</v>
      </c>
      <c r="AI146" s="443">
        <f t="shared" si="233"/>
        <v>0</v>
      </c>
      <c r="AJ146" s="444">
        <f t="shared" si="239"/>
        <v>0</v>
      </c>
      <c r="AK146" s="445">
        <f t="shared" si="240"/>
        <v>0</v>
      </c>
      <c r="AL146" s="446">
        <f t="shared" si="241"/>
        <v>0</v>
      </c>
      <c r="AM146" s="447">
        <f t="shared" si="242"/>
        <v>0</v>
      </c>
      <c r="AN146" s="24">
        <f t="shared" si="243"/>
        <v>5.57</v>
      </c>
      <c r="AO146" s="443">
        <f t="shared" si="291"/>
        <v>0</v>
      </c>
      <c r="AP146" s="444">
        <f t="shared" si="244"/>
        <v>0</v>
      </c>
      <c r="AQ146" s="445">
        <f t="shared" si="245"/>
        <v>0</v>
      </c>
      <c r="AR146" s="446">
        <f t="shared" si="246"/>
        <v>0</v>
      </c>
      <c r="AS146" s="447">
        <f t="shared" si="247"/>
        <v>0</v>
      </c>
      <c r="AT146" s="24">
        <f t="shared" si="248"/>
        <v>5.57</v>
      </c>
      <c r="AU146" s="443">
        <f t="shared" si="292"/>
        <v>0</v>
      </c>
      <c r="AV146" s="444">
        <f t="shared" si="249"/>
        <v>0</v>
      </c>
      <c r="AW146" s="445">
        <f t="shared" si="250"/>
        <v>0</v>
      </c>
      <c r="AX146" s="446">
        <f t="shared" si="251"/>
        <v>0</v>
      </c>
      <c r="AY146" s="447">
        <f t="shared" si="252"/>
        <v>0</v>
      </c>
      <c r="AZ146" s="24">
        <f t="shared" si="253"/>
        <v>5.57</v>
      </c>
      <c r="BA146" s="43">
        <f>IF(BB146=0,0,
IF(D146=1,
(IF(AND(AH146&gt;'Данные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"ошибка_1"))))))),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"ошибка_2"))))))))</f>
        <v>0</v>
      </c>
      <c r="BB146" s="43">
        <f>IF(OR($AI$9=0,AND(D146&gt;1,F146&gt;10)),0,
IF(D146=1,
(IF(AND(AH146&gt;'Данные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"ошибка_1"))))))),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IF(AND(AH146&gt;'Данные ТНПА'!#REF!,AH146&lt;='Данные ТНПА'!#REF!),'Данные ТНПА'!#REF!,
"ошибка_2"))))))))</f>
        <v>0</v>
      </c>
      <c r="BC146" s="43">
        <f t="shared" si="254"/>
        <v>5.57</v>
      </c>
      <c r="BD146" s="237">
        <f t="shared" si="255"/>
        <v>0</v>
      </c>
      <c r="BE146" s="43">
        <f t="shared" si="256"/>
        <v>0</v>
      </c>
      <c r="BF146" s="201">
        <f t="shared" si="257"/>
        <v>0</v>
      </c>
      <c r="BG146" s="201">
        <f t="shared" si="258"/>
        <v>0</v>
      </c>
      <c r="BH146" s="61">
        <f t="shared" si="259"/>
        <v>5.57</v>
      </c>
      <c r="BI146" s="237">
        <f t="shared" si="260"/>
        <v>0</v>
      </c>
      <c r="BJ146" s="247">
        <f t="shared" si="261"/>
        <v>0</v>
      </c>
      <c r="BK146" s="431">
        <f t="shared" si="262"/>
        <v>0</v>
      </c>
      <c r="BL146" s="250">
        <f t="shared" si="263"/>
        <v>0</v>
      </c>
      <c r="BM146" s="237">
        <f t="shared" si="264"/>
        <v>0</v>
      </c>
      <c r="BN146" s="452">
        <f t="shared" si="265"/>
        <v>5.57</v>
      </c>
      <c r="BO146" s="237">
        <f t="shared" si="266"/>
        <v>0</v>
      </c>
      <c r="BP146" s="432">
        <f t="shared" si="267"/>
        <v>0</v>
      </c>
      <c r="BQ146" s="22" t="str">
        <f t="shared" si="268"/>
        <v/>
      </c>
      <c r="BR146" s="250">
        <f t="shared" si="269"/>
        <v>0</v>
      </c>
      <c r="BS146" s="237">
        <f t="shared" si="270"/>
        <v>0</v>
      </c>
      <c r="BT146" s="452">
        <f t="shared" si="271"/>
        <v>5.57</v>
      </c>
      <c r="BU146" s="492">
        <f t="shared" si="272"/>
        <v>0.92</v>
      </c>
      <c r="BV146" s="493">
        <f>IF(BT146="","",
IF(AND(BT146&gt;'Данные ТНПА'!$K$8,BT146&lt;='Данные ТНПА'!$L$8),'Данные ТНПА'!$N$8,
IF(AND(BT146&gt;'Данные ТНПА'!$K$9,BT146&lt;='Данные ТНПА'!$L$9),'Данные ТНПА'!$N$9,
IF(AND(BT146&gt;'Данные ТНПА'!$K$10,BT146&lt;='Данные ТНПА'!$L$10),'Данные ТНПА'!$N$10,
IF(AND(BT146&gt;'Данные ТНПА'!$K$11,BT146&lt;='Данные ТНПА'!$L$11),'Данные ТНПА'!$N$11,
IF(AND(BT146&gt;'Данные ТНПА'!$K$12,BT146&lt;='Данные ТНПА'!$L$12),'Данные ТНПА'!$N$12,
IF(AND(BT146&gt;'Данные ТНПА'!$K$13,BT146&lt;='Данные ТНПА'!$L$13),'Данные ТНПА'!$N$13,
IF(AND(BT146&gt;'Данные ТНПА'!$K$14,BT146&lt;='Данные ТНПА'!$L$14),'Данные ТНПА'!$N$14))))))))</f>
        <v>1.2</v>
      </c>
      <c r="BW146" s="493">
        <f t="shared" si="273"/>
        <v>7.9700000000000006</v>
      </c>
      <c r="BX146" s="457">
        <f t="shared" si="293"/>
        <v>0</v>
      </c>
      <c r="BY146" s="457">
        <f t="shared" si="294"/>
        <v>88.9</v>
      </c>
      <c r="BZ146" s="457">
        <f t="shared" si="295"/>
        <v>19.238485092053178</v>
      </c>
      <c r="CA146" s="457" t="e">
        <f t="shared" si="274"/>
        <v>#REF!</v>
      </c>
      <c r="CB146" s="458">
        <f t="shared" si="275"/>
        <v>0</v>
      </c>
      <c r="CC146" s="457">
        <f t="shared" si="276"/>
        <v>0</v>
      </c>
      <c r="CD146" s="457">
        <f t="shared" si="277"/>
        <v>0</v>
      </c>
      <c r="CE146" s="457">
        <f t="shared" si="278"/>
        <v>0</v>
      </c>
      <c r="CF146" s="457">
        <f t="shared" si="279"/>
        <v>0</v>
      </c>
      <c r="CG146" s="458">
        <f t="shared" si="296"/>
        <v>0</v>
      </c>
      <c r="CH146" s="457">
        <f t="shared" si="280"/>
        <v>0</v>
      </c>
      <c r="CI146" s="457">
        <f t="shared" si="281"/>
        <v>0</v>
      </c>
      <c r="CJ146" s="458">
        <f t="shared" si="282"/>
        <v>0</v>
      </c>
      <c r="CK146" s="458">
        <f t="shared" si="297"/>
        <v>37.160466933063624</v>
      </c>
      <c r="CL146" s="457">
        <f t="shared" si="298"/>
        <v>145.29895202511682</v>
      </c>
      <c r="CM146" s="504"/>
      <c r="CN146" s="504"/>
    </row>
    <row r="147" spans="1:92" ht="14.25" hidden="1" customHeight="1" x14ac:dyDescent="0.25">
      <c r="A147" s="389" t="str">
        <f>IF(D147="",CONCATENATE("Кабель ",IF(C147="а","А",""),$A$9),CONCATENATE("Кабель ",IF(C147="а","А",""),$A$9," ",D147,"*",F147,IF(G147="ок"," (ож)","")," - ",B147," ",IF(G147="мс"," фас. ",""),$A$2))</f>
        <v>Кабель ВВГ 1*16 (ож) - 1 ГОСТ 16442-80</v>
      </c>
      <c r="B147" s="450">
        <v>1</v>
      </c>
      <c r="C147" s="451" t="s">
        <v>163</v>
      </c>
      <c r="D147" s="412">
        <v>1</v>
      </c>
      <c r="E147" s="413" t="s">
        <v>40</v>
      </c>
      <c r="F147" s="423">
        <v>16</v>
      </c>
      <c r="G147" s="414" t="s">
        <v>153</v>
      </c>
      <c r="H147" s="461">
        <v>4.5199999999999996</v>
      </c>
      <c r="I147" s="499">
        <v>1</v>
      </c>
      <c r="J147" s="498" t="s">
        <v>40</v>
      </c>
      <c r="K147" s="496">
        <f>ROUNDUP(SQRT(F147/PI()*4),2)</f>
        <v>4.5199999999999996</v>
      </c>
      <c r="L147" s="501">
        <v>29.45</v>
      </c>
      <c r="M147" s="475"/>
      <c r="N147" s="475"/>
      <c r="O147" s="475"/>
      <c r="P147" s="475"/>
      <c r="Q147" s="483">
        <f t="shared" si="234"/>
        <v>0.8</v>
      </c>
      <c r="R147" s="484">
        <f>IF(B147=0.66,VLOOKUP(F147,'Данные ТНПА'!$B$8:$C$16,2,0),
IF(B147=1,VLOOKUP(F147,'Данные ТНПА'!$B$17:$C$37,2,0),"ошибка"))</f>
        <v>1</v>
      </c>
      <c r="S147" s="485">
        <f t="shared" si="283"/>
        <v>6.1199999999999992</v>
      </c>
      <c r="T147" s="486"/>
      <c r="U147" s="487"/>
      <c r="V147" s="485">
        <f t="shared" si="284"/>
        <v>6.52</v>
      </c>
      <c r="W147" s="486"/>
      <c r="X147" s="487"/>
      <c r="Y147" s="489">
        <f t="shared" si="285"/>
        <v>0</v>
      </c>
      <c r="Z147" s="491">
        <f t="shared" si="286"/>
        <v>6.52</v>
      </c>
      <c r="AA147" s="237">
        <f t="shared" si="287"/>
        <v>0</v>
      </c>
      <c r="AB147" s="452">
        <f t="shared" si="235"/>
        <v>6.52</v>
      </c>
      <c r="AC147" s="201">
        <f t="shared" si="288"/>
        <v>0</v>
      </c>
      <c r="AD147" s="203">
        <f t="shared" si="236"/>
        <v>0</v>
      </c>
      <c r="AE147" s="37" t="str">
        <f t="shared" si="289"/>
        <v/>
      </c>
      <c r="AF147" s="202">
        <f t="shared" si="237"/>
        <v>0</v>
      </c>
      <c r="AG147" s="201">
        <f t="shared" si="238"/>
        <v>0</v>
      </c>
      <c r="AH147" s="61">
        <f t="shared" si="290"/>
        <v>6.52</v>
      </c>
      <c r="AI147" s="443">
        <f t="shared" si="233"/>
        <v>0</v>
      </c>
      <c r="AJ147" s="444">
        <f t="shared" si="239"/>
        <v>0</v>
      </c>
      <c r="AK147" s="445">
        <f t="shared" si="240"/>
        <v>0</v>
      </c>
      <c r="AL147" s="446">
        <f t="shared" si="241"/>
        <v>0</v>
      </c>
      <c r="AM147" s="447">
        <f t="shared" si="242"/>
        <v>0</v>
      </c>
      <c r="AN147" s="24">
        <f t="shared" si="243"/>
        <v>6.52</v>
      </c>
      <c r="AO147" s="443">
        <f t="shared" si="291"/>
        <v>0</v>
      </c>
      <c r="AP147" s="444">
        <f t="shared" si="244"/>
        <v>0</v>
      </c>
      <c r="AQ147" s="445">
        <f t="shared" si="245"/>
        <v>0</v>
      </c>
      <c r="AR147" s="446">
        <f t="shared" si="246"/>
        <v>0</v>
      </c>
      <c r="AS147" s="447">
        <f t="shared" si="247"/>
        <v>0</v>
      </c>
      <c r="AT147" s="24">
        <f t="shared" si="248"/>
        <v>6.52</v>
      </c>
      <c r="AU147" s="443">
        <f t="shared" si="292"/>
        <v>0</v>
      </c>
      <c r="AV147" s="444">
        <f t="shared" si="249"/>
        <v>0</v>
      </c>
      <c r="AW147" s="445">
        <f t="shared" si="250"/>
        <v>0</v>
      </c>
      <c r="AX147" s="446">
        <f t="shared" si="251"/>
        <v>0</v>
      </c>
      <c r="AY147" s="447">
        <f t="shared" si="252"/>
        <v>0</v>
      </c>
      <c r="AZ147" s="24">
        <f t="shared" si="253"/>
        <v>6.52</v>
      </c>
      <c r="BA147" s="43">
        <f>IF(BB147=0,0,
IF(D147=1,
(IF(AND(AH147&gt;'Данные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"ошибка_1"))))))),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"ошибка_2"))))))))</f>
        <v>0</v>
      </c>
      <c r="BB147" s="43">
        <f>IF(OR($AI$9=0,AND(D147&gt;1,F147&gt;10)),0,
IF(D147=1,
(IF(AND(AH147&gt;'Данные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"ошибка_1"))))))),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IF(AND(AH147&gt;'Данные ТНПА'!#REF!,AH147&lt;='Данные ТНПА'!#REF!),'Данные ТНПА'!#REF!,
"ошибка_2"))))))))</f>
        <v>0</v>
      </c>
      <c r="BC147" s="43">
        <f t="shared" si="254"/>
        <v>6.52</v>
      </c>
      <c r="BD147" s="237">
        <f t="shared" si="255"/>
        <v>0</v>
      </c>
      <c r="BE147" s="43">
        <f t="shared" si="256"/>
        <v>0</v>
      </c>
      <c r="BF147" s="201">
        <f t="shared" si="257"/>
        <v>0</v>
      </c>
      <c r="BG147" s="201">
        <f t="shared" si="258"/>
        <v>0</v>
      </c>
      <c r="BH147" s="61">
        <f t="shared" si="259"/>
        <v>6.52</v>
      </c>
      <c r="BI147" s="237">
        <f t="shared" si="260"/>
        <v>0</v>
      </c>
      <c r="BJ147" s="247">
        <f t="shared" si="261"/>
        <v>0</v>
      </c>
      <c r="BK147" s="431">
        <f t="shared" si="262"/>
        <v>0</v>
      </c>
      <c r="BL147" s="250">
        <f t="shared" si="263"/>
        <v>0</v>
      </c>
      <c r="BM147" s="237">
        <f t="shared" si="264"/>
        <v>0</v>
      </c>
      <c r="BN147" s="452">
        <f t="shared" si="265"/>
        <v>6.52</v>
      </c>
      <c r="BO147" s="237">
        <f t="shared" si="266"/>
        <v>0</v>
      </c>
      <c r="BP147" s="432">
        <f t="shared" si="267"/>
        <v>0</v>
      </c>
      <c r="BQ147" s="22" t="str">
        <f t="shared" si="268"/>
        <v/>
      </c>
      <c r="BR147" s="250">
        <f t="shared" si="269"/>
        <v>0</v>
      </c>
      <c r="BS147" s="237">
        <f t="shared" si="270"/>
        <v>0</v>
      </c>
      <c r="BT147" s="452">
        <f t="shared" si="271"/>
        <v>6.52</v>
      </c>
      <c r="BU147" s="492">
        <f t="shared" si="272"/>
        <v>1.1749999999999998</v>
      </c>
      <c r="BV147" s="493">
        <f>IF(BT147="","",
IF(AND(BT147&gt;'Данные ТНПА'!$K$8,BT147&lt;='Данные ТНПА'!$L$8),'Данные ТНПА'!$N$8,
IF(AND(BT147&gt;'Данные ТНПА'!$K$9,BT147&lt;='Данные ТНПА'!$L$9),'Данные ТНПА'!$N$9,
IF(AND(BT147&gt;'Данные ТНПА'!$K$10,BT147&lt;='Данные ТНПА'!$L$10),'Данные ТНПА'!$N$10,
IF(AND(BT147&gt;'Данные ТНПА'!$K$11,BT147&lt;='Данные ТНПА'!$L$11),'Данные ТНПА'!$N$11,
IF(AND(BT147&gt;'Данные ТНПА'!$K$12,BT147&lt;='Данные ТНПА'!$L$12),'Данные ТНПА'!$N$12,
IF(AND(BT147&gt;'Данные ТНПА'!$K$13,BT147&lt;='Данные ТНПА'!$L$13),'Данные ТНПА'!$N$13,
IF(AND(BT147&gt;'Данные ТНПА'!$K$14,BT147&lt;='Данные ТНПА'!$L$14),'Данные ТНПА'!$N$14))))))))</f>
        <v>1.5</v>
      </c>
      <c r="BW147" s="493">
        <f t="shared" si="273"/>
        <v>9.52</v>
      </c>
      <c r="BX147" s="457">
        <f t="shared" si="293"/>
        <v>0</v>
      </c>
      <c r="BY147" s="457">
        <f t="shared" si="294"/>
        <v>142.24</v>
      </c>
      <c r="BZ147" s="457">
        <f t="shared" si="295"/>
        <v>23.23773254007298</v>
      </c>
      <c r="CA147" s="457" t="e">
        <f t="shared" si="274"/>
        <v>#REF!</v>
      </c>
      <c r="CB147" s="458">
        <f t="shared" si="275"/>
        <v>0</v>
      </c>
      <c r="CC147" s="457">
        <f t="shared" si="276"/>
        <v>0</v>
      </c>
      <c r="CD147" s="457">
        <f t="shared" si="277"/>
        <v>0</v>
      </c>
      <c r="CE147" s="457">
        <f t="shared" si="278"/>
        <v>0</v>
      </c>
      <c r="CF147" s="457">
        <f t="shared" si="279"/>
        <v>0</v>
      </c>
      <c r="CG147" s="458">
        <f t="shared" si="296"/>
        <v>0</v>
      </c>
      <c r="CH147" s="457">
        <f t="shared" si="280"/>
        <v>0</v>
      </c>
      <c r="CI147" s="457">
        <f t="shared" si="281"/>
        <v>0</v>
      </c>
      <c r="CJ147" s="458">
        <f t="shared" si="282"/>
        <v>0</v>
      </c>
      <c r="CK147" s="458">
        <f t="shared" si="297"/>
        <v>55.027131610629667</v>
      </c>
      <c r="CL147" s="457">
        <f t="shared" si="298"/>
        <v>220.50486415070264</v>
      </c>
      <c r="CM147" s="504"/>
      <c r="CN147" s="504"/>
    </row>
    <row r="148" spans="1:92" ht="14.25" hidden="1" customHeight="1" x14ac:dyDescent="0.25">
      <c r="A148" s="389" t="str">
        <f>IF(D148="",CONCATENATE("Кабель ",IF(C148="а","А",""),$A$9),CONCATENATE("Кабель ",IF(C148="а","А",""),$A$9," ",D148,"*",F148,IF(G148="ок"," (ож)","")," - ",B148," ",IF(G148="мс"," фас. ",""),$A$2))</f>
        <v>Кабель ВВГ 1*25 (ож) - 1 ГОСТ 16442-80</v>
      </c>
      <c r="B148" s="450">
        <v>1</v>
      </c>
      <c r="C148" s="451" t="s">
        <v>163</v>
      </c>
      <c r="D148" s="412">
        <v>1</v>
      </c>
      <c r="E148" s="413" t="s">
        <v>40</v>
      </c>
      <c r="F148" s="423">
        <v>25</v>
      </c>
      <c r="G148" s="414" t="str">
        <f>IF(I148=1,"ок","мк")</f>
        <v>ок</v>
      </c>
      <c r="H148" s="461">
        <v>5.6499999999999995</v>
      </c>
      <c r="I148" s="497">
        <v>1</v>
      </c>
      <c r="J148" s="498" t="s">
        <v>40</v>
      </c>
      <c r="K148" s="496">
        <f>ROUNDUP(SQRT(F148/PI()*4),2)</f>
        <v>5.6499999999999995</v>
      </c>
      <c r="L148" s="501">
        <v>33.25</v>
      </c>
      <c r="M148" s="475"/>
      <c r="N148" s="475"/>
      <c r="O148" s="475"/>
      <c r="P148" s="475"/>
      <c r="Q148" s="483">
        <f t="shared" ref="Q148:Q149" si="299">0.9*R148-0.1</f>
        <v>0.98000000000000009</v>
      </c>
      <c r="R148" s="484">
        <f>IF(B148=0.66,VLOOKUP(F148,'Данные ТНПА'!$B$8:$C$16,2,0),
IF(B148=1,VLOOKUP(F148,'Данные ТНПА'!$B$17:$C$37,2,0),"ошибка"))</f>
        <v>1.2</v>
      </c>
      <c r="S148" s="485">
        <f t="shared" si="283"/>
        <v>7.6099999999999994</v>
      </c>
      <c r="T148" s="486"/>
      <c r="U148" s="487"/>
      <c r="V148" s="485">
        <f t="shared" si="284"/>
        <v>8.0499999999999989</v>
      </c>
      <c r="W148" s="486"/>
      <c r="X148" s="487"/>
      <c r="Y148" s="489">
        <f t="shared" si="285"/>
        <v>0</v>
      </c>
      <c r="Z148" s="491">
        <f t="shared" si="286"/>
        <v>8.0499999999999989</v>
      </c>
      <c r="AA148" s="237">
        <f t="shared" si="287"/>
        <v>0</v>
      </c>
      <c r="AB148" s="452">
        <f t="shared" ref="AB148:AB149" si="300">IF(Z148="","",Z148)</f>
        <v>8.0499999999999989</v>
      </c>
      <c r="AC148" s="201">
        <f t="shared" si="288"/>
        <v>0</v>
      </c>
      <c r="AD148" s="203">
        <f t="shared" ref="AD148:AD149" si="301">IF(AC148="","",IF(AC148&gt;0,IF(AND(Z148&gt;=10,Z148&lt;=20),0.035,IF(Z148&gt;20,0.05,"ошибка")),0))</f>
        <v>0</v>
      </c>
      <c r="AE148" s="37" t="str">
        <f t="shared" si="289"/>
        <v/>
      </c>
      <c r="AF148" s="202">
        <f t="shared" ref="AF148:AF149" si="302">IF(AC148="","",IF(AC148&gt;0,IF(AND(Z148&gt;=10,Z148&lt;=20),50,IF(Z148&gt;20,60,"ошибка")),0))</f>
        <v>0</v>
      </c>
      <c r="AG148" s="201">
        <f t="shared" ref="AG148:AG149" si="303">IF(AC148="","",IF(AC148&gt;0,IF(AND(Z148&gt;=10,Z148&lt;=13),40,IF(AND(Z148&gt;=13,Z148&lt;=16),30,IF(Z148&gt;16,25,"ошибка"))),0))</f>
        <v>0</v>
      </c>
      <c r="AH148" s="61">
        <f t="shared" si="290"/>
        <v>8.0499999999999989</v>
      </c>
      <c r="AI148" s="443">
        <f t="shared" si="233"/>
        <v>0</v>
      </c>
      <c r="AJ148" s="444">
        <f t="shared" ref="AJ148:AJ149" si="304">IF(AI148=0,0,$AJ$9)</f>
        <v>0</v>
      </c>
      <c r="AK148" s="445">
        <f t="shared" ref="AK148:AK149" si="305">IF(AI148="","",IF(AI148=0,0,"×"))</f>
        <v>0</v>
      </c>
      <c r="AL148" s="446">
        <f t="shared" ref="AL148:AL149" si="306">IF(AI148=0,0,$AL$9)</f>
        <v>0</v>
      </c>
      <c r="AM148" s="447">
        <f t="shared" ref="AM148:AM149" si="307">IF(AI148=0,0,
IF(AND(AH148&gt;10,AH148&lt;=13),55,
IF(AND(AH148&gt;13,AH148&lt;=15),45,
IF(AND(AH148&gt;15,AH148&lt;=18),35,
IF(AND(AH148&gt;18,AH148&lt;=20),30,
IF(AH148&gt;20,15,
0))))))</f>
        <v>0</v>
      </c>
      <c r="AN148" s="24">
        <f t="shared" ref="AN148:AN149" si="308">AH148+2*AI148*AJ148*(IF(AM148&lt;25,1,IF(AM148&gt;33,2,1.5)))</f>
        <v>8.0499999999999989</v>
      </c>
      <c r="AO148" s="443">
        <f t="shared" si="291"/>
        <v>0</v>
      </c>
      <c r="AP148" s="444">
        <f t="shared" ref="AP148:AP149" si="309">IF(OR(AO148=0,AN148&gt;23),0,$AP$9)</f>
        <v>0</v>
      </c>
      <c r="AQ148" s="445">
        <f t="shared" ref="AQ148:AQ149" si="310">IF(OR(AN148&gt;23,AO148=0),0,"×")</f>
        <v>0</v>
      </c>
      <c r="AR148" s="446">
        <f t="shared" ref="AR148:AR149" si="311">IF(OR(AN148&gt;23,AO148=0),0,$AR$9)</f>
        <v>0</v>
      </c>
      <c r="AS148" s="447">
        <f t="shared" ref="AS148:AS149" si="312">IF(AO148=0,0,
IF(AND(AH148&gt;10,AH148&lt;=13),55,
IF(AND(AH148&gt;13,AH148&lt;=15),45,
IF(AND(AH148&gt;15,AH148&lt;=18),35,
IF(AND(AH148&gt;18,AH148&lt;=20),30,
IF(AND(AH148&gt;20,AH148&lt;=23),15,
0))))))</f>
        <v>0</v>
      </c>
      <c r="AT148" s="24">
        <f t="shared" ref="AT148:AT149" si="313">AN148+2*AO148*AP148*(IF(AS148&lt;25,1,IF(AS148&gt;33,2,1.5)))</f>
        <v>8.0499999999999989</v>
      </c>
      <c r="AU148" s="443">
        <f t="shared" si="292"/>
        <v>0</v>
      </c>
      <c r="AV148" s="444">
        <f t="shared" ref="AV148:AV149" si="314">IF(OR(AU148=0,AN148&lt;=23),0,$AV$9)</f>
        <v>0</v>
      </c>
      <c r="AW148" s="445">
        <f t="shared" ref="AW148:AW149" si="315">IF(OR(AN148&lt;=23,AU148=0),0,"×")</f>
        <v>0</v>
      </c>
      <c r="AX148" s="446">
        <f t="shared" ref="AX148:AX149" si="316">IF(OR(AN148&lt;=23,AU148=0),0,$AX$9)</f>
        <v>0</v>
      </c>
      <c r="AY148" s="447">
        <f t="shared" ref="AY148:AY149" si="317">IF(AU148=0,0,15)</f>
        <v>0</v>
      </c>
      <c r="AZ148" s="24">
        <f t="shared" ref="AZ148:AZ149" si="318">AT148+2*AU148*AV148*(IF(AY148&lt;25,1,IF(AY148&gt;33,2,1.5)))</f>
        <v>8.0499999999999989</v>
      </c>
      <c r="BA148" s="43">
        <f>IF(BB148=0,0,
IF(D148=1,
(IF(AND(AH148&gt;'Данные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"ошибка_1"))))))),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"ошибка_2"))))))))</f>
        <v>0</v>
      </c>
      <c r="BB148" s="43">
        <f>IF(OR($AI$9=0,AND(D148&gt;1,F148&gt;10)),0,
IF(D148=1,
(IF(AND(AH148&gt;'Данные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"ошибка_1"))))))),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IF(AND(AH148&gt;'Данные ТНПА'!#REF!,AH148&lt;='Данные ТНПА'!#REF!),'Данные ТНПА'!#REF!,
"ошибка_2"))))))))</f>
        <v>0</v>
      </c>
      <c r="BC148" s="43">
        <f t="shared" ref="BC148:BC149" si="319">AZ148+2*BB148</f>
        <v>8.0499999999999989</v>
      </c>
      <c r="BD148" s="237">
        <f t="shared" ref="BD148:BD149" si="320">IF(BC148="","",
IF(BC148=0,0,$BD$9))</f>
        <v>0</v>
      </c>
      <c r="BE148" s="43">
        <f t="shared" ref="BE148:BE149" si="321">IF(BC148="","",
IF(BC148=0,0,$BE$9))</f>
        <v>0</v>
      </c>
      <c r="BF148" s="201">
        <f t="shared" ref="BF148:BF149" si="322">IF(BC148="","",
IF($BD$9=0,0,
IF(BC148&lt;=13,20,
IF(AND(BC148&gt;13,BC148&lt;=18),30,
IF(AND(BC148&gt;18,BC148&lt;=23),40,
IF(AND(BC148&gt;23,BC148&lt;=30),50,
60))))))</f>
        <v>0</v>
      </c>
      <c r="BG148" s="201">
        <f t="shared" ref="BG148:BG149" si="323">IF(BC148="","",$BG$9)</f>
        <v>0</v>
      </c>
      <c r="BH148" s="61">
        <f t="shared" ref="BH148:BH149" si="324">IF(BC148="","",BC148+2*BD148*BE148*IF(BG148&lt;=25,1,IF(BG148&gt;33,2,1.5)))</f>
        <v>8.0499999999999989</v>
      </c>
      <c r="BI148" s="237">
        <f t="shared" ref="BI148:BI149" si="325">IF(BC148="","",$BI$9)</f>
        <v>0</v>
      </c>
      <c r="BJ148" s="247">
        <f t="shared" ref="BJ148:BJ149" si="326">IF(BC148="","",$BJ$9)</f>
        <v>0</v>
      </c>
      <c r="BK148" s="431">
        <f t="shared" ref="BK148:BK149" si="327">IF(BJ148="","",IF(BJ148&lt;&gt;0,"×",0))</f>
        <v>0</v>
      </c>
      <c r="BL148" s="250">
        <f t="shared" ref="BL148:BL149" si="328">IF(BK148="","",
IF(BJ148&lt;&gt;0,
IF(AND(BC148&gt;7,BC148&lt;=10),15,
IF(AND(BC148&gt;10,BC148&lt;=13),20,
IF(AND(BC148&gt;13,BC148&lt;=21),30,
IF(AND(BC148&gt;21,BC148&lt;=31),40,
IF(AND(BC148&gt;31,BC148&lt;=70),50,
IF(AND(BC148&gt;70,BC148&lt;=80),60,
"ошибка")))))),0))</f>
        <v>0</v>
      </c>
      <c r="BM148" s="237">
        <f t="shared" ref="BM148:BM149" si="329">IF(BL148="","",$BM$9)</f>
        <v>0</v>
      </c>
      <c r="BN148" s="452">
        <f t="shared" ref="BN148:BN149" si="330">IF(BH148="","",BH148+2*BI148*BJ148)</f>
        <v>8.0499999999999989</v>
      </c>
      <c r="BO148" s="237">
        <f t="shared" ref="BO148:BO149" si="331">IF(BN148="","",$BO$9)</f>
        <v>0</v>
      </c>
      <c r="BP148" s="432">
        <f t="shared" ref="BP148:BP149" si="332">IF(BO148="","",IF(BO148&gt;0,$BP$9,0))</f>
        <v>0</v>
      </c>
      <c r="BQ148" s="22" t="str">
        <f t="shared" ref="BQ148:BQ149" si="333">IF(BP148="","",IF(BP148&gt;0,"×",""))</f>
        <v/>
      </c>
      <c r="BR148" s="250">
        <f t="shared" ref="BR148:BR149" si="334">IF(BN148="","",IF(BO148=0,0,IF(BN148&lt;=19,30,IF(AND(BN148&gt;19,BN148&lt;=23),40,50))))</f>
        <v>0</v>
      </c>
      <c r="BS148" s="237">
        <f t="shared" ref="BS148:BS149" si="335">IF(BO148="","",IF(BO148=0,0,$BS$9))</f>
        <v>0</v>
      </c>
      <c r="BT148" s="452">
        <f t="shared" ref="BT148:BT149" si="336">IF(BN148="","",BN148+2*BO148*BP148*IF(BS148&lt;=25,1,IF(BS148&gt;33,2,1.5)))</f>
        <v>8.0499999999999989</v>
      </c>
      <c r="BU148" s="492">
        <f t="shared" ref="BU148:BU149" si="337">0.85*BV148-0.1</f>
        <v>1.1749999999999998</v>
      </c>
      <c r="BV148" s="493">
        <f>IF(BT148="","",
IF(AND(BT148&gt;'Данные ТНПА'!$K$8,BT148&lt;='Данные ТНПА'!$L$8),'Данные ТНПА'!$N$8,
IF(AND(BT148&gt;'Данные ТНПА'!$K$9,BT148&lt;='Данные ТНПА'!$L$9),'Данные ТНПА'!$N$9,
IF(AND(BT148&gt;'Данные ТНПА'!$K$10,BT148&lt;='Данные ТНПА'!$L$10),'Данные ТНПА'!$N$10,
IF(AND(BT148&gt;'Данные ТНПА'!$K$11,BT148&lt;='Данные ТНПА'!$L$11),'Данные ТНПА'!$N$11,
IF(AND(BT148&gt;'Данные ТНПА'!$K$12,BT148&lt;='Данные ТНПА'!$L$12),'Данные ТНПА'!$N$12,
IF(AND(BT148&gt;'Данные ТНПА'!$K$13,BT148&lt;='Данные ТНПА'!$L$13),'Данные ТНПА'!$N$13,
IF(AND(BT148&gt;'Данные ТНПА'!$K$14,BT148&lt;='Данные ТНПА'!$L$14),'Данные ТНПА'!$N$14))))))))</f>
        <v>1.5</v>
      </c>
      <c r="BW148" s="493">
        <f t="shared" ref="BW148:BW149" si="338">BT148+2*BV148</f>
        <v>11.049999999999999</v>
      </c>
      <c r="BX148" s="457">
        <f t="shared" si="293"/>
        <v>0</v>
      </c>
      <c r="BY148" s="457">
        <f t="shared" si="294"/>
        <v>222.25</v>
      </c>
      <c r="BZ148" s="457">
        <f t="shared" si="295"/>
        <v>34.604014760760847</v>
      </c>
      <c r="CA148" s="457" t="e">
        <f t="shared" ref="CA148:CA149" si="339">PI()*POWER(Y148,2)/4*$CA$9</f>
        <v>#REF!</v>
      </c>
      <c r="CB148" s="458">
        <f t="shared" ref="CB148:CB149" si="340">IF(AA148="","",
IF(AA148=2,SQRT((Z148*PI()/50)^2+1)*$CB$9*AA148,0))</f>
        <v>0</v>
      </c>
      <c r="CC148" s="457">
        <f t="shared" ref="CC148:CC149" si="341">PI()*(Z148+AC148*AD148)*AC148*AD148*$CC$9*ROUND(100/(100-AG148),2)</f>
        <v>0</v>
      </c>
      <c r="CD148" s="457">
        <f t="shared" ref="CD148:CD149" si="342">PI()*(AH148+AI148*AJ148)*AI148*AJ148*$CD$9*ROUND(100/(100-AM148),2)</f>
        <v>0</v>
      </c>
      <c r="CE148" s="457">
        <f t="shared" ref="CE148:CE149" si="343">PI()*(AN148+AO148*AP148)*AO148*AP148*$CE$9*ROUND(100/(100-AS148),2)</f>
        <v>0</v>
      </c>
      <c r="CF148" s="457">
        <f t="shared" ref="CF148:CF149" si="344">PI()*(AT148+AU148*AV148)*AU148*AV148*$CF$9*ROUND(100/(100-AY148),2)</f>
        <v>0</v>
      </c>
      <c r="CG148" s="458">
        <f t="shared" si="296"/>
        <v>0</v>
      </c>
      <c r="CH148" s="457">
        <f t="shared" ref="CH148:CH149" si="345">IF(BE148="","",
IF(BD148=0,0,
PI()*(BC148+BD148*BE148)*BD148*BE148*$CH$9*ROUND(100/(100-BG148),2)))</f>
        <v>0</v>
      </c>
      <c r="CI148" s="457">
        <f t="shared" ref="CI148:CI149" si="346">IF(BH148="","",
PI()*(BH148+BI148*BJ148)*BI148*BJ148*$CI$9*ROUND(100/(100+BM148),2))</f>
        <v>0</v>
      </c>
      <c r="CJ148" s="458">
        <f t="shared" ref="CJ148:CJ149" si="347">IF(BO148="","",PI()*(BN148+BO148*BP148)*BO148*BP148*$CJ$9*ROUND(100/(100-BS148),2))</f>
        <v>0</v>
      </c>
      <c r="CK148" s="458">
        <f t="shared" si="297"/>
        <v>65.524826294453021</v>
      </c>
      <c r="CL148" s="457">
        <f t="shared" si="298"/>
        <v>322.37884105521385</v>
      </c>
      <c r="CM148" s="504"/>
      <c r="CN148" s="504"/>
    </row>
    <row r="149" spans="1:92" ht="14.25" hidden="1" customHeight="1" x14ac:dyDescent="0.25">
      <c r="A149" s="389" t="str">
        <f>IF(D149="",CONCATENATE("Кабель ",IF(C149="а","А",""),$A$9),CONCATENATE("Кабель ",IF(C149="а","А",""),$A$9," ",D149,"*",F149,IF(G149="ок"," (ож)","")," - ",B149," ",IF(G149="мс"," фас. ",""),$A$2))</f>
        <v>Кабель ВВГ 1*35 (ож) - 1 ГОСТ 16442-80</v>
      </c>
      <c r="B149" s="450">
        <v>1</v>
      </c>
      <c r="C149" s="451" t="s">
        <v>163</v>
      </c>
      <c r="D149" s="412">
        <v>1</v>
      </c>
      <c r="E149" s="413" t="s">
        <v>40</v>
      </c>
      <c r="F149" s="423">
        <v>35</v>
      </c>
      <c r="G149" s="414" t="str">
        <f>IF(I149=1,"ок","мк")</f>
        <v>ок</v>
      </c>
      <c r="H149" s="461">
        <v>6.68</v>
      </c>
      <c r="I149" s="497">
        <v>1</v>
      </c>
      <c r="J149" s="498" t="s">
        <v>40</v>
      </c>
      <c r="K149" s="496">
        <f>ROUNDUP(SQRT(F149/PI()*4),2)</f>
        <v>6.68</v>
      </c>
      <c r="L149" s="501">
        <v>38.35</v>
      </c>
      <c r="M149" s="475"/>
      <c r="N149" s="475"/>
      <c r="O149" s="475"/>
      <c r="P149" s="475"/>
      <c r="Q149" s="483">
        <f t="shared" si="299"/>
        <v>0.98000000000000009</v>
      </c>
      <c r="R149" s="484">
        <f>IF(B149=0.66,VLOOKUP(F149,'Данные ТНПА'!$B$8:$C$16,2,0),
IF(B149=1,VLOOKUP(F149,'Данные ТНПА'!$B$17:$C$37,2,0),"ошибка"))</f>
        <v>1.2</v>
      </c>
      <c r="S149" s="485">
        <f t="shared" si="283"/>
        <v>8.64</v>
      </c>
      <c r="T149" s="486"/>
      <c r="U149" s="487"/>
      <c r="V149" s="485">
        <f t="shared" si="284"/>
        <v>9.08</v>
      </c>
      <c r="W149" s="486"/>
      <c r="X149" s="487"/>
      <c r="Y149" s="489">
        <f t="shared" si="285"/>
        <v>0</v>
      </c>
      <c r="Z149" s="491">
        <f t="shared" si="286"/>
        <v>9.08</v>
      </c>
      <c r="AA149" s="237">
        <f t="shared" si="287"/>
        <v>0</v>
      </c>
      <c r="AB149" s="452">
        <f t="shared" si="300"/>
        <v>9.08</v>
      </c>
      <c r="AC149" s="201">
        <f t="shared" si="288"/>
        <v>0</v>
      </c>
      <c r="AD149" s="203">
        <f t="shared" si="301"/>
        <v>0</v>
      </c>
      <c r="AE149" s="37" t="str">
        <f t="shared" si="289"/>
        <v/>
      </c>
      <c r="AF149" s="202">
        <f t="shared" si="302"/>
        <v>0</v>
      </c>
      <c r="AG149" s="201">
        <f t="shared" si="303"/>
        <v>0</v>
      </c>
      <c r="AH149" s="61">
        <f t="shared" si="290"/>
        <v>9.08</v>
      </c>
      <c r="AI149" s="443">
        <f t="shared" si="233"/>
        <v>0</v>
      </c>
      <c r="AJ149" s="444">
        <f t="shared" si="304"/>
        <v>0</v>
      </c>
      <c r="AK149" s="445">
        <f t="shared" si="305"/>
        <v>0</v>
      </c>
      <c r="AL149" s="446">
        <f t="shared" si="306"/>
        <v>0</v>
      </c>
      <c r="AM149" s="447">
        <f t="shared" si="307"/>
        <v>0</v>
      </c>
      <c r="AN149" s="24">
        <f t="shared" si="308"/>
        <v>9.08</v>
      </c>
      <c r="AO149" s="443">
        <f t="shared" si="291"/>
        <v>0</v>
      </c>
      <c r="AP149" s="444">
        <f t="shared" si="309"/>
        <v>0</v>
      </c>
      <c r="AQ149" s="445">
        <f t="shared" si="310"/>
        <v>0</v>
      </c>
      <c r="AR149" s="446">
        <f t="shared" si="311"/>
        <v>0</v>
      </c>
      <c r="AS149" s="447">
        <f t="shared" si="312"/>
        <v>0</v>
      </c>
      <c r="AT149" s="24">
        <f t="shared" si="313"/>
        <v>9.08</v>
      </c>
      <c r="AU149" s="443">
        <f t="shared" si="292"/>
        <v>0</v>
      </c>
      <c r="AV149" s="444">
        <f t="shared" si="314"/>
        <v>0</v>
      </c>
      <c r="AW149" s="445">
        <f t="shared" si="315"/>
        <v>0</v>
      </c>
      <c r="AX149" s="446">
        <f t="shared" si="316"/>
        <v>0</v>
      </c>
      <c r="AY149" s="447">
        <f t="shared" si="317"/>
        <v>0</v>
      </c>
      <c r="AZ149" s="24">
        <f t="shared" si="318"/>
        <v>9.08</v>
      </c>
      <c r="BA149" s="43">
        <f>IF(BB149=0,0,
IF(D149=1,
(IF(AND(AH149&gt;'Данные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"ошибка_1"))))))),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"ошибка_2"))))))))</f>
        <v>0</v>
      </c>
      <c r="BB149" s="43">
        <f>IF(OR($AI$9=0,AND(D149&gt;1,F149&gt;10)),0,
IF(D149=1,
(IF(AND(AH149&gt;'Данные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"ошибка_1"))))))),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IF(AND(AH149&gt;'Данные ТНПА'!#REF!,AH149&lt;='Данные ТНПА'!#REF!),'Данные ТНПА'!#REF!,
"ошибка_2"))))))))</f>
        <v>0</v>
      </c>
      <c r="BC149" s="43">
        <f t="shared" si="319"/>
        <v>9.08</v>
      </c>
      <c r="BD149" s="237">
        <f t="shared" si="320"/>
        <v>0</v>
      </c>
      <c r="BE149" s="43">
        <f t="shared" si="321"/>
        <v>0</v>
      </c>
      <c r="BF149" s="201">
        <f t="shared" si="322"/>
        <v>0</v>
      </c>
      <c r="BG149" s="201">
        <f t="shared" si="323"/>
        <v>0</v>
      </c>
      <c r="BH149" s="61">
        <f t="shared" si="324"/>
        <v>9.08</v>
      </c>
      <c r="BI149" s="237">
        <f t="shared" si="325"/>
        <v>0</v>
      </c>
      <c r="BJ149" s="247">
        <f t="shared" si="326"/>
        <v>0</v>
      </c>
      <c r="BK149" s="431">
        <f t="shared" si="327"/>
        <v>0</v>
      </c>
      <c r="BL149" s="250">
        <f t="shared" si="328"/>
        <v>0</v>
      </c>
      <c r="BM149" s="237">
        <f t="shared" si="329"/>
        <v>0</v>
      </c>
      <c r="BN149" s="452">
        <f t="shared" si="330"/>
        <v>9.08</v>
      </c>
      <c r="BO149" s="237">
        <f t="shared" si="331"/>
        <v>0</v>
      </c>
      <c r="BP149" s="432">
        <f t="shared" si="332"/>
        <v>0</v>
      </c>
      <c r="BQ149" s="22" t="str">
        <f t="shared" si="333"/>
        <v/>
      </c>
      <c r="BR149" s="250">
        <f t="shared" si="334"/>
        <v>0</v>
      </c>
      <c r="BS149" s="237">
        <f t="shared" si="335"/>
        <v>0</v>
      </c>
      <c r="BT149" s="452">
        <f t="shared" si="336"/>
        <v>9.08</v>
      </c>
      <c r="BU149" s="492">
        <f t="shared" si="337"/>
        <v>1.1749999999999998</v>
      </c>
      <c r="BV149" s="493">
        <f>IF(BT149="","",
IF(AND(BT149&gt;'Данные ТНПА'!$K$8,BT149&lt;='Данные ТНПА'!$L$8),'Данные ТНПА'!$N$8,
IF(AND(BT149&gt;'Данные ТНПА'!$K$9,BT149&lt;='Данные ТНПА'!$L$9),'Данные ТНПА'!$N$9,
IF(AND(BT149&gt;'Данные ТНПА'!$K$10,BT149&lt;='Данные ТНПА'!$L$10),'Данные ТНПА'!$N$10,
IF(AND(BT149&gt;'Данные ТНПА'!$K$11,BT149&lt;='Данные ТНПА'!$L$11),'Данные ТНПА'!$N$11,
IF(AND(BT149&gt;'Данные ТНПА'!$K$12,BT149&lt;='Данные ТНПА'!$L$12),'Данные ТНПА'!$N$12,
IF(AND(BT149&gt;'Данные ТНПА'!$K$13,BT149&lt;='Данные ТНПА'!$L$13),'Данные ТНПА'!$N$13,
IF(AND(BT149&gt;'Данные ТНПА'!$K$14,BT149&lt;='Данные ТНПА'!$L$14),'Данные ТНПА'!$N$14))))))))</f>
        <v>1.5</v>
      </c>
      <c r="BW149" s="493">
        <f t="shared" si="338"/>
        <v>12.08</v>
      </c>
      <c r="BX149" s="457">
        <f t="shared" si="293"/>
        <v>0</v>
      </c>
      <c r="BY149" s="457">
        <f t="shared" si="294"/>
        <v>311.15000000000003</v>
      </c>
      <c r="BZ149" s="457">
        <f t="shared" si="295"/>
        <v>39.807246177342407</v>
      </c>
      <c r="CA149" s="457" t="e">
        <f t="shared" si="339"/>
        <v>#REF!</v>
      </c>
      <c r="CB149" s="458">
        <f t="shared" si="340"/>
        <v>0</v>
      </c>
      <c r="CC149" s="457">
        <f t="shared" si="341"/>
        <v>0</v>
      </c>
      <c r="CD149" s="457">
        <f t="shared" si="342"/>
        <v>0</v>
      </c>
      <c r="CE149" s="457">
        <f t="shared" si="343"/>
        <v>0</v>
      </c>
      <c r="CF149" s="457">
        <f t="shared" si="344"/>
        <v>0</v>
      </c>
      <c r="CG149" s="458">
        <f t="shared" si="296"/>
        <v>0</v>
      </c>
      <c r="CH149" s="457">
        <f t="shared" si="345"/>
        <v>0</v>
      </c>
      <c r="CI149" s="457">
        <f t="shared" si="346"/>
        <v>0</v>
      </c>
      <c r="CJ149" s="458">
        <f t="shared" si="347"/>
        <v>0</v>
      </c>
      <c r="CK149" s="458">
        <f t="shared" si="297"/>
        <v>72.591901800556343</v>
      </c>
      <c r="CL149" s="457">
        <f t="shared" si="298"/>
        <v>423.54914797789877</v>
      </c>
      <c r="CM149" s="504"/>
      <c r="CN149" s="504"/>
    </row>
    <row r="150" spans="1:92" ht="14.25" hidden="1" customHeight="1" x14ac:dyDescent="0.25">
      <c r="A150" s="389" t="str">
        <f>IF(D150="",CONCATENATE("Кабель ",IF(C150="а","А",""),$A$9),CONCATENATE("Кабель ",IF(C150="а","А",""),$A$9," ",D150,"*",F150,IF(G150="ок"," (ож)","")," - ",B150," ",IF(G150="мс"," фас. ",""),$A$2))</f>
        <v>Кабель ВВГ 2*16 - 1 ГОСТ 16442-80</v>
      </c>
      <c r="B150" s="450">
        <v>1</v>
      </c>
      <c r="C150" s="451" t="s">
        <v>163</v>
      </c>
      <c r="D150" s="412">
        <v>2</v>
      </c>
      <c r="E150" s="413" t="s">
        <v>40</v>
      </c>
      <c r="F150" s="423">
        <v>16</v>
      </c>
      <c r="G150" s="414" t="str">
        <f>IF(I150=1,"ок","мк")</f>
        <v>мк</v>
      </c>
      <c r="H150" s="461">
        <v>1.77</v>
      </c>
      <c r="I150" s="476">
        <v>7</v>
      </c>
      <c r="J150" s="477" t="s">
        <v>40</v>
      </c>
      <c r="K150" s="470">
        <f>ROUNDUP(SQRT(F150/I150/PI()*4*1.07),2)</f>
        <v>1.77</v>
      </c>
      <c r="L150" s="501">
        <v>1.39</v>
      </c>
      <c r="M150" s="475"/>
      <c r="N150" s="475"/>
      <c r="O150" s="475"/>
      <c r="P150" s="475"/>
      <c r="Q150" s="483">
        <f t="shared" ref="Q150:Q161" si="348">0.9*R150-0.1</f>
        <v>0.8</v>
      </c>
      <c r="R150" s="484">
        <f>IF(B150=0.66,VLOOKUP(F150,'Данные ТНПА'!$B$8:$C$16,2,0),
IF(B150=1,VLOOKUP(F150,'Данные ТНПА'!$B$17:$C$37,2,0),"ошибка"))</f>
        <v>1</v>
      </c>
      <c r="S150" s="485">
        <f t="shared" si="283"/>
        <v>2.99</v>
      </c>
      <c r="T150" s="486"/>
      <c r="U150" s="487"/>
      <c r="V150" s="485">
        <f t="shared" si="284"/>
        <v>3.3899999999999997</v>
      </c>
      <c r="W150" s="486"/>
      <c r="X150" s="487"/>
      <c r="Y150" s="489">
        <f t="shared" si="285"/>
        <v>0</v>
      </c>
      <c r="Z150" s="491">
        <f t="shared" si="286"/>
        <v>6.7799999999999994</v>
      </c>
      <c r="AA150" s="237">
        <f t="shared" si="287"/>
        <v>0</v>
      </c>
      <c r="AB150" s="452">
        <f t="shared" ref="AB150:AB161" si="349">IF(Z150="","",Z150)</f>
        <v>6.7799999999999994</v>
      </c>
      <c r="AC150" s="201">
        <f t="shared" si="288"/>
        <v>0</v>
      </c>
      <c r="AD150" s="203">
        <f t="shared" ref="AD150:AD161" si="350">IF(AC150="","",IF(AC150&gt;0,IF(AND(Z150&gt;=10,Z150&lt;=20),0.035,IF(Z150&gt;20,0.05,"ошибка")),0))</f>
        <v>0</v>
      </c>
      <c r="AE150" s="37" t="str">
        <f t="shared" si="289"/>
        <v/>
      </c>
      <c r="AF150" s="202">
        <f t="shared" ref="AF150:AF161" si="351">IF(AC150="","",IF(AC150&gt;0,IF(AND(Z150&gt;=10,Z150&lt;=20),50,IF(Z150&gt;20,60,"ошибка")),0))</f>
        <v>0</v>
      </c>
      <c r="AG150" s="201">
        <f t="shared" ref="AG150:AG161" si="352">IF(AC150="","",IF(AC150&gt;0,IF(AND(Z150&gt;=10,Z150&lt;=13),40,IF(AND(Z150&gt;=13,Z150&lt;=16),30,IF(Z150&gt;16,25,"ошибка"))),0))</f>
        <v>0</v>
      </c>
      <c r="AH150" s="61">
        <f t="shared" si="290"/>
        <v>6.7799999999999994</v>
      </c>
      <c r="AI150" s="443">
        <f t="shared" si="233"/>
        <v>0</v>
      </c>
      <c r="AJ150" s="444">
        <f t="shared" ref="AJ150:AJ197" si="353">IF(AI150=0,0,$AJ$9)</f>
        <v>0</v>
      </c>
      <c r="AK150" s="445">
        <f t="shared" ref="AK150:AK197" si="354">IF(AI150="","",IF(AI150=0,0,"×"))</f>
        <v>0</v>
      </c>
      <c r="AL150" s="446">
        <f t="shared" ref="AL150:AL197" si="355">IF(AI150=0,0,$AL$9)</f>
        <v>0</v>
      </c>
      <c r="AM150" s="447">
        <f t="shared" ref="AM150:AM197" si="356">IF(AI150=0,0,
IF(AND(AH150&gt;10,AH150&lt;=13),55,
IF(AND(AH150&gt;13,AH150&lt;=15),45,
IF(AND(AH150&gt;15,AH150&lt;=18),35,
IF(AND(AH150&gt;18,AH150&lt;=20),30,
IF(AH150&gt;20,15,
0))))))</f>
        <v>0</v>
      </c>
      <c r="AN150" s="24">
        <f t="shared" ref="AN150:AN197" si="357">AH150+2*AI150*AJ150*(IF(AM150&lt;25,1,IF(AM150&gt;33,2,1.5)))</f>
        <v>6.7799999999999994</v>
      </c>
      <c r="AO150" s="443">
        <f t="shared" si="291"/>
        <v>0</v>
      </c>
      <c r="AP150" s="444">
        <f t="shared" ref="AP150:AP197" si="358">IF(OR(AO150=0,AN150&gt;23),0,$AP$9)</f>
        <v>0</v>
      </c>
      <c r="AQ150" s="445">
        <f t="shared" ref="AQ150:AQ197" si="359">IF(OR(AN150&gt;23,AO150=0),0,"×")</f>
        <v>0</v>
      </c>
      <c r="AR150" s="446">
        <f t="shared" ref="AR150:AR197" si="360">IF(OR(AN150&gt;23,AO150=0),0,$AR$9)</f>
        <v>0</v>
      </c>
      <c r="AS150" s="447">
        <f t="shared" ref="AS150:AS197" si="361">IF(AO150=0,0,
IF(AND(AH150&gt;10,AH150&lt;=13),55,
IF(AND(AH150&gt;13,AH150&lt;=15),45,
IF(AND(AH150&gt;15,AH150&lt;=18),35,
IF(AND(AH150&gt;18,AH150&lt;=20),30,
IF(AND(AH150&gt;20,AH150&lt;=23),15,
0))))))</f>
        <v>0</v>
      </c>
      <c r="AT150" s="24">
        <f t="shared" ref="AT150:AT197" si="362">AN150+2*AO150*AP150*(IF(AS150&lt;25,1,IF(AS150&gt;33,2,1.5)))</f>
        <v>6.7799999999999994</v>
      </c>
      <c r="AU150" s="443">
        <f t="shared" si="292"/>
        <v>0</v>
      </c>
      <c r="AV150" s="444">
        <f t="shared" ref="AV150:AV197" si="363">IF(OR(AU150=0,AN150&lt;=23),0,$AV$9)</f>
        <v>0</v>
      </c>
      <c r="AW150" s="445">
        <f t="shared" ref="AW150:AW197" si="364">IF(OR(AN150&lt;=23,AU150=0),0,"×")</f>
        <v>0</v>
      </c>
      <c r="AX150" s="446">
        <f t="shared" ref="AX150:AX197" si="365">IF(OR(AN150&lt;=23,AU150=0),0,$AX$9)</f>
        <v>0</v>
      </c>
      <c r="AY150" s="447">
        <f t="shared" ref="AY150:AY197" si="366">IF(AU150=0,0,15)</f>
        <v>0</v>
      </c>
      <c r="AZ150" s="24">
        <f t="shared" ref="AZ150:AZ197" si="367">AT150+2*AU150*AV150*(IF(AY150&lt;25,1,IF(AY150&gt;33,2,1.5)))</f>
        <v>6.7799999999999994</v>
      </c>
      <c r="BA150" s="43">
        <f>IF(BB150=0,0,
IF(D150=1,
(IF(AND(AH150&gt;'Данные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"ошибка_1"))))))),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"ошибка_2"))))))))</f>
        <v>0</v>
      </c>
      <c r="BB150" s="43">
        <f>IF(OR($AI$9=0,AND(D150&gt;1,F150&gt;10)),0,
IF(D150=1,
(IF(AND(AH150&gt;'Данные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"ошибка_1"))))))),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IF(AND(AH150&gt;'Данные ТНПА'!#REF!,AH150&lt;='Данные ТНПА'!#REF!),'Данные ТНПА'!#REF!,
"ошибка_2"))))))))</f>
        <v>0</v>
      </c>
      <c r="BC150" s="43">
        <f t="shared" ref="BC150:BC197" si="368">AZ150+2*BB150</f>
        <v>6.7799999999999994</v>
      </c>
      <c r="BD150" s="237">
        <f t="shared" ref="BD150:BD180" si="369">IF(BC150="","",
IF(BC150=0,0,$BD$9))</f>
        <v>0</v>
      </c>
      <c r="BE150" s="43">
        <f t="shared" ref="BE150:BE180" si="370">IF(BC150="","",
IF(BC150=0,0,$BE$9))</f>
        <v>0</v>
      </c>
      <c r="BF150" s="201">
        <f t="shared" ref="BF150:BF180" si="371">IF(BC150="","",
IF($BD$9=0,0,
IF(BC150&lt;=13,20,
IF(AND(BC150&gt;13,BC150&lt;=18),30,
IF(AND(BC150&gt;18,BC150&lt;=23),40,
IF(AND(BC150&gt;23,BC150&lt;=30),50,
60))))))</f>
        <v>0</v>
      </c>
      <c r="BG150" s="201">
        <f t="shared" ref="BG150:BG180" si="372">IF(BC150="","",$BG$9)</f>
        <v>0</v>
      </c>
      <c r="BH150" s="61">
        <f t="shared" ref="BH150:BH161" si="373">IF(BC150="","",BC150+2*BD150*BE150*IF(BG150&lt;=25,1,IF(BG150&gt;33,2,1.5)))</f>
        <v>6.7799999999999994</v>
      </c>
      <c r="BI150" s="237">
        <f t="shared" ref="BI150:BI180" si="374">IF(BC150="","",$BI$9)</f>
        <v>0</v>
      </c>
      <c r="BJ150" s="247">
        <f t="shared" ref="BJ150:BJ180" si="375">IF(BC150="","",$BJ$9)</f>
        <v>0</v>
      </c>
      <c r="BK150" s="431">
        <f t="shared" ref="BK150:BK161" si="376">IF(BJ150="","",IF(BJ150&lt;&gt;0,"×",0))</f>
        <v>0</v>
      </c>
      <c r="BL150" s="250">
        <f t="shared" ref="BL150:BL161" si="377">IF(BK150="","",
IF(BJ150&lt;&gt;0,
IF(AND(BC150&gt;7,BC150&lt;=10),15,
IF(AND(BC150&gt;10,BC150&lt;=13),20,
IF(AND(BC150&gt;13,BC150&lt;=21),30,
IF(AND(BC150&gt;21,BC150&lt;=31),40,
IF(AND(BC150&gt;31,BC150&lt;=70),50,
IF(AND(BC150&gt;70,BC150&lt;=80),60,
"ошибка")))))),0))</f>
        <v>0</v>
      </c>
      <c r="BM150" s="237">
        <f t="shared" ref="BM150:BM180" si="378">IF(BL150="","",$BM$9)</f>
        <v>0</v>
      </c>
      <c r="BN150" s="452">
        <f t="shared" ref="BN150:BN161" si="379">IF(BH150="","",BH150+2*BI150*BJ150)</f>
        <v>6.7799999999999994</v>
      </c>
      <c r="BO150" s="237">
        <f t="shared" ref="BO150:BO180" si="380">IF(BN150="","",$BO$9)</f>
        <v>0</v>
      </c>
      <c r="BP150" s="432">
        <f t="shared" ref="BP150:BP180" si="381">IF(BO150="","",IF(BO150&gt;0,$BP$9,0))</f>
        <v>0</v>
      </c>
      <c r="BQ150" s="22" t="str">
        <f t="shared" ref="BQ150:BQ161" si="382">IF(BP150="","",IF(BP150&gt;0,"×",""))</f>
        <v/>
      </c>
      <c r="BR150" s="250">
        <f t="shared" ref="BR150:BR161" si="383">IF(BN150="","",IF(BO150=0,0,IF(BN150&lt;=19,30,IF(AND(BN150&gt;19,BN150&lt;=23),40,50))))</f>
        <v>0</v>
      </c>
      <c r="BS150" s="237">
        <f t="shared" ref="BS150:BS180" si="384">IF(BO150="","",IF(BO150=0,0,$BS$9))</f>
        <v>0</v>
      </c>
      <c r="BT150" s="452">
        <f t="shared" ref="BT150:BT161" si="385">IF(BN150="","",BN150+2*BO150*BP150*IF(BS150&lt;=25,1,IF(BS150&gt;33,2,1.5)))</f>
        <v>6.7799999999999994</v>
      </c>
      <c r="BU150" s="492">
        <f t="shared" ref="BU150:BU161" si="386">0.85*BV150-0.1</f>
        <v>1.1749999999999998</v>
      </c>
      <c r="BV150" s="493">
        <f>IF(BT150="","",
IF(AND(BT150&gt;'Данные ТНПА'!$K$8,BT150&lt;='Данные ТНПА'!$L$8),'Данные ТНПА'!$N$8,
IF(AND(BT150&gt;'Данные ТНПА'!$K$9,BT150&lt;='Данные ТНПА'!$L$9),'Данные ТНПА'!$N$9,
IF(AND(BT150&gt;'Данные ТНПА'!$K$10,BT150&lt;='Данные ТНПА'!$L$10),'Данные ТНПА'!$N$10,
IF(AND(BT150&gt;'Данные ТНПА'!$K$11,BT150&lt;='Данные ТНПА'!$L$11),'Данные ТНПА'!$N$11,
IF(AND(BT150&gt;'Данные ТНПА'!$K$12,BT150&lt;='Данные ТНПА'!$L$12),'Данные ТНПА'!$N$12,
IF(AND(BT150&gt;'Данные ТНПА'!$K$13,BT150&lt;='Данные ТНПА'!$L$13),'Данные ТНПА'!$N$13,
IF(AND(BT150&gt;'Данные ТНПА'!$K$14,BT150&lt;='Данные ТНПА'!$L$14),'Данные ТНПА'!$N$14))))))))</f>
        <v>1.5</v>
      </c>
      <c r="BW150" s="493">
        <f t="shared" ref="BW150:BW197" si="387">BT150+2*BV150</f>
        <v>9.7799999999999994</v>
      </c>
      <c r="BX150" s="457">
        <f t="shared" si="293"/>
        <v>0</v>
      </c>
      <c r="BY150" s="457">
        <f t="shared" si="294"/>
        <v>286.47136</v>
      </c>
      <c r="BZ150" s="457">
        <f t="shared" si="295"/>
        <v>22.28972566658943</v>
      </c>
      <c r="CA150" s="457" t="e">
        <f t="shared" ref="CA150:CA161" si="388">PI()*POWER(Y150,2)/4*$CA$9</f>
        <v>#REF!</v>
      </c>
      <c r="CB150" s="458">
        <f t="shared" ref="CB150:CB180" si="389">IF(AA150="","",
IF(AA150=2,SQRT((Z150*PI()/50)^2+1)*$CB$9*AA150,0))</f>
        <v>0</v>
      </c>
      <c r="CC150" s="457">
        <f t="shared" ref="CC150:CC197" si="390">PI()*(Z150+AC150*AD150)*AC150*AD150*$CC$9*ROUND(100/(100-AG150),2)</f>
        <v>0</v>
      </c>
      <c r="CD150" s="457">
        <f t="shared" ref="CD150:CD197" si="391">PI()*(AH150+AI150*AJ150)*AI150*AJ150*$CD$9*ROUND(100/(100-AM150),2)</f>
        <v>0</v>
      </c>
      <c r="CE150" s="457">
        <f t="shared" ref="CE150:CE197" si="392">PI()*(AN150+AO150*AP150)*AO150*AP150*$CE$9*ROUND(100/(100-AS150),2)</f>
        <v>0</v>
      </c>
      <c r="CF150" s="457">
        <f t="shared" ref="CF150:CF197" si="393">PI()*(AT150+AU150*AV150)*AU150*AV150*$CF$9*ROUND(100/(100-AY150),2)</f>
        <v>0</v>
      </c>
      <c r="CG150" s="458">
        <f t="shared" si="296"/>
        <v>0</v>
      </c>
      <c r="CH150" s="457">
        <f t="shared" ref="CH150:CH180" si="394">IF(BE150="","",
IF(BD150=0,0,
PI()*(BC150+BD150*BE150)*BD150*BE150*$CH$9*ROUND(100/(100-BG150),2)))</f>
        <v>0</v>
      </c>
      <c r="CI150" s="457">
        <f t="shared" ref="CI150:CI180" si="395">IF(BH150="","",
PI()*(BH150+BI150*BJ150)*BI150*BJ150*$CI$9*ROUND(100/(100+BM150),2))</f>
        <v>0</v>
      </c>
      <c r="CJ150" s="458">
        <f t="shared" ref="CJ150:CJ180" si="396">IF(BO150="","",PI()*(BN150+BO150*BP150)*BO150*BP150*$CJ$9*ROUND(100/(100-BS150),2))</f>
        <v>0</v>
      </c>
      <c r="CK150" s="458">
        <f t="shared" si="297"/>
        <v>56.811053583044085</v>
      </c>
      <c r="CL150" s="457">
        <f t="shared" si="298"/>
        <v>365.57213924963355</v>
      </c>
      <c r="CM150" s="504"/>
      <c r="CN150" s="504"/>
    </row>
    <row r="151" spans="1:92" ht="14.25" hidden="1" customHeight="1" x14ac:dyDescent="0.25">
      <c r="A151" s="389" t="str">
        <f>IF(D151="",CONCATENATE("Кабель ",IF(C151="а","А",""),$A$9),CONCATENATE("Кабель ",IF(C151="а","А",""),$A$9," ",D151,"*",F151,IF(G151="ок"," (ож)","")," - ",B151," ",IF(G151="мс"," фас. ",""),$A$2))</f>
        <v>Кабель ВВГ 2*25 - 1 ГОСТ 16442-80</v>
      </c>
      <c r="B151" s="450">
        <v>1</v>
      </c>
      <c r="C151" s="451" t="s">
        <v>163</v>
      </c>
      <c r="D151" s="412">
        <v>2</v>
      </c>
      <c r="E151" s="413" t="s">
        <v>40</v>
      </c>
      <c r="F151" s="423">
        <v>25</v>
      </c>
      <c r="G151" s="414" t="str">
        <f>IF(I151=1,"ок","мк")</f>
        <v>мк</v>
      </c>
      <c r="H151" s="461">
        <v>2.21</v>
      </c>
      <c r="I151" s="476">
        <v>7</v>
      </c>
      <c r="J151" s="477" t="s">
        <v>40</v>
      </c>
      <c r="K151" s="470">
        <f>ROUNDUP(SQRT(F151/I151/PI()*4*1.07),2)</f>
        <v>2.21</v>
      </c>
      <c r="L151" s="501">
        <v>1.79</v>
      </c>
      <c r="M151" s="475"/>
      <c r="N151" s="475"/>
      <c r="O151" s="475"/>
      <c r="P151" s="475"/>
      <c r="Q151" s="483">
        <f t="shared" si="348"/>
        <v>0.98000000000000009</v>
      </c>
      <c r="R151" s="484">
        <f>IF(B151=0.66,VLOOKUP(F151,'Данные ТНПА'!$B$8:$C$16,2,0),
IF(B151=1,VLOOKUP(F151,'Данные ТНПА'!$B$17:$C$37,2,0),"ошибка"))</f>
        <v>1.2</v>
      </c>
      <c r="S151" s="485">
        <f t="shared" si="283"/>
        <v>3.75</v>
      </c>
      <c r="T151" s="486"/>
      <c r="U151" s="487"/>
      <c r="V151" s="485">
        <f t="shared" si="284"/>
        <v>4.1899999999999995</v>
      </c>
      <c r="W151" s="486"/>
      <c r="X151" s="487"/>
      <c r="Y151" s="489">
        <f t="shared" si="285"/>
        <v>0</v>
      </c>
      <c r="Z151" s="491">
        <f t="shared" si="286"/>
        <v>8.379999999999999</v>
      </c>
      <c r="AA151" s="237">
        <f t="shared" si="287"/>
        <v>0</v>
      </c>
      <c r="AB151" s="452">
        <f t="shared" si="349"/>
        <v>8.379999999999999</v>
      </c>
      <c r="AC151" s="201">
        <f t="shared" si="288"/>
        <v>0</v>
      </c>
      <c r="AD151" s="203">
        <f t="shared" si="350"/>
        <v>0</v>
      </c>
      <c r="AE151" s="37" t="str">
        <f t="shared" si="289"/>
        <v/>
      </c>
      <c r="AF151" s="202">
        <f t="shared" si="351"/>
        <v>0</v>
      </c>
      <c r="AG151" s="201">
        <f t="shared" si="352"/>
        <v>0</v>
      </c>
      <c r="AH151" s="61">
        <f t="shared" si="290"/>
        <v>8.379999999999999</v>
      </c>
      <c r="AI151" s="443">
        <f t="shared" si="233"/>
        <v>0</v>
      </c>
      <c r="AJ151" s="444">
        <f t="shared" si="353"/>
        <v>0</v>
      </c>
      <c r="AK151" s="445">
        <f t="shared" si="354"/>
        <v>0</v>
      </c>
      <c r="AL151" s="446">
        <f t="shared" si="355"/>
        <v>0</v>
      </c>
      <c r="AM151" s="447">
        <f t="shared" si="356"/>
        <v>0</v>
      </c>
      <c r="AN151" s="24">
        <f t="shared" si="357"/>
        <v>8.379999999999999</v>
      </c>
      <c r="AO151" s="443">
        <f t="shared" si="291"/>
        <v>0</v>
      </c>
      <c r="AP151" s="444">
        <f t="shared" si="358"/>
        <v>0</v>
      </c>
      <c r="AQ151" s="445">
        <f t="shared" si="359"/>
        <v>0</v>
      </c>
      <c r="AR151" s="446">
        <f t="shared" si="360"/>
        <v>0</v>
      </c>
      <c r="AS151" s="447">
        <f t="shared" si="361"/>
        <v>0</v>
      </c>
      <c r="AT151" s="24">
        <f t="shared" si="362"/>
        <v>8.379999999999999</v>
      </c>
      <c r="AU151" s="443">
        <f t="shared" si="292"/>
        <v>0</v>
      </c>
      <c r="AV151" s="444">
        <f t="shared" si="363"/>
        <v>0</v>
      </c>
      <c r="AW151" s="445">
        <f t="shared" si="364"/>
        <v>0</v>
      </c>
      <c r="AX151" s="446">
        <f t="shared" si="365"/>
        <v>0</v>
      </c>
      <c r="AY151" s="447">
        <f t="shared" si="366"/>
        <v>0</v>
      </c>
      <c r="AZ151" s="24">
        <f t="shared" si="367"/>
        <v>8.379999999999999</v>
      </c>
      <c r="BA151" s="43">
        <f>IF(BB151=0,0,
IF(D151=1,
(IF(AND(AH151&gt;'Данные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"ошибка_1"))))))),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"ошибка_2"))))))))</f>
        <v>0</v>
      </c>
      <c r="BB151" s="43">
        <f>IF(OR($AI$9=0,AND(D151&gt;1,F151&gt;10)),0,
IF(D151=1,
(IF(AND(AH151&gt;'Данные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"ошибка_1"))))))),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IF(AND(AH151&gt;'Данные ТНПА'!#REF!,AH151&lt;='Данные ТНПА'!#REF!),'Данные ТНПА'!#REF!,
"ошибка_2"))))))))</f>
        <v>0</v>
      </c>
      <c r="BC151" s="43">
        <f t="shared" si="368"/>
        <v>8.379999999999999</v>
      </c>
      <c r="BD151" s="237">
        <f t="shared" si="369"/>
        <v>0</v>
      </c>
      <c r="BE151" s="43">
        <f t="shared" si="370"/>
        <v>0</v>
      </c>
      <c r="BF151" s="201">
        <f t="shared" si="371"/>
        <v>0</v>
      </c>
      <c r="BG151" s="201">
        <f t="shared" si="372"/>
        <v>0</v>
      </c>
      <c r="BH151" s="61">
        <f t="shared" si="373"/>
        <v>8.379999999999999</v>
      </c>
      <c r="BI151" s="237">
        <f t="shared" si="374"/>
        <v>0</v>
      </c>
      <c r="BJ151" s="247">
        <f t="shared" si="375"/>
        <v>0</v>
      </c>
      <c r="BK151" s="431">
        <f t="shared" si="376"/>
        <v>0</v>
      </c>
      <c r="BL151" s="250">
        <f t="shared" si="377"/>
        <v>0</v>
      </c>
      <c r="BM151" s="237">
        <f t="shared" si="378"/>
        <v>0</v>
      </c>
      <c r="BN151" s="452">
        <f t="shared" si="379"/>
        <v>8.379999999999999</v>
      </c>
      <c r="BO151" s="237">
        <f t="shared" si="380"/>
        <v>0</v>
      </c>
      <c r="BP151" s="432">
        <f t="shared" si="381"/>
        <v>0</v>
      </c>
      <c r="BQ151" s="22" t="str">
        <f t="shared" si="382"/>
        <v/>
      </c>
      <c r="BR151" s="250">
        <f t="shared" si="383"/>
        <v>0</v>
      </c>
      <c r="BS151" s="237">
        <f t="shared" si="384"/>
        <v>0</v>
      </c>
      <c r="BT151" s="452">
        <f t="shared" si="385"/>
        <v>8.379999999999999</v>
      </c>
      <c r="BU151" s="492">
        <f t="shared" si="386"/>
        <v>1.1749999999999998</v>
      </c>
      <c r="BV151" s="493">
        <f>IF(BT151="","",
IF(AND(BT151&gt;'Данные ТНПА'!$K$8,BT151&lt;='Данные ТНПА'!$L$8),'Данные ТНПА'!$N$8,
IF(AND(BT151&gt;'Данные ТНПА'!$K$9,BT151&lt;='Данные ТНПА'!$L$9),'Данные ТНПА'!$N$9,
IF(AND(BT151&gt;'Данные ТНПА'!$K$10,BT151&lt;='Данные ТНПА'!$L$10),'Данные ТНПА'!$N$10,
IF(AND(BT151&gt;'Данные ТНПА'!$K$11,BT151&lt;='Данные ТНПА'!$L$11),'Данные ТНПА'!$N$11,
IF(AND(BT151&gt;'Данные ТНПА'!$K$12,BT151&lt;='Данные ТНПА'!$L$12),'Данные ТНПА'!$N$12,
IF(AND(BT151&gt;'Данные ТНПА'!$K$13,BT151&lt;='Данные ТНПА'!$L$13),'Данные ТНПА'!$N$13,
IF(AND(BT151&gt;'Данные ТНПА'!$K$14,BT151&lt;='Данные ТНПА'!$L$14),'Данные ТНПА'!$N$14))))))))</f>
        <v>1.5</v>
      </c>
      <c r="BW151" s="493">
        <f t="shared" si="387"/>
        <v>11.379999999999999</v>
      </c>
      <c r="BX151" s="457">
        <f t="shared" si="293"/>
        <v>0</v>
      </c>
      <c r="BY151" s="457">
        <f t="shared" si="294"/>
        <v>447.61149999999998</v>
      </c>
      <c r="BZ151" s="457">
        <f t="shared" si="295"/>
        <v>33.462567235030498</v>
      </c>
      <c r="CA151" s="457" t="e">
        <f t="shared" si="388"/>
        <v>#REF!</v>
      </c>
      <c r="CB151" s="458">
        <f t="shared" si="389"/>
        <v>0</v>
      </c>
      <c r="CC151" s="457">
        <f t="shared" si="390"/>
        <v>0</v>
      </c>
      <c r="CD151" s="457">
        <f t="shared" si="391"/>
        <v>0</v>
      </c>
      <c r="CE151" s="457">
        <f t="shared" si="392"/>
        <v>0</v>
      </c>
      <c r="CF151" s="457">
        <f t="shared" si="393"/>
        <v>0</v>
      </c>
      <c r="CG151" s="458">
        <f t="shared" si="296"/>
        <v>0</v>
      </c>
      <c r="CH151" s="457">
        <f t="shared" si="394"/>
        <v>0</v>
      </c>
      <c r="CI151" s="457">
        <f t="shared" si="395"/>
        <v>0</v>
      </c>
      <c r="CJ151" s="458">
        <f t="shared" si="396"/>
        <v>0</v>
      </c>
      <c r="CK151" s="458">
        <f t="shared" si="297"/>
        <v>67.789034951748263</v>
      </c>
      <c r="CL151" s="457">
        <f t="shared" si="298"/>
        <v>548.86310218677875</v>
      </c>
      <c r="CM151" s="504"/>
      <c r="CN151" s="504"/>
    </row>
    <row r="152" spans="1:92" ht="14.25" hidden="1" customHeight="1" x14ac:dyDescent="0.25">
      <c r="A152" s="389" t="str">
        <f>IF(D152="",CONCATENATE("Кабель ",IF(C152="а","А",""),$A$9),CONCATENATE("Кабель ",IF(C152="а","А",""),$A$9," ",D152,"*",F152,IF(G152="ок"," (ож)","")," - ",B152," ",IF(G152="мс"," фас. ",""),$A$2))</f>
        <v>Кабель ВВГ 2*35 - 1 ГОСТ 16442-80</v>
      </c>
      <c r="B152" s="450">
        <v>1</v>
      </c>
      <c r="C152" s="451" t="s">
        <v>163</v>
      </c>
      <c r="D152" s="412">
        <v>2</v>
      </c>
      <c r="E152" s="413" t="s">
        <v>40</v>
      </c>
      <c r="F152" s="423">
        <v>35</v>
      </c>
      <c r="G152" s="414" t="str">
        <f>IF(I152=1,"ок","мк")</f>
        <v>мк</v>
      </c>
      <c r="H152" s="461">
        <v>2.61</v>
      </c>
      <c r="I152" s="476">
        <v>7</v>
      </c>
      <c r="J152" s="477" t="s">
        <v>40</v>
      </c>
      <c r="K152" s="470">
        <f>ROUNDUP(SQRT(F152/I152/PI()*4*1.07),2)</f>
        <v>2.61</v>
      </c>
      <c r="L152" s="501">
        <v>2.2599999999999998</v>
      </c>
      <c r="M152" s="475"/>
      <c r="N152" s="475"/>
      <c r="O152" s="475"/>
      <c r="P152" s="475"/>
      <c r="Q152" s="483">
        <f t="shared" si="348"/>
        <v>0.98000000000000009</v>
      </c>
      <c r="R152" s="484">
        <f>IF(B152=0.66,VLOOKUP(F152,'Данные ТНПА'!$B$8:$C$16,2,0),
IF(B152=1,VLOOKUP(F152,'Данные ТНПА'!$B$17:$C$37,2,0),"ошибка"))</f>
        <v>1.2</v>
      </c>
      <c r="S152" s="485">
        <f t="shared" si="283"/>
        <v>4.22</v>
      </c>
      <c r="T152" s="486"/>
      <c r="U152" s="487"/>
      <c r="V152" s="485">
        <f t="shared" si="284"/>
        <v>4.66</v>
      </c>
      <c r="W152" s="486"/>
      <c r="X152" s="487"/>
      <c r="Y152" s="489">
        <f t="shared" si="285"/>
        <v>0</v>
      </c>
      <c r="Z152" s="491">
        <f t="shared" si="286"/>
        <v>9.32</v>
      </c>
      <c r="AA152" s="237">
        <f t="shared" si="287"/>
        <v>0</v>
      </c>
      <c r="AB152" s="452">
        <f t="shared" si="349"/>
        <v>9.32</v>
      </c>
      <c r="AC152" s="201">
        <f t="shared" si="288"/>
        <v>0</v>
      </c>
      <c r="AD152" s="203">
        <f t="shared" si="350"/>
        <v>0</v>
      </c>
      <c r="AE152" s="37" t="str">
        <f t="shared" si="289"/>
        <v/>
      </c>
      <c r="AF152" s="202">
        <f t="shared" si="351"/>
        <v>0</v>
      </c>
      <c r="AG152" s="201">
        <f t="shared" si="352"/>
        <v>0</v>
      </c>
      <c r="AH152" s="61">
        <f t="shared" si="290"/>
        <v>9.32</v>
      </c>
      <c r="AI152" s="443">
        <f t="shared" ref="AI152:AI215" si="397">IF(OR($AI$9=0,AH152&lt;=10,D152=1,AND(D152&gt;1,F152&lt;=10,OR(G152="ок",G152="мк"))),0,1)</f>
        <v>0</v>
      </c>
      <c r="AJ152" s="444">
        <f t="shared" si="353"/>
        <v>0</v>
      </c>
      <c r="AK152" s="445">
        <f t="shared" si="354"/>
        <v>0</v>
      </c>
      <c r="AL152" s="446">
        <f t="shared" si="355"/>
        <v>0</v>
      </c>
      <c r="AM152" s="447">
        <f t="shared" si="356"/>
        <v>0</v>
      </c>
      <c r="AN152" s="24">
        <f t="shared" si="357"/>
        <v>9.32</v>
      </c>
      <c r="AO152" s="443">
        <f t="shared" si="291"/>
        <v>0</v>
      </c>
      <c r="AP152" s="444">
        <f t="shared" si="358"/>
        <v>0</v>
      </c>
      <c r="AQ152" s="445">
        <f t="shared" si="359"/>
        <v>0</v>
      </c>
      <c r="AR152" s="446">
        <f t="shared" si="360"/>
        <v>0</v>
      </c>
      <c r="AS152" s="447">
        <f t="shared" si="361"/>
        <v>0</v>
      </c>
      <c r="AT152" s="24">
        <f t="shared" si="362"/>
        <v>9.32</v>
      </c>
      <c r="AU152" s="443">
        <f t="shared" si="292"/>
        <v>0</v>
      </c>
      <c r="AV152" s="444">
        <f t="shared" si="363"/>
        <v>0</v>
      </c>
      <c r="AW152" s="445">
        <f t="shared" si="364"/>
        <v>0</v>
      </c>
      <c r="AX152" s="446">
        <f t="shared" si="365"/>
        <v>0</v>
      </c>
      <c r="AY152" s="447">
        <f t="shared" si="366"/>
        <v>0</v>
      </c>
      <c r="AZ152" s="24">
        <f t="shared" si="367"/>
        <v>9.32</v>
      </c>
      <c r="BA152" s="43">
        <f>IF(BB152=0,0,
IF(D152=1,
(IF(AND(AH152&gt;'Данные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"ошибка_1"))))))),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"ошибка_2"))))))))</f>
        <v>0</v>
      </c>
      <c r="BB152" s="43">
        <f>IF(OR($AI$9=0,AND(D152&gt;1,F152&gt;10)),0,
IF(D152=1,
(IF(AND(AH152&gt;'Данные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"ошибка_1"))))))),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IF(AND(AH152&gt;'Данные ТНПА'!#REF!,AH152&lt;='Данные ТНПА'!#REF!),'Данные ТНПА'!#REF!,
"ошибка_2"))))))))</f>
        <v>0</v>
      </c>
      <c r="BC152" s="43">
        <f t="shared" si="368"/>
        <v>9.32</v>
      </c>
      <c r="BD152" s="237">
        <f t="shared" si="369"/>
        <v>0</v>
      </c>
      <c r="BE152" s="43">
        <f t="shared" si="370"/>
        <v>0</v>
      </c>
      <c r="BF152" s="201">
        <f t="shared" si="371"/>
        <v>0</v>
      </c>
      <c r="BG152" s="201">
        <f t="shared" si="372"/>
        <v>0</v>
      </c>
      <c r="BH152" s="61">
        <f t="shared" si="373"/>
        <v>9.32</v>
      </c>
      <c r="BI152" s="237">
        <f t="shared" si="374"/>
        <v>0</v>
      </c>
      <c r="BJ152" s="247">
        <f t="shared" si="375"/>
        <v>0</v>
      </c>
      <c r="BK152" s="431">
        <f t="shared" si="376"/>
        <v>0</v>
      </c>
      <c r="BL152" s="250">
        <f t="shared" si="377"/>
        <v>0</v>
      </c>
      <c r="BM152" s="237">
        <f t="shared" si="378"/>
        <v>0</v>
      </c>
      <c r="BN152" s="452">
        <f t="shared" si="379"/>
        <v>9.32</v>
      </c>
      <c r="BO152" s="237">
        <f t="shared" si="380"/>
        <v>0</v>
      </c>
      <c r="BP152" s="432">
        <f t="shared" si="381"/>
        <v>0</v>
      </c>
      <c r="BQ152" s="22" t="str">
        <f t="shared" si="382"/>
        <v/>
      </c>
      <c r="BR152" s="250">
        <f t="shared" si="383"/>
        <v>0</v>
      </c>
      <c r="BS152" s="237">
        <f t="shared" si="384"/>
        <v>0</v>
      </c>
      <c r="BT152" s="452">
        <f t="shared" si="385"/>
        <v>9.32</v>
      </c>
      <c r="BU152" s="492">
        <f t="shared" si="386"/>
        <v>1.1749999999999998</v>
      </c>
      <c r="BV152" s="493">
        <f>IF(BT152="","",
IF(AND(BT152&gt;'Данные ТНПА'!$K$8,BT152&lt;='Данные ТНПА'!$L$8),'Данные ТНПА'!$N$8,
IF(AND(BT152&gt;'Данные ТНПА'!$K$9,BT152&lt;='Данные ТНПА'!$L$9),'Данные ТНПА'!$N$9,
IF(AND(BT152&gt;'Данные ТНПА'!$K$10,BT152&lt;='Данные ТНПА'!$L$10),'Данные ТНПА'!$N$10,
IF(AND(BT152&gt;'Данные ТНПА'!$K$11,BT152&lt;='Данные ТНПА'!$L$11),'Данные ТНПА'!$N$11,
IF(AND(BT152&gt;'Данные ТНПА'!$K$12,BT152&lt;='Данные ТНПА'!$L$12),'Данные ТНПА'!$N$12,
IF(AND(BT152&gt;'Данные ТНПА'!$K$13,BT152&lt;='Данные ТНПА'!$L$13),'Данные ТНПА'!$N$13,
IF(AND(BT152&gt;'Данные ТНПА'!$K$14,BT152&lt;='Данные ТНПА'!$L$14),'Данные ТНПА'!$N$14))))))))</f>
        <v>1.5</v>
      </c>
      <c r="BW152" s="493">
        <f t="shared" si="387"/>
        <v>12.32</v>
      </c>
      <c r="BX152" s="457">
        <f t="shared" si="293"/>
        <v>0</v>
      </c>
      <c r="BY152" s="457">
        <f t="shared" si="294"/>
        <v>626.65610000000004</v>
      </c>
      <c r="BZ152" s="457">
        <f t="shared" si="295"/>
        <v>38.722569442543644</v>
      </c>
      <c r="CA152" s="457" t="e">
        <f t="shared" si="388"/>
        <v>#REF!</v>
      </c>
      <c r="CB152" s="458">
        <f t="shared" si="389"/>
        <v>0</v>
      </c>
      <c r="CC152" s="457">
        <f t="shared" si="390"/>
        <v>0</v>
      </c>
      <c r="CD152" s="457">
        <f t="shared" si="391"/>
        <v>0</v>
      </c>
      <c r="CE152" s="457">
        <f t="shared" si="392"/>
        <v>0</v>
      </c>
      <c r="CF152" s="457">
        <f t="shared" si="393"/>
        <v>0</v>
      </c>
      <c r="CG152" s="458">
        <f t="shared" si="296"/>
        <v>0</v>
      </c>
      <c r="CH152" s="457">
        <f t="shared" si="394"/>
        <v>0</v>
      </c>
      <c r="CI152" s="457">
        <f t="shared" si="395"/>
        <v>0</v>
      </c>
      <c r="CJ152" s="458">
        <f t="shared" si="396"/>
        <v>0</v>
      </c>
      <c r="CK152" s="458">
        <f t="shared" si="297"/>
        <v>74.238599005861971</v>
      </c>
      <c r="CL152" s="457">
        <f t="shared" si="298"/>
        <v>739.61726844840564</v>
      </c>
      <c r="CM152" s="504"/>
      <c r="CN152" s="504"/>
    </row>
    <row r="153" spans="1:92" ht="14.25" hidden="1" customHeight="1" x14ac:dyDescent="0.25">
      <c r="A153" s="389" t="str">
        <f>IF(D153="",CONCATENATE("Кабель ",IF(C153="а","А",""),$A$9),CONCATENATE("Кабель ",IF(C153="а","А",""),$A$9," ",D153,"*",F153,IF(G153="ок"," (ож)","")," - ",B153," ",IF(G153="мс"," фас. ",""),$A$2))</f>
        <v>Кабель ВВГ 2*50 - 1 ГОСТ 16442-80</v>
      </c>
      <c r="B153" s="450">
        <v>1</v>
      </c>
      <c r="C153" s="451" t="s">
        <v>163</v>
      </c>
      <c r="D153" s="412">
        <v>2</v>
      </c>
      <c r="E153" s="413" t="s">
        <v>40</v>
      </c>
      <c r="F153" s="423">
        <v>50</v>
      </c>
      <c r="G153" s="414" t="str">
        <f>IF(I153=1,"ок","мк")</f>
        <v>мк</v>
      </c>
      <c r="H153" s="461">
        <v>3.1199999999999997</v>
      </c>
      <c r="I153" s="476">
        <v>7</v>
      </c>
      <c r="J153" s="477" t="s">
        <v>40</v>
      </c>
      <c r="K153" s="470">
        <f>ROUNDUP(SQRT(F153/I153/PI()*4*1.07),2)</f>
        <v>3.1199999999999997</v>
      </c>
      <c r="L153" s="501">
        <v>2.7699999999999996</v>
      </c>
      <c r="M153" s="475"/>
      <c r="N153" s="475"/>
      <c r="O153" s="475"/>
      <c r="P153" s="475"/>
      <c r="Q153" s="483">
        <f t="shared" si="348"/>
        <v>1.1599999999999999</v>
      </c>
      <c r="R153" s="484">
        <f>IF(B153=0.66,VLOOKUP(F153,'Данные ТНПА'!$B$8:$C$16,2,0),
IF(B153=1,VLOOKUP(F153,'Данные ТНПА'!$B$17:$C$37,2,0),"ошибка"))</f>
        <v>1.4</v>
      </c>
      <c r="S153" s="485">
        <f t="shared" si="283"/>
        <v>5.09</v>
      </c>
      <c r="T153" s="486"/>
      <c r="U153" s="487"/>
      <c r="V153" s="485">
        <f t="shared" si="284"/>
        <v>5.5699999999999994</v>
      </c>
      <c r="W153" s="486"/>
      <c r="X153" s="487"/>
      <c r="Y153" s="489">
        <f t="shared" si="285"/>
        <v>0</v>
      </c>
      <c r="Z153" s="491">
        <f t="shared" si="286"/>
        <v>11.139999999999999</v>
      </c>
      <c r="AA153" s="237">
        <f t="shared" si="287"/>
        <v>0</v>
      </c>
      <c r="AB153" s="452">
        <f t="shared" si="349"/>
        <v>11.139999999999999</v>
      </c>
      <c r="AC153" s="201">
        <f t="shared" si="288"/>
        <v>0</v>
      </c>
      <c r="AD153" s="203">
        <f t="shared" si="350"/>
        <v>0</v>
      </c>
      <c r="AE153" s="37" t="str">
        <f t="shared" si="289"/>
        <v/>
      </c>
      <c r="AF153" s="202">
        <f t="shared" si="351"/>
        <v>0</v>
      </c>
      <c r="AG153" s="201">
        <f t="shared" si="352"/>
        <v>0</v>
      </c>
      <c r="AH153" s="61">
        <f t="shared" si="290"/>
        <v>11.139999999999999</v>
      </c>
      <c r="AI153" s="443">
        <f t="shared" si="397"/>
        <v>0</v>
      </c>
      <c r="AJ153" s="444">
        <f t="shared" si="353"/>
        <v>0</v>
      </c>
      <c r="AK153" s="445">
        <f t="shared" si="354"/>
        <v>0</v>
      </c>
      <c r="AL153" s="446">
        <f t="shared" si="355"/>
        <v>0</v>
      </c>
      <c r="AM153" s="447">
        <f t="shared" si="356"/>
        <v>0</v>
      </c>
      <c r="AN153" s="24">
        <f t="shared" si="357"/>
        <v>11.139999999999999</v>
      </c>
      <c r="AO153" s="443">
        <f t="shared" si="291"/>
        <v>0</v>
      </c>
      <c r="AP153" s="444">
        <f t="shared" si="358"/>
        <v>0</v>
      </c>
      <c r="AQ153" s="445">
        <f t="shared" si="359"/>
        <v>0</v>
      </c>
      <c r="AR153" s="446">
        <f t="shared" si="360"/>
        <v>0</v>
      </c>
      <c r="AS153" s="447">
        <f t="shared" si="361"/>
        <v>0</v>
      </c>
      <c r="AT153" s="24">
        <f t="shared" si="362"/>
        <v>11.139999999999999</v>
      </c>
      <c r="AU153" s="443">
        <f t="shared" si="292"/>
        <v>0</v>
      </c>
      <c r="AV153" s="444">
        <f t="shared" si="363"/>
        <v>0</v>
      </c>
      <c r="AW153" s="445">
        <f t="shared" si="364"/>
        <v>0</v>
      </c>
      <c r="AX153" s="446">
        <f t="shared" si="365"/>
        <v>0</v>
      </c>
      <c r="AY153" s="447">
        <f t="shared" si="366"/>
        <v>0</v>
      </c>
      <c r="AZ153" s="24">
        <f t="shared" si="367"/>
        <v>11.139999999999999</v>
      </c>
      <c r="BA153" s="43">
        <f>IF(BB153=0,0,
IF(D153=1,
(IF(AND(AH153&gt;'Данные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"ошибка_1"))))))),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"ошибка_2"))))))))</f>
        <v>0</v>
      </c>
      <c r="BB153" s="43">
        <f>IF(OR($AI$9=0,AND(D153&gt;1,F153&gt;10)),0,
IF(D153=1,
(IF(AND(AH153&gt;'Данные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"ошибка_1"))))))),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IF(AND(AH153&gt;'Данные ТНПА'!#REF!,AH153&lt;='Данные ТНПА'!#REF!),'Данные ТНПА'!#REF!,
"ошибка_2"))))))))</f>
        <v>0</v>
      </c>
      <c r="BC153" s="43">
        <f t="shared" si="368"/>
        <v>11.139999999999999</v>
      </c>
      <c r="BD153" s="237">
        <f t="shared" si="369"/>
        <v>0</v>
      </c>
      <c r="BE153" s="43">
        <f t="shared" si="370"/>
        <v>0</v>
      </c>
      <c r="BF153" s="201">
        <f t="shared" si="371"/>
        <v>0</v>
      </c>
      <c r="BG153" s="201">
        <f t="shared" si="372"/>
        <v>0</v>
      </c>
      <c r="BH153" s="61">
        <f t="shared" si="373"/>
        <v>11.139999999999999</v>
      </c>
      <c r="BI153" s="237">
        <f t="shared" si="374"/>
        <v>0</v>
      </c>
      <c r="BJ153" s="247">
        <f t="shared" si="375"/>
        <v>0</v>
      </c>
      <c r="BK153" s="431">
        <f t="shared" si="376"/>
        <v>0</v>
      </c>
      <c r="BL153" s="250">
        <f t="shared" si="377"/>
        <v>0</v>
      </c>
      <c r="BM153" s="237">
        <f t="shared" si="378"/>
        <v>0</v>
      </c>
      <c r="BN153" s="452">
        <f t="shared" si="379"/>
        <v>11.139999999999999</v>
      </c>
      <c r="BO153" s="237">
        <f t="shared" si="380"/>
        <v>0</v>
      </c>
      <c r="BP153" s="432">
        <f t="shared" si="381"/>
        <v>0</v>
      </c>
      <c r="BQ153" s="22" t="str">
        <f t="shared" si="382"/>
        <v/>
      </c>
      <c r="BR153" s="250">
        <f t="shared" si="383"/>
        <v>0</v>
      </c>
      <c r="BS153" s="237">
        <f t="shared" si="384"/>
        <v>0</v>
      </c>
      <c r="BT153" s="452">
        <f t="shared" si="385"/>
        <v>11.139999999999999</v>
      </c>
      <c r="BU153" s="492">
        <f t="shared" si="386"/>
        <v>1.1749999999999998</v>
      </c>
      <c r="BV153" s="493">
        <f>IF(BT153="","",
IF(AND(BT153&gt;'Данные ТНПА'!$K$8,BT153&lt;='Данные ТНПА'!$L$8),'Данные ТНПА'!$N$8,
IF(AND(BT153&gt;'Данные ТНПА'!$K$9,BT153&lt;='Данные ТНПА'!$L$9),'Данные ТНПА'!$N$9,
IF(AND(BT153&gt;'Данные ТНПА'!$K$10,BT153&lt;='Данные ТНПА'!$L$10),'Данные ТНПА'!$N$10,
IF(AND(BT153&gt;'Данные ТНПА'!$K$11,BT153&lt;='Данные ТНПА'!$L$11),'Данные ТНПА'!$N$11,
IF(AND(BT153&gt;'Данные ТНПА'!$K$12,BT153&lt;='Данные ТНПА'!$L$12),'Данные ТНПА'!$N$12,
IF(AND(BT153&gt;'Данные ТНПА'!$K$13,BT153&lt;='Данные ТНПА'!$L$13),'Данные ТНПА'!$N$13,
IF(AND(BT153&gt;'Данные ТНПА'!$K$14,BT153&lt;='Данные ТНПА'!$L$14),'Данные ТНПА'!$N$14))))))))</f>
        <v>1.5</v>
      </c>
      <c r="BW153" s="493">
        <f t="shared" si="387"/>
        <v>14.139999999999999</v>
      </c>
      <c r="BX153" s="457">
        <f t="shared" si="293"/>
        <v>0</v>
      </c>
      <c r="BY153" s="457">
        <f t="shared" si="294"/>
        <v>895.22299999999996</v>
      </c>
      <c r="BZ153" s="457">
        <f t="shared" si="295"/>
        <v>54.446618594790422</v>
      </c>
      <c r="CA153" s="457" t="e">
        <f t="shared" si="388"/>
        <v>#REF!</v>
      </c>
      <c r="CB153" s="458">
        <f t="shared" si="389"/>
        <v>0</v>
      </c>
      <c r="CC153" s="457">
        <f t="shared" si="390"/>
        <v>0</v>
      </c>
      <c r="CD153" s="457">
        <f t="shared" si="391"/>
        <v>0</v>
      </c>
      <c r="CE153" s="457">
        <f t="shared" si="392"/>
        <v>0</v>
      </c>
      <c r="CF153" s="457">
        <f t="shared" si="393"/>
        <v>0</v>
      </c>
      <c r="CG153" s="458">
        <f t="shared" si="296"/>
        <v>0</v>
      </c>
      <c r="CH153" s="457">
        <f t="shared" si="394"/>
        <v>0</v>
      </c>
      <c r="CI153" s="457">
        <f t="shared" si="395"/>
        <v>0</v>
      </c>
      <c r="CJ153" s="458">
        <f t="shared" si="396"/>
        <v>0</v>
      </c>
      <c r="CK153" s="458">
        <f t="shared" si="297"/>
        <v>86.726052812762944</v>
      </c>
      <c r="CL153" s="457">
        <f t="shared" si="298"/>
        <v>1036.3956714075532</v>
      </c>
      <c r="CM153" s="504"/>
      <c r="CN153" s="504"/>
    </row>
    <row r="154" spans="1:92" ht="14.25" hidden="1" customHeight="1" x14ac:dyDescent="0.25">
      <c r="A154" s="389" t="str">
        <f>IF(D154="",CONCATENATE("Кабель ",IF(C154="а","А",""),$A$9),CONCATENATE("Кабель ",IF(C154="а","А",""),$A$9," ",D154,"*",F154,IF(G154="ок"," (ож)","")," - ",B154," ",IF(G154="мс"," фас. ",""),$A$2))</f>
        <v>Кабель ВВГ 2*1,5 (ож) - 1 ГОСТ 16442-80</v>
      </c>
      <c r="B154" s="450">
        <v>1</v>
      </c>
      <c r="C154" s="451" t="s">
        <v>163</v>
      </c>
      <c r="D154" s="412">
        <v>2</v>
      </c>
      <c r="E154" s="413" t="s">
        <v>40</v>
      </c>
      <c r="F154" s="423">
        <v>1.5</v>
      </c>
      <c r="G154" s="414" t="str">
        <f>IF(I154=1,"ок","мк")</f>
        <v>ок</v>
      </c>
      <c r="H154" s="461">
        <v>1.39</v>
      </c>
      <c r="I154" s="497">
        <v>1</v>
      </c>
      <c r="J154" s="498" t="s">
        <v>40</v>
      </c>
      <c r="K154" s="496">
        <f>ROUNDUP(SQRT(F154/PI()*4),2)</f>
        <v>1.39</v>
      </c>
      <c r="L154" s="501">
        <v>3.57</v>
      </c>
      <c r="M154" s="475"/>
      <c r="N154" s="475"/>
      <c r="O154" s="475"/>
      <c r="P154" s="475"/>
      <c r="Q154" s="483">
        <f t="shared" si="348"/>
        <v>0.62000000000000011</v>
      </c>
      <c r="R154" s="484">
        <f>IF(B154=0.66,VLOOKUP(F154,'Данные ТНПА'!$B$8:$C$16,2,0),
IF(B154=1,VLOOKUP(F154,'Данные ТНПА'!$B$17:$C$37,2,0),"ошибка"))</f>
        <v>0.8</v>
      </c>
      <c r="S154" s="485">
        <f t="shared" si="283"/>
        <v>2.63</v>
      </c>
      <c r="T154" s="486"/>
      <c r="U154" s="487"/>
      <c r="V154" s="485">
        <f t="shared" si="284"/>
        <v>2.99</v>
      </c>
      <c r="W154" s="486"/>
      <c r="X154" s="487"/>
      <c r="Y154" s="489">
        <f t="shared" si="285"/>
        <v>0</v>
      </c>
      <c r="Z154" s="491">
        <f t="shared" si="286"/>
        <v>5.98</v>
      </c>
      <c r="AA154" s="237">
        <f t="shared" si="287"/>
        <v>0</v>
      </c>
      <c r="AB154" s="452">
        <f t="shared" si="349"/>
        <v>5.98</v>
      </c>
      <c r="AC154" s="201">
        <f t="shared" si="288"/>
        <v>0</v>
      </c>
      <c r="AD154" s="203">
        <f t="shared" si="350"/>
        <v>0</v>
      </c>
      <c r="AE154" s="37" t="str">
        <f t="shared" si="289"/>
        <v/>
      </c>
      <c r="AF154" s="202">
        <f t="shared" si="351"/>
        <v>0</v>
      </c>
      <c r="AG154" s="201">
        <f t="shared" si="352"/>
        <v>0</v>
      </c>
      <c r="AH154" s="61">
        <f t="shared" si="290"/>
        <v>5.98</v>
      </c>
      <c r="AI154" s="443">
        <f t="shared" si="397"/>
        <v>0</v>
      </c>
      <c r="AJ154" s="444">
        <f t="shared" si="353"/>
        <v>0</v>
      </c>
      <c r="AK154" s="445">
        <f t="shared" si="354"/>
        <v>0</v>
      </c>
      <c r="AL154" s="446">
        <f t="shared" si="355"/>
        <v>0</v>
      </c>
      <c r="AM154" s="447">
        <f t="shared" si="356"/>
        <v>0</v>
      </c>
      <c r="AN154" s="24">
        <f t="shared" si="357"/>
        <v>5.98</v>
      </c>
      <c r="AO154" s="443">
        <f t="shared" si="291"/>
        <v>0</v>
      </c>
      <c r="AP154" s="444">
        <f t="shared" si="358"/>
        <v>0</v>
      </c>
      <c r="AQ154" s="445">
        <f t="shared" si="359"/>
        <v>0</v>
      </c>
      <c r="AR154" s="446">
        <f t="shared" si="360"/>
        <v>0</v>
      </c>
      <c r="AS154" s="447">
        <f t="shared" si="361"/>
        <v>0</v>
      </c>
      <c r="AT154" s="24">
        <f t="shared" si="362"/>
        <v>5.98</v>
      </c>
      <c r="AU154" s="443">
        <f t="shared" si="292"/>
        <v>0</v>
      </c>
      <c r="AV154" s="444">
        <f t="shared" si="363"/>
        <v>0</v>
      </c>
      <c r="AW154" s="445">
        <f t="shared" si="364"/>
        <v>0</v>
      </c>
      <c r="AX154" s="446">
        <f t="shared" si="365"/>
        <v>0</v>
      </c>
      <c r="AY154" s="447">
        <f t="shared" si="366"/>
        <v>0</v>
      </c>
      <c r="AZ154" s="24">
        <f t="shared" si="367"/>
        <v>5.98</v>
      </c>
      <c r="BA154" s="43">
        <f>IF(BB154=0,0,
IF(D154=1,
(IF(AND(AH154&gt;'Данные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"ошибка_1"))))))),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"ошибка_2"))))))))</f>
        <v>0</v>
      </c>
      <c r="BB154" s="43">
        <f>IF(OR($AI$9=0,AND(D154&gt;1,F154&gt;10)),0,
IF(D154=1,
(IF(AND(AH154&gt;'Данные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"ошибка_1"))))))),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IF(AND(AH154&gt;'Данные ТНПА'!#REF!,AH154&lt;='Данные ТНПА'!#REF!),'Данные ТНПА'!#REF!,
"ошибка_2"))))))))</f>
        <v>0</v>
      </c>
      <c r="BC154" s="43">
        <f t="shared" si="368"/>
        <v>5.98</v>
      </c>
      <c r="BD154" s="237">
        <f t="shared" si="369"/>
        <v>0</v>
      </c>
      <c r="BE154" s="43">
        <f t="shared" si="370"/>
        <v>0</v>
      </c>
      <c r="BF154" s="201">
        <f t="shared" si="371"/>
        <v>0</v>
      </c>
      <c r="BG154" s="201">
        <f t="shared" si="372"/>
        <v>0</v>
      </c>
      <c r="BH154" s="61">
        <f t="shared" si="373"/>
        <v>5.98</v>
      </c>
      <c r="BI154" s="237">
        <f t="shared" si="374"/>
        <v>0</v>
      </c>
      <c r="BJ154" s="247">
        <f t="shared" si="375"/>
        <v>0</v>
      </c>
      <c r="BK154" s="431">
        <f t="shared" si="376"/>
        <v>0</v>
      </c>
      <c r="BL154" s="250">
        <f t="shared" si="377"/>
        <v>0</v>
      </c>
      <c r="BM154" s="237">
        <f t="shared" si="378"/>
        <v>0</v>
      </c>
      <c r="BN154" s="452">
        <f t="shared" si="379"/>
        <v>5.98</v>
      </c>
      <c r="BO154" s="237">
        <f t="shared" si="380"/>
        <v>0</v>
      </c>
      <c r="BP154" s="432">
        <f t="shared" si="381"/>
        <v>0</v>
      </c>
      <c r="BQ154" s="22" t="str">
        <f t="shared" si="382"/>
        <v/>
      </c>
      <c r="BR154" s="250">
        <f t="shared" si="383"/>
        <v>0</v>
      </c>
      <c r="BS154" s="237">
        <f t="shared" si="384"/>
        <v>0</v>
      </c>
      <c r="BT154" s="452">
        <f t="shared" si="385"/>
        <v>5.98</v>
      </c>
      <c r="BU154" s="492">
        <f t="shared" si="386"/>
        <v>0.92</v>
      </c>
      <c r="BV154" s="493">
        <f>IF(BT154="","",
IF(AND(BT154&gt;'Данные ТНПА'!$K$8,BT154&lt;='Данные ТНПА'!$L$8),'Данные ТНПА'!$N$8,
IF(AND(BT154&gt;'Данные ТНПА'!$K$9,BT154&lt;='Данные ТНПА'!$L$9),'Данные ТНПА'!$N$9,
IF(AND(BT154&gt;'Данные ТНПА'!$K$10,BT154&lt;='Данные ТНПА'!$L$10),'Данные ТНПА'!$N$10,
IF(AND(BT154&gt;'Данные ТНПА'!$K$11,BT154&lt;='Данные ТНПА'!$L$11),'Данные ТНПА'!$N$11,
IF(AND(BT154&gt;'Данные ТНПА'!$K$12,BT154&lt;='Данные ТНПА'!$L$12),'Данные ТНПА'!$N$12,
IF(AND(BT154&gt;'Данные ТНПА'!$K$13,BT154&lt;='Данные ТНПА'!$L$13),'Данные ТНПА'!$N$13,
IF(AND(BT154&gt;'Данные ТНПА'!$K$14,BT154&lt;='Данные ТНПА'!$L$14),'Данные ТНПА'!$N$14))))))))</f>
        <v>1.2</v>
      </c>
      <c r="BW154" s="493">
        <f t="shared" si="387"/>
        <v>8.3800000000000008</v>
      </c>
      <c r="BX154" s="457">
        <f t="shared" si="293"/>
        <v>0</v>
      </c>
      <c r="BY154" s="457">
        <f t="shared" si="294"/>
        <v>26.85669</v>
      </c>
      <c r="BZ154" s="457">
        <f t="shared" si="295"/>
        <v>14.854164841333088</v>
      </c>
      <c r="CA154" s="457" t="e">
        <f t="shared" si="388"/>
        <v>#REF!</v>
      </c>
      <c r="CB154" s="458">
        <f t="shared" si="389"/>
        <v>0</v>
      </c>
      <c r="CC154" s="457">
        <f t="shared" si="390"/>
        <v>0</v>
      </c>
      <c r="CD154" s="457">
        <f t="shared" si="391"/>
        <v>0</v>
      </c>
      <c r="CE154" s="457">
        <f t="shared" si="392"/>
        <v>0</v>
      </c>
      <c r="CF154" s="457">
        <f t="shared" si="393"/>
        <v>0</v>
      </c>
      <c r="CG154" s="458">
        <f t="shared" si="296"/>
        <v>0</v>
      </c>
      <c r="CH154" s="457">
        <f t="shared" si="394"/>
        <v>0</v>
      </c>
      <c r="CI154" s="457">
        <f t="shared" si="395"/>
        <v>0</v>
      </c>
      <c r="CJ154" s="458">
        <f t="shared" si="396"/>
        <v>0</v>
      </c>
      <c r="CK154" s="458">
        <f t="shared" si="297"/>
        <v>39.410953113647977</v>
      </c>
      <c r="CL154" s="457">
        <f t="shared" si="298"/>
        <v>81.121807954981065</v>
      </c>
      <c r="CM154" s="504"/>
      <c r="CN154" s="504"/>
    </row>
    <row r="155" spans="1:92" ht="14.25" hidden="1" customHeight="1" x14ac:dyDescent="0.25">
      <c r="A155" s="389" t="str">
        <f>IF(D155="",CONCATENATE("Кабель ",IF(C155="а","А",""),$A$9),CONCATENATE("Кабель ",IF(C155="а","А",""),$A$9," ",D155,"*",F155,IF(G155="ок"," (ож)","")," - ",B155," ",IF(G155="мс"," фас. ",""),$A$2))</f>
        <v>Кабель ВВГ 2*2,5 (ож) - 1 ГОСТ 16442-80</v>
      </c>
      <c r="B155" s="450">
        <v>1</v>
      </c>
      <c r="C155" s="451" t="s">
        <v>163</v>
      </c>
      <c r="D155" s="412">
        <v>2</v>
      </c>
      <c r="E155" s="413" t="s">
        <v>40</v>
      </c>
      <c r="F155" s="423">
        <v>2.5</v>
      </c>
      <c r="G155" s="414" t="str">
        <f>IF(I155=1,"ок","мк")</f>
        <v>ок</v>
      </c>
      <c r="H155" s="461">
        <v>1.79</v>
      </c>
      <c r="I155" s="497">
        <v>1</v>
      </c>
      <c r="J155" s="498" t="s">
        <v>40</v>
      </c>
      <c r="K155" s="496">
        <f>ROUNDUP(SQRT(F155/PI()*4),2)</f>
        <v>1.79</v>
      </c>
      <c r="L155" s="501">
        <v>4.5199999999999996</v>
      </c>
      <c r="M155" s="475"/>
      <c r="N155" s="475"/>
      <c r="O155" s="475"/>
      <c r="P155" s="475"/>
      <c r="Q155" s="483">
        <f t="shared" si="348"/>
        <v>0.62000000000000011</v>
      </c>
      <c r="R155" s="484">
        <f>IF(B155=0.66,VLOOKUP(F155,'Данные ТНПА'!$B$8:$C$16,2,0),
IF(B155=1,VLOOKUP(F155,'Данные ТНПА'!$B$17:$C$37,2,0),"ошибка"))</f>
        <v>0.8</v>
      </c>
      <c r="S155" s="485">
        <f t="shared" si="283"/>
        <v>3.0300000000000002</v>
      </c>
      <c r="T155" s="486"/>
      <c r="U155" s="487"/>
      <c r="V155" s="485">
        <f t="shared" si="284"/>
        <v>3.39</v>
      </c>
      <c r="W155" s="486"/>
      <c r="X155" s="487"/>
      <c r="Y155" s="489">
        <f t="shared" si="285"/>
        <v>0</v>
      </c>
      <c r="Z155" s="491">
        <f t="shared" si="286"/>
        <v>6.78</v>
      </c>
      <c r="AA155" s="237">
        <f t="shared" si="287"/>
        <v>0</v>
      </c>
      <c r="AB155" s="452">
        <f t="shared" si="349"/>
        <v>6.78</v>
      </c>
      <c r="AC155" s="201">
        <f t="shared" si="288"/>
        <v>0</v>
      </c>
      <c r="AD155" s="203">
        <f t="shared" si="350"/>
        <v>0</v>
      </c>
      <c r="AE155" s="37" t="str">
        <f t="shared" si="289"/>
        <v/>
      </c>
      <c r="AF155" s="202">
        <f t="shared" si="351"/>
        <v>0</v>
      </c>
      <c r="AG155" s="201">
        <f t="shared" si="352"/>
        <v>0</v>
      </c>
      <c r="AH155" s="61">
        <f t="shared" si="290"/>
        <v>6.78</v>
      </c>
      <c r="AI155" s="443">
        <f t="shared" si="397"/>
        <v>0</v>
      </c>
      <c r="AJ155" s="444">
        <f t="shared" si="353"/>
        <v>0</v>
      </c>
      <c r="AK155" s="445">
        <f t="shared" si="354"/>
        <v>0</v>
      </c>
      <c r="AL155" s="446">
        <f t="shared" si="355"/>
        <v>0</v>
      </c>
      <c r="AM155" s="447">
        <f t="shared" si="356"/>
        <v>0</v>
      </c>
      <c r="AN155" s="24">
        <f t="shared" si="357"/>
        <v>6.78</v>
      </c>
      <c r="AO155" s="443">
        <f t="shared" si="291"/>
        <v>0</v>
      </c>
      <c r="AP155" s="444">
        <f t="shared" si="358"/>
        <v>0</v>
      </c>
      <c r="AQ155" s="445">
        <f t="shared" si="359"/>
        <v>0</v>
      </c>
      <c r="AR155" s="446">
        <f t="shared" si="360"/>
        <v>0</v>
      </c>
      <c r="AS155" s="447">
        <f t="shared" si="361"/>
        <v>0</v>
      </c>
      <c r="AT155" s="24">
        <f t="shared" si="362"/>
        <v>6.78</v>
      </c>
      <c r="AU155" s="443">
        <f t="shared" si="292"/>
        <v>0</v>
      </c>
      <c r="AV155" s="444">
        <f t="shared" si="363"/>
        <v>0</v>
      </c>
      <c r="AW155" s="445">
        <f t="shared" si="364"/>
        <v>0</v>
      </c>
      <c r="AX155" s="446">
        <f t="shared" si="365"/>
        <v>0</v>
      </c>
      <c r="AY155" s="447">
        <f t="shared" si="366"/>
        <v>0</v>
      </c>
      <c r="AZ155" s="24">
        <f t="shared" si="367"/>
        <v>6.78</v>
      </c>
      <c r="BA155" s="43">
        <f>IF(BB155=0,0,
IF(D155=1,
(IF(AND(AH155&gt;'Данные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"ошибка_1"))))))),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"ошибка_2"))))))))</f>
        <v>0</v>
      </c>
      <c r="BB155" s="43">
        <f>IF(OR($AI$9=0,AND(D155&gt;1,F155&gt;10)),0,
IF(D155=1,
(IF(AND(AH155&gt;'Данные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"ошибка_1"))))))),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IF(AND(AH155&gt;'Данные ТНПА'!#REF!,AH155&lt;='Данные ТНПА'!#REF!),'Данные ТНПА'!#REF!,
"ошибка_2"))))))))</f>
        <v>0</v>
      </c>
      <c r="BC155" s="43">
        <f t="shared" si="368"/>
        <v>6.78</v>
      </c>
      <c r="BD155" s="237">
        <f t="shared" si="369"/>
        <v>0</v>
      </c>
      <c r="BE155" s="43">
        <f t="shared" si="370"/>
        <v>0</v>
      </c>
      <c r="BF155" s="201">
        <f t="shared" si="371"/>
        <v>0</v>
      </c>
      <c r="BG155" s="201">
        <f t="shared" si="372"/>
        <v>0</v>
      </c>
      <c r="BH155" s="61">
        <f t="shared" si="373"/>
        <v>6.78</v>
      </c>
      <c r="BI155" s="237">
        <f t="shared" si="374"/>
        <v>0</v>
      </c>
      <c r="BJ155" s="247">
        <f t="shared" si="375"/>
        <v>0</v>
      </c>
      <c r="BK155" s="431">
        <f t="shared" si="376"/>
        <v>0</v>
      </c>
      <c r="BL155" s="250">
        <f t="shared" si="377"/>
        <v>0</v>
      </c>
      <c r="BM155" s="237">
        <f t="shared" si="378"/>
        <v>0</v>
      </c>
      <c r="BN155" s="452">
        <f t="shared" si="379"/>
        <v>6.78</v>
      </c>
      <c r="BO155" s="237">
        <f t="shared" si="380"/>
        <v>0</v>
      </c>
      <c r="BP155" s="432">
        <f t="shared" si="381"/>
        <v>0</v>
      </c>
      <c r="BQ155" s="22" t="str">
        <f t="shared" si="382"/>
        <v/>
      </c>
      <c r="BR155" s="250">
        <f t="shared" si="383"/>
        <v>0</v>
      </c>
      <c r="BS155" s="237">
        <f t="shared" si="384"/>
        <v>0</v>
      </c>
      <c r="BT155" s="452">
        <f t="shared" si="385"/>
        <v>6.78</v>
      </c>
      <c r="BU155" s="492">
        <f t="shared" si="386"/>
        <v>1.1749999999999998</v>
      </c>
      <c r="BV155" s="493">
        <f>IF(BT155="","",
IF(AND(BT155&gt;'Данные ТНПА'!$K$8,BT155&lt;='Данные ТНПА'!$L$8),'Данные ТНПА'!$N$8,
IF(AND(BT155&gt;'Данные ТНПА'!$K$9,BT155&lt;='Данные ТНПА'!$L$9),'Данные ТНПА'!$N$9,
IF(AND(BT155&gt;'Данные ТНПА'!$K$10,BT155&lt;='Данные ТНПА'!$L$10),'Данные ТНПА'!$N$10,
IF(AND(BT155&gt;'Данные ТНПА'!$K$11,BT155&lt;='Данные ТНПА'!$L$11),'Данные ТНПА'!$N$11,
IF(AND(BT155&gt;'Данные ТНПА'!$K$12,BT155&lt;='Данные ТНПА'!$L$12),'Данные ТНПА'!$N$12,
IF(AND(BT155&gt;'Данные ТНПА'!$K$13,BT155&lt;='Данные ТНПА'!$L$13),'Данные ТНПА'!$N$13,
IF(AND(BT155&gt;'Данные ТНПА'!$K$14,BT155&lt;='Данные ТНПА'!$L$14),'Данные ТНПА'!$N$14))))))))</f>
        <v>1.5</v>
      </c>
      <c r="BW155" s="493">
        <f t="shared" si="387"/>
        <v>9.7800000000000011</v>
      </c>
      <c r="BX155" s="457">
        <f t="shared" si="293"/>
        <v>0</v>
      </c>
      <c r="BY155" s="457">
        <f t="shared" si="294"/>
        <v>44.761150000000001</v>
      </c>
      <c r="BZ155" s="457">
        <f t="shared" si="295"/>
        <v>17.567254310069721</v>
      </c>
      <c r="CA155" s="457" t="e">
        <f t="shared" si="388"/>
        <v>#REF!</v>
      </c>
      <c r="CB155" s="458">
        <f t="shared" si="389"/>
        <v>0</v>
      </c>
      <c r="CC155" s="457">
        <f t="shared" si="390"/>
        <v>0</v>
      </c>
      <c r="CD155" s="457">
        <f t="shared" si="391"/>
        <v>0</v>
      </c>
      <c r="CE155" s="457">
        <f t="shared" si="392"/>
        <v>0</v>
      </c>
      <c r="CF155" s="457">
        <f t="shared" si="393"/>
        <v>0</v>
      </c>
      <c r="CG155" s="458">
        <f t="shared" si="296"/>
        <v>0</v>
      </c>
      <c r="CH155" s="457">
        <f t="shared" si="394"/>
        <v>0</v>
      </c>
      <c r="CI155" s="457">
        <f t="shared" si="395"/>
        <v>0</v>
      </c>
      <c r="CJ155" s="458">
        <f t="shared" si="396"/>
        <v>0</v>
      </c>
      <c r="CK155" s="458">
        <f t="shared" si="297"/>
        <v>56.811053583044092</v>
      </c>
      <c r="CL155" s="457">
        <f t="shared" si="298"/>
        <v>119.13945789311381</v>
      </c>
      <c r="CM155" s="504"/>
      <c r="CN155" s="504"/>
    </row>
    <row r="156" spans="1:92" ht="14.25" hidden="1" customHeight="1" x14ac:dyDescent="0.25">
      <c r="A156" s="389" t="str">
        <f>IF(D156="",CONCATENATE("Кабель ",IF(C156="а","А",""),$A$9),CONCATENATE("Кабель ",IF(C156="а","А",""),$A$9," ",D156,"*",F156,IF(G156="ок"," (ож)","")," - ",B156," ",IF(G156="мс"," фас. ",""),$A$2))</f>
        <v>Кабель ВВГ 2*4 (ож) - 1 ГОСТ 16442-80</v>
      </c>
      <c r="B156" s="450">
        <v>1</v>
      </c>
      <c r="C156" s="451" t="s">
        <v>163</v>
      </c>
      <c r="D156" s="412">
        <v>2</v>
      </c>
      <c r="E156" s="413" t="s">
        <v>40</v>
      </c>
      <c r="F156" s="423">
        <v>4</v>
      </c>
      <c r="G156" s="414" t="str">
        <f>IF(I156=1,"ок","мк")</f>
        <v>ок</v>
      </c>
      <c r="H156" s="461">
        <v>2.2599999999999998</v>
      </c>
      <c r="I156" s="497">
        <v>1</v>
      </c>
      <c r="J156" s="498" t="s">
        <v>40</v>
      </c>
      <c r="K156" s="496">
        <f>ROUNDUP(SQRT(F156/PI()*4),2)</f>
        <v>2.2599999999999998</v>
      </c>
      <c r="L156" s="501">
        <v>4.79</v>
      </c>
      <c r="M156" s="475"/>
      <c r="N156" s="475"/>
      <c r="O156" s="475"/>
      <c r="P156" s="475"/>
      <c r="Q156" s="483">
        <f t="shared" si="348"/>
        <v>0.8</v>
      </c>
      <c r="R156" s="484">
        <f>IF(B156=0.66,VLOOKUP(F156,'Данные ТНПА'!$B$8:$C$16,2,0),
IF(B156=1,VLOOKUP(F156,'Данные ТНПА'!$B$17:$C$37,2,0),"ошибка"))</f>
        <v>1</v>
      </c>
      <c r="S156" s="485">
        <f t="shared" si="283"/>
        <v>3.86</v>
      </c>
      <c r="T156" s="486"/>
      <c r="U156" s="487"/>
      <c r="V156" s="485">
        <f t="shared" si="284"/>
        <v>4.26</v>
      </c>
      <c r="W156" s="486"/>
      <c r="X156" s="487"/>
      <c r="Y156" s="489">
        <f t="shared" si="285"/>
        <v>0</v>
      </c>
      <c r="Z156" s="491">
        <f t="shared" si="286"/>
        <v>8.52</v>
      </c>
      <c r="AA156" s="237">
        <f t="shared" si="287"/>
        <v>0</v>
      </c>
      <c r="AB156" s="452">
        <f t="shared" si="349"/>
        <v>8.52</v>
      </c>
      <c r="AC156" s="201">
        <f t="shared" si="288"/>
        <v>0</v>
      </c>
      <c r="AD156" s="203">
        <f t="shared" si="350"/>
        <v>0</v>
      </c>
      <c r="AE156" s="37" t="str">
        <f t="shared" si="289"/>
        <v/>
      </c>
      <c r="AF156" s="202">
        <f t="shared" si="351"/>
        <v>0</v>
      </c>
      <c r="AG156" s="201">
        <f t="shared" si="352"/>
        <v>0</v>
      </c>
      <c r="AH156" s="61">
        <f t="shared" si="290"/>
        <v>8.52</v>
      </c>
      <c r="AI156" s="443">
        <f t="shared" si="397"/>
        <v>0</v>
      </c>
      <c r="AJ156" s="444">
        <f t="shared" si="353"/>
        <v>0</v>
      </c>
      <c r="AK156" s="445">
        <f t="shared" si="354"/>
        <v>0</v>
      </c>
      <c r="AL156" s="446">
        <f t="shared" si="355"/>
        <v>0</v>
      </c>
      <c r="AM156" s="447">
        <f t="shared" si="356"/>
        <v>0</v>
      </c>
      <c r="AN156" s="24">
        <f t="shared" si="357"/>
        <v>8.52</v>
      </c>
      <c r="AO156" s="443">
        <f t="shared" si="291"/>
        <v>0</v>
      </c>
      <c r="AP156" s="444">
        <f t="shared" si="358"/>
        <v>0</v>
      </c>
      <c r="AQ156" s="445">
        <f t="shared" si="359"/>
        <v>0</v>
      </c>
      <c r="AR156" s="446">
        <f t="shared" si="360"/>
        <v>0</v>
      </c>
      <c r="AS156" s="447">
        <f t="shared" si="361"/>
        <v>0</v>
      </c>
      <c r="AT156" s="24">
        <f t="shared" si="362"/>
        <v>8.52</v>
      </c>
      <c r="AU156" s="443">
        <f t="shared" si="292"/>
        <v>0</v>
      </c>
      <c r="AV156" s="444">
        <f t="shared" si="363"/>
        <v>0</v>
      </c>
      <c r="AW156" s="445">
        <f t="shared" si="364"/>
        <v>0</v>
      </c>
      <c r="AX156" s="446">
        <f t="shared" si="365"/>
        <v>0</v>
      </c>
      <c r="AY156" s="447">
        <f t="shared" si="366"/>
        <v>0</v>
      </c>
      <c r="AZ156" s="24">
        <f t="shared" si="367"/>
        <v>8.52</v>
      </c>
      <c r="BA156" s="43">
        <f>IF(BB156=0,0,
IF(D156=1,
(IF(AND(AH156&gt;'Данные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"ошибка_1"))))))),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"ошибка_2"))))))))</f>
        <v>0</v>
      </c>
      <c r="BB156" s="43">
        <f>IF(OR($AI$9=0,AND(D156&gt;1,F156&gt;10)),0,
IF(D156=1,
(IF(AND(AH156&gt;'Данные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"ошибка_1"))))))),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IF(AND(AH156&gt;'Данные ТНПА'!#REF!,AH156&lt;='Данные ТНПА'!#REF!),'Данные ТНПА'!#REF!,
"ошибка_2"))))))))</f>
        <v>0</v>
      </c>
      <c r="BC156" s="43">
        <f t="shared" si="368"/>
        <v>8.52</v>
      </c>
      <c r="BD156" s="237">
        <f t="shared" si="369"/>
        <v>0</v>
      </c>
      <c r="BE156" s="43">
        <f t="shared" si="370"/>
        <v>0</v>
      </c>
      <c r="BF156" s="201">
        <f t="shared" si="371"/>
        <v>0</v>
      </c>
      <c r="BG156" s="201">
        <f t="shared" si="372"/>
        <v>0</v>
      </c>
      <c r="BH156" s="61">
        <f t="shared" si="373"/>
        <v>8.52</v>
      </c>
      <c r="BI156" s="237">
        <f t="shared" si="374"/>
        <v>0</v>
      </c>
      <c r="BJ156" s="247">
        <f t="shared" si="375"/>
        <v>0</v>
      </c>
      <c r="BK156" s="431">
        <f t="shared" si="376"/>
        <v>0</v>
      </c>
      <c r="BL156" s="250">
        <f t="shared" si="377"/>
        <v>0</v>
      </c>
      <c r="BM156" s="237">
        <f t="shared" si="378"/>
        <v>0</v>
      </c>
      <c r="BN156" s="452">
        <f t="shared" si="379"/>
        <v>8.52</v>
      </c>
      <c r="BO156" s="237">
        <f t="shared" si="380"/>
        <v>0</v>
      </c>
      <c r="BP156" s="432">
        <f t="shared" si="381"/>
        <v>0</v>
      </c>
      <c r="BQ156" s="22" t="str">
        <f t="shared" si="382"/>
        <v/>
      </c>
      <c r="BR156" s="250">
        <f t="shared" si="383"/>
        <v>0</v>
      </c>
      <c r="BS156" s="237">
        <f t="shared" si="384"/>
        <v>0</v>
      </c>
      <c r="BT156" s="452">
        <f t="shared" si="385"/>
        <v>8.52</v>
      </c>
      <c r="BU156" s="492">
        <f t="shared" si="386"/>
        <v>1.1749999999999998</v>
      </c>
      <c r="BV156" s="493">
        <f>IF(BT156="","",
IF(AND(BT156&gt;'Данные ТНПА'!$K$8,BT156&lt;='Данные ТНПА'!$L$8),'Данные ТНПА'!$N$8,
IF(AND(BT156&gt;'Данные ТНПА'!$K$9,BT156&lt;='Данные ТНПА'!$L$9),'Данные ТНПА'!$N$9,
IF(AND(BT156&gt;'Данные ТНПА'!$K$10,BT156&lt;='Данные ТНПА'!$L$10),'Данные ТНПА'!$N$10,
IF(AND(BT156&gt;'Данные ТНПА'!$K$11,BT156&lt;='Данные ТНПА'!$L$11),'Данные ТНПА'!$N$11,
IF(AND(BT156&gt;'Данные ТНПА'!$K$12,BT156&lt;='Данные ТНПА'!$L$12),'Данные ТНПА'!$N$12,
IF(AND(BT156&gt;'Данные ТНПА'!$K$13,BT156&lt;='Данные ТНПА'!$L$13),'Данные ТНПА'!$N$13,
IF(AND(BT156&gt;'Данные ТНПА'!$K$14,BT156&lt;='Данные ТНПА'!$L$14),'Данные ТНПА'!$N$14))))))))</f>
        <v>1.5</v>
      </c>
      <c r="BW156" s="493">
        <f t="shared" si="387"/>
        <v>11.52</v>
      </c>
      <c r="BX156" s="457">
        <f t="shared" si="293"/>
        <v>0</v>
      </c>
      <c r="BY156" s="457">
        <f t="shared" si="294"/>
        <v>71.617840000000001</v>
      </c>
      <c r="BZ156" s="457">
        <f t="shared" si="295"/>
        <v>27.639598962754484</v>
      </c>
      <c r="CA156" s="457" t="e">
        <f t="shared" si="388"/>
        <v>#REF!</v>
      </c>
      <c r="CB156" s="458">
        <f t="shared" si="389"/>
        <v>0</v>
      </c>
      <c r="CC156" s="457">
        <f t="shared" si="390"/>
        <v>0</v>
      </c>
      <c r="CD156" s="457">
        <f t="shared" si="391"/>
        <v>0</v>
      </c>
      <c r="CE156" s="457">
        <f t="shared" si="392"/>
        <v>0</v>
      </c>
      <c r="CF156" s="457">
        <f t="shared" si="393"/>
        <v>0</v>
      </c>
      <c r="CG156" s="458">
        <f t="shared" si="296"/>
        <v>0</v>
      </c>
      <c r="CH156" s="457">
        <f t="shared" si="394"/>
        <v>0</v>
      </c>
      <c r="CI156" s="457">
        <f t="shared" si="395"/>
        <v>0</v>
      </c>
      <c r="CJ156" s="458">
        <f t="shared" si="396"/>
        <v>0</v>
      </c>
      <c r="CK156" s="458">
        <f t="shared" si="297"/>
        <v>68.749608321509882</v>
      </c>
      <c r="CL156" s="457">
        <f t="shared" si="298"/>
        <v>168.00704728426439</v>
      </c>
      <c r="CM156" s="504"/>
      <c r="CN156" s="504"/>
    </row>
    <row r="157" spans="1:92" ht="14.25" hidden="1" customHeight="1" x14ac:dyDescent="0.25">
      <c r="A157" s="389" t="str">
        <f>IF(D157="",CONCATENATE("Кабель ",IF(C157="а","А",""),$A$9),CONCATENATE("Кабель ",IF(C157="а","А",""),$A$9," ",D157,"*",F157,IF(G157="ок"," (ож)","")," - ",B157," ",IF(G157="мс"," фас. ",""),$A$2))</f>
        <v>Кабель ВВГ 2*6 (ож) - 1 ГОСТ 16442-80</v>
      </c>
      <c r="B157" s="450">
        <v>1</v>
      </c>
      <c r="C157" s="451" t="s">
        <v>163</v>
      </c>
      <c r="D157" s="412">
        <v>2</v>
      </c>
      <c r="E157" s="413" t="s">
        <v>40</v>
      </c>
      <c r="F157" s="423">
        <v>6</v>
      </c>
      <c r="G157" s="414" t="str">
        <f>IF(I157=1,"ок","мк")</f>
        <v>ок</v>
      </c>
      <c r="H157" s="461">
        <v>2.7699999999999996</v>
      </c>
      <c r="I157" s="497">
        <v>1</v>
      </c>
      <c r="J157" s="498" t="s">
        <v>40</v>
      </c>
      <c r="K157" s="496">
        <f>ROUNDUP(SQRT(F157/PI()*4),2)</f>
        <v>2.7699999999999996</v>
      </c>
      <c r="L157" s="501">
        <v>5.6499999999999995</v>
      </c>
      <c r="M157" s="475"/>
      <c r="N157" s="475"/>
      <c r="O157" s="475"/>
      <c r="P157" s="475"/>
      <c r="Q157" s="483">
        <f t="shared" si="348"/>
        <v>0.8</v>
      </c>
      <c r="R157" s="484">
        <f>IF(B157=0.66,VLOOKUP(F157,'Данные ТНПА'!$B$8:$C$16,2,0),
IF(B157=1,VLOOKUP(F157,'Данные ТНПА'!$B$17:$C$37,2,0),"ошибка"))</f>
        <v>1</v>
      </c>
      <c r="S157" s="485">
        <f t="shared" si="283"/>
        <v>4.3699999999999992</v>
      </c>
      <c r="T157" s="486"/>
      <c r="U157" s="487"/>
      <c r="V157" s="485">
        <f t="shared" si="284"/>
        <v>4.7699999999999996</v>
      </c>
      <c r="W157" s="486"/>
      <c r="X157" s="487"/>
      <c r="Y157" s="489">
        <f t="shared" si="285"/>
        <v>0</v>
      </c>
      <c r="Z157" s="491">
        <f t="shared" si="286"/>
        <v>9.5399999999999991</v>
      </c>
      <c r="AA157" s="237">
        <f t="shared" si="287"/>
        <v>0</v>
      </c>
      <c r="AB157" s="452">
        <f t="shared" si="349"/>
        <v>9.5399999999999991</v>
      </c>
      <c r="AC157" s="201">
        <f t="shared" si="288"/>
        <v>0</v>
      </c>
      <c r="AD157" s="203">
        <f t="shared" si="350"/>
        <v>0</v>
      </c>
      <c r="AE157" s="37" t="str">
        <f t="shared" si="289"/>
        <v/>
      </c>
      <c r="AF157" s="202">
        <f t="shared" si="351"/>
        <v>0</v>
      </c>
      <c r="AG157" s="201">
        <f t="shared" si="352"/>
        <v>0</v>
      </c>
      <c r="AH157" s="61">
        <f t="shared" si="290"/>
        <v>9.5399999999999991</v>
      </c>
      <c r="AI157" s="443">
        <f t="shared" si="397"/>
        <v>0</v>
      </c>
      <c r="AJ157" s="444">
        <f t="shared" si="353"/>
        <v>0</v>
      </c>
      <c r="AK157" s="445">
        <f t="shared" si="354"/>
        <v>0</v>
      </c>
      <c r="AL157" s="446">
        <f t="shared" si="355"/>
        <v>0</v>
      </c>
      <c r="AM157" s="447">
        <f t="shared" si="356"/>
        <v>0</v>
      </c>
      <c r="AN157" s="24">
        <f t="shared" si="357"/>
        <v>9.5399999999999991</v>
      </c>
      <c r="AO157" s="443">
        <f t="shared" si="291"/>
        <v>0</v>
      </c>
      <c r="AP157" s="444">
        <f t="shared" si="358"/>
        <v>0</v>
      </c>
      <c r="AQ157" s="445">
        <f t="shared" si="359"/>
        <v>0</v>
      </c>
      <c r="AR157" s="446">
        <f t="shared" si="360"/>
        <v>0</v>
      </c>
      <c r="AS157" s="447">
        <f t="shared" si="361"/>
        <v>0</v>
      </c>
      <c r="AT157" s="24">
        <f t="shared" si="362"/>
        <v>9.5399999999999991</v>
      </c>
      <c r="AU157" s="443">
        <f t="shared" si="292"/>
        <v>0</v>
      </c>
      <c r="AV157" s="444">
        <f t="shared" si="363"/>
        <v>0</v>
      </c>
      <c r="AW157" s="445">
        <f t="shared" si="364"/>
        <v>0</v>
      </c>
      <c r="AX157" s="446">
        <f t="shared" si="365"/>
        <v>0</v>
      </c>
      <c r="AY157" s="447">
        <f t="shared" si="366"/>
        <v>0</v>
      </c>
      <c r="AZ157" s="24">
        <f t="shared" si="367"/>
        <v>9.5399999999999991</v>
      </c>
      <c r="BA157" s="43">
        <f>IF(BB157=0,0,
IF(D157=1,
(IF(AND(AH157&gt;'Данные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"ошибка_1"))))))),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"ошибка_2"))))))))</f>
        <v>0</v>
      </c>
      <c r="BB157" s="43">
        <f>IF(OR($AI$9=0,AND(D157&gt;1,F157&gt;10)),0,
IF(D157=1,
(IF(AND(AH157&gt;'Данные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"ошибка_1"))))))),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IF(AND(AH157&gt;'Данные ТНПА'!#REF!,AH157&lt;='Данные ТНПА'!#REF!),'Данные ТНПА'!#REF!,
"ошибка_2"))))))))</f>
        <v>0</v>
      </c>
      <c r="BC157" s="43">
        <f t="shared" si="368"/>
        <v>9.5399999999999991</v>
      </c>
      <c r="BD157" s="237">
        <f t="shared" si="369"/>
        <v>0</v>
      </c>
      <c r="BE157" s="43">
        <f t="shared" si="370"/>
        <v>0</v>
      </c>
      <c r="BF157" s="201">
        <f t="shared" si="371"/>
        <v>0</v>
      </c>
      <c r="BG157" s="201">
        <f t="shared" si="372"/>
        <v>0</v>
      </c>
      <c r="BH157" s="61">
        <f t="shared" si="373"/>
        <v>9.5399999999999991</v>
      </c>
      <c r="BI157" s="237">
        <f t="shared" si="374"/>
        <v>0</v>
      </c>
      <c r="BJ157" s="247">
        <f t="shared" si="375"/>
        <v>0</v>
      </c>
      <c r="BK157" s="431">
        <f t="shared" si="376"/>
        <v>0</v>
      </c>
      <c r="BL157" s="250">
        <f t="shared" si="377"/>
        <v>0</v>
      </c>
      <c r="BM157" s="237">
        <f t="shared" si="378"/>
        <v>0</v>
      </c>
      <c r="BN157" s="452">
        <f t="shared" si="379"/>
        <v>9.5399999999999991</v>
      </c>
      <c r="BO157" s="237">
        <f t="shared" si="380"/>
        <v>0</v>
      </c>
      <c r="BP157" s="432">
        <f t="shared" si="381"/>
        <v>0</v>
      </c>
      <c r="BQ157" s="22" t="str">
        <f t="shared" si="382"/>
        <v/>
      </c>
      <c r="BR157" s="250">
        <f t="shared" si="383"/>
        <v>0</v>
      </c>
      <c r="BS157" s="237">
        <f t="shared" si="384"/>
        <v>0</v>
      </c>
      <c r="BT157" s="452">
        <f t="shared" si="385"/>
        <v>9.5399999999999991</v>
      </c>
      <c r="BU157" s="492">
        <f t="shared" si="386"/>
        <v>1.1749999999999998</v>
      </c>
      <c r="BV157" s="493">
        <f>IF(BT157="","",
IF(AND(BT157&gt;'Данные ТНПА'!$K$8,BT157&lt;='Данные ТНПА'!$L$8),'Данные ТНПА'!$N$8,
IF(AND(BT157&gt;'Данные ТНПА'!$K$9,BT157&lt;='Данные ТНПА'!$L$9),'Данные ТНПА'!$N$9,
IF(AND(BT157&gt;'Данные ТНПА'!$K$10,BT157&lt;='Данные ТНПА'!$L$10),'Данные ТНПА'!$N$10,
IF(AND(BT157&gt;'Данные ТНПА'!$K$11,BT157&lt;='Данные ТНПА'!$L$11),'Данные ТНПА'!$N$11,
IF(AND(BT157&gt;'Данные ТНПА'!$K$12,BT157&lt;='Данные ТНПА'!$L$12),'Данные ТНПА'!$N$12,
IF(AND(BT157&gt;'Данные ТНПА'!$K$13,BT157&lt;='Данные ТНПА'!$L$13),'Данные ТНПА'!$N$13,
IF(AND(BT157&gt;'Данные ТНПА'!$K$14,BT157&lt;='Данные ТНПА'!$L$14),'Данные ТНПА'!$N$14))))))))</f>
        <v>1.5</v>
      </c>
      <c r="BW157" s="493">
        <f t="shared" si="387"/>
        <v>12.54</v>
      </c>
      <c r="BX157" s="457">
        <f t="shared" si="293"/>
        <v>0</v>
      </c>
      <c r="BY157" s="457">
        <f t="shared" si="294"/>
        <v>107.42676</v>
      </c>
      <c r="BZ157" s="457">
        <f t="shared" si="295"/>
        <v>31.963585303553497</v>
      </c>
      <c r="CA157" s="457" t="e">
        <f t="shared" si="388"/>
        <v>#REF!</v>
      </c>
      <c r="CB157" s="458">
        <f t="shared" si="389"/>
        <v>0</v>
      </c>
      <c r="CC157" s="457">
        <f t="shared" si="390"/>
        <v>0</v>
      </c>
      <c r="CD157" s="457">
        <f t="shared" si="391"/>
        <v>0</v>
      </c>
      <c r="CE157" s="457">
        <f t="shared" si="392"/>
        <v>0</v>
      </c>
      <c r="CF157" s="457">
        <f t="shared" si="393"/>
        <v>0</v>
      </c>
      <c r="CG157" s="458">
        <f t="shared" si="296"/>
        <v>0</v>
      </c>
      <c r="CH157" s="457">
        <f t="shared" si="394"/>
        <v>0</v>
      </c>
      <c r="CI157" s="457">
        <f t="shared" si="395"/>
        <v>0</v>
      </c>
      <c r="CJ157" s="458">
        <f t="shared" si="396"/>
        <v>0</v>
      </c>
      <c r="CK157" s="458">
        <f t="shared" si="297"/>
        <v>75.74807144405878</v>
      </c>
      <c r="CL157" s="457">
        <f t="shared" si="298"/>
        <v>215.13841674761227</v>
      </c>
      <c r="CM157" s="504"/>
      <c r="CN157" s="504"/>
    </row>
    <row r="158" spans="1:92" ht="14.25" hidden="1" customHeight="1" x14ac:dyDescent="0.25">
      <c r="A158" s="389" t="str">
        <f>IF(D158="",CONCATENATE("Кабель ",IF(C158="а","А",""),$A$9),CONCATENATE("Кабель ",IF(C158="а","А",""),$A$9," ",D158,"*",F158,IF(G158="ок"," (ож)","")," - ",B158," ",IF(G158="мс"," фас. ",""),$A$2))</f>
        <v>Кабель ВВГ 2*10 (ож) - 1 ГОСТ 16442-80</v>
      </c>
      <c r="B158" s="450">
        <v>1</v>
      </c>
      <c r="C158" s="451" t="s">
        <v>163</v>
      </c>
      <c r="D158" s="412">
        <v>2</v>
      </c>
      <c r="E158" s="413" t="s">
        <v>40</v>
      </c>
      <c r="F158" s="423">
        <v>10</v>
      </c>
      <c r="G158" s="414" t="str">
        <f>IF(I158=1,"ок","мк")</f>
        <v>ок</v>
      </c>
      <c r="H158" s="461">
        <v>3.57</v>
      </c>
      <c r="I158" s="497">
        <v>1</v>
      </c>
      <c r="J158" s="498" t="s">
        <v>40</v>
      </c>
      <c r="K158" s="496">
        <f>ROUNDUP(SQRT(F158/PI()*4),2)</f>
        <v>3.57</v>
      </c>
      <c r="L158" s="501">
        <v>5.99</v>
      </c>
      <c r="M158" s="475"/>
      <c r="N158" s="475"/>
      <c r="O158" s="475"/>
      <c r="P158" s="475"/>
      <c r="Q158" s="483">
        <f t="shared" si="348"/>
        <v>0.8</v>
      </c>
      <c r="R158" s="484">
        <f>IF(B158=0.66,VLOOKUP(F158,'Данные ТНПА'!$B$8:$C$16,2,0),
IF(B158=1,VLOOKUP(F158,'Данные ТНПА'!$B$17:$C$37,2,0),"ошибка"))</f>
        <v>1</v>
      </c>
      <c r="S158" s="485">
        <f t="shared" si="283"/>
        <v>5.17</v>
      </c>
      <c r="T158" s="486"/>
      <c r="U158" s="487"/>
      <c r="V158" s="485">
        <f t="shared" si="284"/>
        <v>5.57</v>
      </c>
      <c r="W158" s="486"/>
      <c r="X158" s="487"/>
      <c r="Y158" s="489">
        <f t="shared" si="285"/>
        <v>0</v>
      </c>
      <c r="Z158" s="491">
        <f t="shared" si="286"/>
        <v>11.14</v>
      </c>
      <c r="AA158" s="237">
        <f t="shared" si="287"/>
        <v>0</v>
      </c>
      <c r="AB158" s="452">
        <f t="shared" si="349"/>
        <v>11.14</v>
      </c>
      <c r="AC158" s="201">
        <f t="shared" si="288"/>
        <v>0</v>
      </c>
      <c r="AD158" s="203">
        <f t="shared" si="350"/>
        <v>0</v>
      </c>
      <c r="AE158" s="37" t="str">
        <f t="shared" si="289"/>
        <v/>
      </c>
      <c r="AF158" s="202">
        <f t="shared" si="351"/>
        <v>0</v>
      </c>
      <c r="AG158" s="201">
        <f t="shared" si="352"/>
        <v>0</v>
      </c>
      <c r="AH158" s="61">
        <f t="shared" si="290"/>
        <v>11.14</v>
      </c>
      <c r="AI158" s="443">
        <f t="shared" si="397"/>
        <v>0</v>
      </c>
      <c r="AJ158" s="444">
        <f t="shared" si="353"/>
        <v>0</v>
      </c>
      <c r="AK158" s="445">
        <f t="shared" si="354"/>
        <v>0</v>
      </c>
      <c r="AL158" s="446">
        <f t="shared" si="355"/>
        <v>0</v>
      </c>
      <c r="AM158" s="447">
        <f t="shared" si="356"/>
        <v>0</v>
      </c>
      <c r="AN158" s="24">
        <f t="shared" si="357"/>
        <v>11.14</v>
      </c>
      <c r="AO158" s="443">
        <f t="shared" si="291"/>
        <v>0</v>
      </c>
      <c r="AP158" s="444">
        <f t="shared" si="358"/>
        <v>0</v>
      </c>
      <c r="AQ158" s="445">
        <f t="shared" si="359"/>
        <v>0</v>
      </c>
      <c r="AR158" s="446">
        <f t="shared" si="360"/>
        <v>0</v>
      </c>
      <c r="AS158" s="447">
        <f t="shared" si="361"/>
        <v>0</v>
      </c>
      <c r="AT158" s="24">
        <f t="shared" si="362"/>
        <v>11.14</v>
      </c>
      <c r="AU158" s="443">
        <f t="shared" si="292"/>
        <v>0</v>
      </c>
      <c r="AV158" s="444">
        <f t="shared" si="363"/>
        <v>0</v>
      </c>
      <c r="AW158" s="445">
        <f t="shared" si="364"/>
        <v>0</v>
      </c>
      <c r="AX158" s="446">
        <f t="shared" si="365"/>
        <v>0</v>
      </c>
      <c r="AY158" s="447">
        <f t="shared" si="366"/>
        <v>0</v>
      </c>
      <c r="AZ158" s="24">
        <f t="shared" si="367"/>
        <v>11.14</v>
      </c>
      <c r="BA158" s="43">
        <f>IF(BB158=0,0,
IF(D158=1,
(IF(AND(AH158&gt;'Данные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"ошибка_1"))))))),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"ошибка_2"))))))))</f>
        <v>0</v>
      </c>
      <c r="BB158" s="43">
        <f>IF(OR($AI$9=0,AND(D158&gt;1,F158&gt;10)),0,
IF(D158=1,
(IF(AND(AH158&gt;'Данные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"ошибка_1"))))))),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IF(AND(AH158&gt;'Данные ТНПА'!#REF!,AH158&lt;='Данные ТНПА'!#REF!),'Данные ТНПА'!#REF!,
"ошибка_2"))))))))</f>
        <v>0</v>
      </c>
      <c r="BC158" s="43">
        <f t="shared" si="368"/>
        <v>11.14</v>
      </c>
      <c r="BD158" s="237">
        <f t="shared" si="369"/>
        <v>0</v>
      </c>
      <c r="BE158" s="43">
        <f t="shared" si="370"/>
        <v>0</v>
      </c>
      <c r="BF158" s="201">
        <f t="shared" si="371"/>
        <v>0</v>
      </c>
      <c r="BG158" s="201">
        <f t="shared" si="372"/>
        <v>0</v>
      </c>
      <c r="BH158" s="61">
        <f t="shared" si="373"/>
        <v>11.14</v>
      </c>
      <c r="BI158" s="237">
        <f t="shared" si="374"/>
        <v>0</v>
      </c>
      <c r="BJ158" s="247">
        <f t="shared" si="375"/>
        <v>0</v>
      </c>
      <c r="BK158" s="431">
        <f t="shared" si="376"/>
        <v>0</v>
      </c>
      <c r="BL158" s="250">
        <f t="shared" si="377"/>
        <v>0</v>
      </c>
      <c r="BM158" s="237">
        <f t="shared" si="378"/>
        <v>0</v>
      </c>
      <c r="BN158" s="452">
        <f t="shared" si="379"/>
        <v>11.14</v>
      </c>
      <c r="BO158" s="237">
        <f t="shared" si="380"/>
        <v>0</v>
      </c>
      <c r="BP158" s="432">
        <f t="shared" si="381"/>
        <v>0</v>
      </c>
      <c r="BQ158" s="22" t="str">
        <f t="shared" si="382"/>
        <v/>
      </c>
      <c r="BR158" s="250">
        <f t="shared" si="383"/>
        <v>0</v>
      </c>
      <c r="BS158" s="237">
        <f t="shared" si="384"/>
        <v>0</v>
      </c>
      <c r="BT158" s="452">
        <f t="shared" si="385"/>
        <v>11.14</v>
      </c>
      <c r="BU158" s="492">
        <f t="shared" si="386"/>
        <v>1.1749999999999998</v>
      </c>
      <c r="BV158" s="493">
        <f>IF(BT158="","",
IF(AND(BT158&gt;'Данные ТНПА'!$K$8,BT158&lt;='Данные ТНПА'!$L$8),'Данные ТНПА'!$N$8,
IF(AND(BT158&gt;'Данные ТНПА'!$K$9,BT158&lt;='Данные ТНПА'!$L$9),'Данные ТНПА'!$N$9,
IF(AND(BT158&gt;'Данные ТНПА'!$K$10,BT158&lt;='Данные ТНПА'!$L$10),'Данные ТНПА'!$N$10,
IF(AND(BT158&gt;'Данные ТНПА'!$K$11,BT158&lt;='Данные ТНПА'!$L$11),'Данные ТНПА'!$N$11,
IF(AND(BT158&gt;'Данные ТНПА'!$K$12,BT158&lt;='Данные ТНПА'!$L$12),'Данные ТНПА'!$N$12,
IF(AND(BT158&gt;'Данные ТНПА'!$K$13,BT158&lt;='Данные ТНПА'!$L$13),'Данные ТНПА'!$N$13,
IF(AND(BT158&gt;'Данные ТНПА'!$K$14,BT158&lt;='Данные ТНПА'!$L$14),'Данные ТНПА'!$N$14))))))))</f>
        <v>1.5</v>
      </c>
      <c r="BW158" s="493">
        <f t="shared" si="387"/>
        <v>14.14</v>
      </c>
      <c r="BX158" s="457">
        <f t="shared" si="293"/>
        <v>0</v>
      </c>
      <c r="BY158" s="457">
        <f t="shared" si="294"/>
        <v>179.0446</v>
      </c>
      <c r="BZ158" s="457">
        <f t="shared" si="295"/>
        <v>38.746308975395095</v>
      </c>
      <c r="CA158" s="457" t="e">
        <f t="shared" si="388"/>
        <v>#REF!</v>
      </c>
      <c r="CB158" s="458">
        <f t="shared" si="389"/>
        <v>0</v>
      </c>
      <c r="CC158" s="457">
        <f t="shared" si="390"/>
        <v>0</v>
      </c>
      <c r="CD158" s="457">
        <f t="shared" si="391"/>
        <v>0</v>
      </c>
      <c r="CE158" s="457">
        <f t="shared" si="392"/>
        <v>0</v>
      </c>
      <c r="CF158" s="457">
        <f t="shared" si="393"/>
        <v>0</v>
      </c>
      <c r="CG158" s="458">
        <f t="shared" si="296"/>
        <v>0</v>
      </c>
      <c r="CH158" s="457">
        <f t="shared" si="394"/>
        <v>0</v>
      </c>
      <c r="CI158" s="457">
        <f t="shared" si="395"/>
        <v>0</v>
      </c>
      <c r="CJ158" s="458">
        <f t="shared" si="396"/>
        <v>0</v>
      </c>
      <c r="CK158" s="458">
        <f t="shared" si="297"/>
        <v>86.726052812762973</v>
      </c>
      <c r="CL158" s="457">
        <f t="shared" si="298"/>
        <v>304.51696178815808</v>
      </c>
      <c r="CM158" s="504"/>
      <c r="CN158" s="504"/>
    </row>
    <row r="159" spans="1:92" ht="14.25" hidden="1" customHeight="1" x14ac:dyDescent="0.25">
      <c r="A159" s="389" t="str">
        <f>IF(D159="",CONCATENATE("Кабель ",IF(C159="а","А",""),$A$9),CONCATENATE("Кабель ",IF(C159="а","А",""),$A$9," ",D159,"*",F159,IF(G159="ок"," (ож)","")," - ",B159," ",IF(G159="мс"," фас. ",""),$A$2))</f>
        <v>Кабель ВВГ 2*16 (ож) - 1 ГОСТ 16442-80</v>
      </c>
      <c r="B159" s="450">
        <v>1</v>
      </c>
      <c r="C159" s="451" t="s">
        <v>163</v>
      </c>
      <c r="D159" s="412">
        <v>2</v>
      </c>
      <c r="E159" s="413" t="s">
        <v>40</v>
      </c>
      <c r="F159" s="423">
        <v>16</v>
      </c>
      <c r="G159" s="414" t="str">
        <f>IF(I159=1,"ок","мк")</f>
        <v>ок</v>
      </c>
      <c r="H159" s="461">
        <v>4.5199999999999996</v>
      </c>
      <c r="I159" s="497">
        <v>1</v>
      </c>
      <c r="J159" s="498" t="s">
        <v>40</v>
      </c>
      <c r="K159" s="496">
        <f>ROUNDUP(SQRT(F159/PI()*4),2)</f>
        <v>4.5199999999999996</v>
      </c>
      <c r="L159" s="501">
        <v>6.68</v>
      </c>
      <c r="M159" s="475"/>
      <c r="N159" s="475"/>
      <c r="O159" s="475"/>
      <c r="P159" s="475"/>
      <c r="Q159" s="483">
        <f t="shared" si="348"/>
        <v>0.8</v>
      </c>
      <c r="R159" s="484">
        <f>IF(B159=0.66,VLOOKUP(F159,'Данные ТНПА'!$B$8:$C$16,2,0),
IF(B159=1,VLOOKUP(F159,'Данные ТНПА'!$B$17:$C$37,2,0),"ошибка"))</f>
        <v>1</v>
      </c>
      <c r="S159" s="485">
        <f t="shared" si="283"/>
        <v>6.1199999999999992</v>
      </c>
      <c r="T159" s="486"/>
      <c r="U159" s="487"/>
      <c r="V159" s="485">
        <f t="shared" si="284"/>
        <v>6.52</v>
      </c>
      <c r="W159" s="486"/>
      <c r="X159" s="487"/>
      <c r="Y159" s="489">
        <f t="shared" si="285"/>
        <v>0</v>
      </c>
      <c r="Z159" s="491">
        <f t="shared" si="286"/>
        <v>13.04</v>
      </c>
      <c r="AA159" s="237">
        <f t="shared" si="287"/>
        <v>0</v>
      </c>
      <c r="AB159" s="452">
        <f t="shared" si="349"/>
        <v>13.04</v>
      </c>
      <c r="AC159" s="201">
        <f t="shared" si="288"/>
        <v>0</v>
      </c>
      <c r="AD159" s="203">
        <f t="shared" si="350"/>
        <v>0</v>
      </c>
      <c r="AE159" s="37" t="str">
        <f t="shared" si="289"/>
        <v/>
      </c>
      <c r="AF159" s="202">
        <f t="shared" si="351"/>
        <v>0</v>
      </c>
      <c r="AG159" s="201">
        <f t="shared" si="352"/>
        <v>0</v>
      </c>
      <c r="AH159" s="61">
        <f t="shared" si="290"/>
        <v>13.04</v>
      </c>
      <c r="AI159" s="443">
        <f t="shared" si="397"/>
        <v>0</v>
      </c>
      <c r="AJ159" s="444">
        <f t="shared" si="353"/>
        <v>0</v>
      </c>
      <c r="AK159" s="445">
        <f t="shared" si="354"/>
        <v>0</v>
      </c>
      <c r="AL159" s="446">
        <f t="shared" si="355"/>
        <v>0</v>
      </c>
      <c r="AM159" s="447">
        <f t="shared" si="356"/>
        <v>0</v>
      </c>
      <c r="AN159" s="24">
        <f t="shared" si="357"/>
        <v>13.04</v>
      </c>
      <c r="AO159" s="443">
        <f t="shared" si="291"/>
        <v>0</v>
      </c>
      <c r="AP159" s="444">
        <f t="shared" si="358"/>
        <v>0</v>
      </c>
      <c r="AQ159" s="445">
        <f t="shared" si="359"/>
        <v>0</v>
      </c>
      <c r="AR159" s="446">
        <f t="shared" si="360"/>
        <v>0</v>
      </c>
      <c r="AS159" s="447">
        <f t="shared" si="361"/>
        <v>0</v>
      </c>
      <c r="AT159" s="24">
        <f t="shared" si="362"/>
        <v>13.04</v>
      </c>
      <c r="AU159" s="443">
        <f t="shared" si="292"/>
        <v>0</v>
      </c>
      <c r="AV159" s="444">
        <f t="shared" si="363"/>
        <v>0</v>
      </c>
      <c r="AW159" s="445">
        <f t="shared" si="364"/>
        <v>0</v>
      </c>
      <c r="AX159" s="446">
        <f t="shared" si="365"/>
        <v>0</v>
      </c>
      <c r="AY159" s="447">
        <f t="shared" si="366"/>
        <v>0</v>
      </c>
      <c r="AZ159" s="24">
        <f t="shared" si="367"/>
        <v>13.04</v>
      </c>
      <c r="BA159" s="43">
        <f>IF(BB159=0,0,
IF(D159=1,
(IF(AND(AH159&gt;'Данные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"ошибка_1"))))))),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"ошибка_2"))))))))</f>
        <v>0</v>
      </c>
      <c r="BB159" s="43">
        <f>IF(OR($AI$9=0,AND(D159&gt;1,F159&gt;10)),0,
IF(D159=1,
(IF(AND(AH159&gt;'Данные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"ошибка_1"))))))),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IF(AND(AH159&gt;'Данные ТНПА'!#REF!,AH159&lt;='Данные ТНПА'!#REF!),'Данные ТНПА'!#REF!,
"ошибка_2"))))))))</f>
        <v>0</v>
      </c>
      <c r="BC159" s="43">
        <f t="shared" si="368"/>
        <v>13.04</v>
      </c>
      <c r="BD159" s="237">
        <f t="shared" si="369"/>
        <v>0</v>
      </c>
      <c r="BE159" s="43">
        <f t="shared" si="370"/>
        <v>0</v>
      </c>
      <c r="BF159" s="201">
        <f t="shared" si="371"/>
        <v>0</v>
      </c>
      <c r="BG159" s="201">
        <f t="shared" si="372"/>
        <v>0</v>
      </c>
      <c r="BH159" s="61">
        <f t="shared" si="373"/>
        <v>13.04</v>
      </c>
      <c r="BI159" s="237">
        <f t="shared" si="374"/>
        <v>0</v>
      </c>
      <c r="BJ159" s="247">
        <f t="shared" si="375"/>
        <v>0</v>
      </c>
      <c r="BK159" s="431">
        <f t="shared" si="376"/>
        <v>0</v>
      </c>
      <c r="BL159" s="250">
        <f t="shared" si="377"/>
        <v>0</v>
      </c>
      <c r="BM159" s="237">
        <f t="shared" si="378"/>
        <v>0</v>
      </c>
      <c r="BN159" s="452">
        <f t="shared" si="379"/>
        <v>13.04</v>
      </c>
      <c r="BO159" s="237">
        <f t="shared" si="380"/>
        <v>0</v>
      </c>
      <c r="BP159" s="432">
        <f t="shared" si="381"/>
        <v>0</v>
      </c>
      <c r="BQ159" s="22" t="str">
        <f t="shared" si="382"/>
        <v/>
      </c>
      <c r="BR159" s="250">
        <f t="shared" si="383"/>
        <v>0</v>
      </c>
      <c r="BS159" s="237">
        <f t="shared" si="384"/>
        <v>0</v>
      </c>
      <c r="BT159" s="452">
        <f t="shared" si="385"/>
        <v>13.04</v>
      </c>
      <c r="BU159" s="492">
        <f t="shared" si="386"/>
        <v>1.1749999999999998</v>
      </c>
      <c r="BV159" s="493">
        <f>IF(BT159="","",
IF(AND(BT159&gt;'Данные ТНПА'!$K$8,BT159&lt;='Данные ТНПА'!$L$8),'Данные ТНПА'!$N$8,
IF(AND(BT159&gt;'Данные ТНПА'!$K$9,BT159&lt;='Данные ТНПА'!$L$9),'Данные ТНПА'!$N$9,
IF(AND(BT159&gt;'Данные ТНПА'!$K$10,BT159&lt;='Данные ТНПА'!$L$10),'Данные ТНПА'!$N$10,
IF(AND(BT159&gt;'Данные ТНПА'!$K$11,BT159&lt;='Данные ТНПА'!$L$11),'Данные ТНПА'!$N$11,
IF(AND(BT159&gt;'Данные ТНПА'!$K$12,BT159&lt;='Данные ТНПА'!$L$12),'Данные ТНПА'!$N$12,
IF(AND(BT159&gt;'Данные ТНПА'!$K$13,BT159&lt;='Данные ТНПА'!$L$13),'Данные ТНПА'!$N$13,
IF(AND(BT159&gt;'Данные ТНПА'!$K$14,BT159&lt;='Данные ТНПА'!$L$14),'Данные ТНПА'!$N$14))))))))</f>
        <v>1.5</v>
      </c>
      <c r="BW159" s="493">
        <f t="shared" si="387"/>
        <v>16.04</v>
      </c>
      <c r="BX159" s="457">
        <f t="shared" si="293"/>
        <v>0</v>
      </c>
      <c r="BY159" s="457">
        <f t="shared" si="294"/>
        <v>286.47136</v>
      </c>
      <c r="BZ159" s="457">
        <f t="shared" si="295"/>
        <v>46.800793335706977</v>
      </c>
      <c r="CA159" s="457" t="e">
        <f t="shared" si="388"/>
        <v>#REF!</v>
      </c>
      <c r="CB159" s="458">
        <f t="shared" si="389"/>
        <v>0</v>
      </c>
      <c r="CC159" s="457">
        <f t="shared" si="390"/>
        <v>0</v>
      </c>
      <c r="CD159" s="457">
        <f t="shared" si="391"/>
        <v>0</v>
      </c>
      <c r="CE159" s="457">
        <f t="shared" si="392"/>
        <v>0</v>
      </c>
      <c r="CF159" s="457">
        <f t="shared" si="393"/>
        <v>0</v>
      </c>
      <c r="CG159" s="458">
        <f t="shared" si="296"/>
        <v>0</v>
      </c>
      <c r="CH159" s="457">
        <f t="shared" si="394"/>
        <v>0</v>
      </c>
      <c r="CI159" s="457">
        <f t="shared" si="395"/>
        <v>0</v>
      </c>
      <c r="CJ159" s="458">
        <f t="shared" si="396"/>
        <v>0</v>
      </c>
      <c r="CK159" s="458">
        <f t="shared" si="297"/>
        <v>99.76240568809915</v>
      </c>
      <c r="CL159" s="457">
        <f t="shared" si="298"/>
        <v>433.03455902380614</v>
      </c>
      <c r="CM159" s="504"/>
      <c r="CN159" s="504"/>
    </row>
    <row r="160" spans="1:92" ht="14.25" hidden="1" customHeight="1" x14ac:dyDescent="0.25">
      <c r="A160" s="389" t="str">
        <f>IF(D160="",CONCATENATE("Кабель ",IF(C160="а","А",""),$A$9),CONCATENATE("Кабель ",IF(C160="а","А",""),$A$9," ",D160,"*",F160,IF(G160="ок"," (ож)","")," - ",B160," ",IF(G160="мс"," фас. ",""),$A$2))</f>
        <v>Кабель ВВГ 2*25 (ож) - 1 ГОСТ 16442-80</v>
      </c>
      <c r="B160" s="450">
        <v>1</v>
      </c>
      <c r="C160" s="451" t="s">
        <v>163</v>
      </c>
      <c r="D160" s="412">
        <v>2</v>
      </c>
      <c r="E160" s="413" t="s">
        <v>40</v>
      </c>
      <c r="F160" s="423">
        <v>25</v>
      </c>
      <c r="G160" s="414" t="str">
        <f>IF(I160=1,"ок","мк")</f>
        <v>ок</v>
      </c>
      <c r="H160" s="461">
        <v>5.6499999999999995</v>
      </c>
      <c r="I160" s="497">
        <v>1</v>
      </c>
      <c r="J160" s="498" t="s">
        <v>40</v>
      </c>
      <c r="K160" s="496">
        <f>ROUNDUP(SQRT(F160/PI()*4),2)</f>
        <v>5.6499999999999995</v>
      </c>
      <c r="L160" s="501">
        <v>7.1000000000000005</v>
      </c>
      <c r="M160" s="475"/>
      <c r="N160" s="475"/>
      <c r="O160" s="475"/>
      <c r="P160" s="475"/>
      <c r="Q160" s="483">
        <f t="shared" si="348"/>
        <v>0.98000000000000009</v>
      </c>
      <c r="R160" s="484">
        <f>IF(B160=0.66,VLOOKUP(F160,'Данные ТНПА'!$B$8:$C$16,2,0),
IF(B160=1,VLOOKUP(F160,'Данные ТНПА'!$B$17:$C$37,2,0),"ошибка"))</f>
        <v>1.2</v>
      </c>
      <c r="S160" s="485">
        <f t="shared" si="283"/>
        <v>7.6099999999999994</v>
      </c>
      <c r="T160" s="486"/>
      <c r="U160" s="487"/>
      <c r="V160" s="485">
        <f t="shared" si="284"/>
        <v>8.0499999999999989</v>
      </c>
      <c r="W160" s="486"/>
      <c r="X160" s="487"/>
      <c r="Y160" s="489">
        <f t="shared" si="285"/>
        <v>0</v>
      </c>
      <c r="Z160" s="491">
        <f t="shared" si="286"/>
        <v>16.099999999999998</v>
      </c>
      <c r="AA160" s="237">
        <f t="shared" si="287"/>
        <v>0</v>
      </c>
      <c r="AB160" s="452">
        <f t="shared" si="349"/>
        <v>16.099999999999998</v>
      </c>
      <c r="AC160" s="201">
        <f t="shared" si="288"/>
        <v>0</v>
      </c>
      <c r="AD160" s="203">
        <f t="shared" si="350"/>
        <v>0</v>
      </c>
      <c r="AE160" s="37" t="str">
        <f t="shared" si="289"/>
        <v/>
      </c>
      <c r="AF160" s="202">
        <f t="shared" si="351"/>
        <v>0</v>
      </c>
      <c r="AG160" s="201">
        <f t="shared" si="352"/>
        <v>0</v>
      </c>
      <c r="AH160" s="61">
        <f t="shared" si="290"/>
        <v>16.099999999999998</v>
      </c>
      <c r="AI160" s="443">
        <f t="shared" si="397"/>
        <v>0</v>
      </c>
      <c r="AJ160" s="444">
        <f t="shared" si="353"/>
        <v>0</v>
      </c>
      <c r="AK160" s="445">
        <f t="shared" si="354"/>
        <v>0</v>
      </c>
      <c r="AL160" s="446">
        <f t="shared" si="355"/>
        <v>0</v>
      </c>
      <c r="AM160" s="447">
        <f t="shared" si="356"/>
        <v>0</v>
      </c>
      <c r="AN160" s="24">
        <f t="shared" si="357"/>
        <v>16.099999999999998</v>
      </c>
      <c r="AO160" s="443">
        <f t="shared" si="291"/>
        <v>0</v>
      </c>
      <c r="AP160" s="444">
        <f t="shared" si="358"/>
        <v>0</v>
      </c>
      <c r="AQ160" s="445">
        <f t="shared" si="359"/>
        <v>0</v>
      </c>
      <c r="AR160" s="446">
        <f t="shared" si="360"/>
        <v>0</v>
      </c>
      <c r="AS160" s="447">
        <f t="shared" si="361"/>
        <v>0</v>
      </c>
      <c r="AT160" s="24">
        <f t="shared" si="362"/>
        <v>16.099999999999998</v>
      </c>
      <c r="AU160" s="443">
        <f t="shared" si="292"/>
        <v>0</v>
      </c>
      <c r="AV160" s="444">
        <f t="shared" si="363"/>
        <v>0</v>
      </c>
      <c r="AW160" s="445">
        <f t="shared" si="364"/>
        <v>0</v>
      </c>
      <c r="AX160" s="446">
        <f t="shared" si="365"/>
        <v>0</v>
      </c>
      <c r="AY160" s="447">
        <f t="shared" si="366"/>
        <v>0</v>
      </c>
      <c r="AZ160" s="24">
        <f t="shared" si="367"/>
        <v>16.099999999999998</v>
      </c>
      <c r="BA160" s="43">
        <f>IF(BB160=0,0,
IF(D160=1,
(IF(AND(AH160&gt;'Данные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"ошибка_1"))))))),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"ошибка_2"))))))))</f>
        <v>0</v>
      </c>
      <c r="BB160" s="43">
        <f>IF(OR($AI$9=0,AND(D160&gt;1,F160&gt;10)),0,
IF(D160=1,
(IF(AND(AH160&gt;'Данные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"ошибка_1"))))))),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IF(AND(AH160&gt;'Данные ТНПА'!#REF!,AH160&lt;='Данные ТНПА'!#REF!),'Данные ТНПА'!#REF!,
"ошибка_2"))))))))</f>
        <v>0</v>
      </c>
      <c r="BC160" s="43">
        <f t="shared" si="368"/>
        <v>16.099999999999998</v>
      </c>
      <c r="BD160" s="237">
        <f t="shared" si="369"/>
        <v>0</v>
      </c>
      <c r="BE160" s="43">
        <f t="shared" si="370"/>
        <v>0</v>
      </c>
      <c r="BF160" s="201">
        <f t="shared" si="371"/>
        <v>0</v>
      </c>
      <c r="BG160" s="201">
        <f t="shared" si="372"/>
        <v>0</v>
      </c>
      <c r="BH160" s="61">
        <f t="shared" si="373"/>
        <v>16.099999999999998</v>
      </c>
      <c r="BI160" s="237">
        <f t="shared" si="374"/>
        <v>0</v>
      </c>
      <c r="BJ160" s="247">
        <f t="shared" si="375"/>
        <v>0</v>
      </c>
      <c r="BK160" s="431">
        <f t="shared" si="376"/>
        <v>0</v>
      </c>
      <c r="BL160" s="250">
        <f t="shared" si="377"/>
        <v>0</v>
      </c>
      <c r="BM160" s="237">
        <f t="shared" si="378"/>
        <v>0</v>
      </c>
      <c r="BN160" s="452">
        <f t="shared" si="379"/>
        <v>16.099999999999998</v>
      </c>
      <c r="BO160" s="237">
        <f t="shared" si="380"/>
        <v>0</v>
      </c>
      <c r="BP160" s="432">
        <f t="shared" si="381"/>
        <v>0</v>
      </c>
      <c r="BQ160" s="22" t="str">
        <f t="shared" si="382"/>
        <v/>
      </c>
      <c r="BR160" s="250">
        <f t="shared" si="383"/>
        <v>0</v>
      </c>
      <c r="BS160" s="237">
        <f t="shared" si="384"/>
        <v>0</v>
      </c>
      <c r="BT160" s="452">
        <f t="shared" si="385"/>
        <v>16.099999999999998</v>
      </c>
      <c r="BU160" s="492">
        <f t="shared" si="386"/>
        <v>1.3449999999999998</v>
      </c>
      <c r="BV160" s="493">
        <f>IF(BT160="","",
IF(AND(BT160&gt;'Данные ТНПА'!$K$8,BT160&lt;='Данные ТНПА'!$L$8),'Данные ТНПА'!$N$8,
IF(AND(BT160&gt;'Данные ТНПА'!$K$9,BT160&lt;='Данные ТНПА'!$L$9),'Данные ТНПА'!$N$9,
IF(AND(BT160&gt;'Данные ТНПА'!$K$10,BT160&lt;='Данные ТНПА'!$L$10),'Данные ТНПА'!$N$10,
IF(AND(BT160&gt;'Данные ТНПА'!$K$11,BT160&lt;='Данные ТНПА'!$L$11),'Данные ТНПА'!$N$11,
IF(AND(BT160&gt;'Данные ТНПА'!$K$12,BT160&lt;='Данные ТНПА'!$L$12),'Данные ТНПА'!$N$12,
IF(AND(BT160&gt;'Данные ТНПА'!$K$13,BT160&lt;='Данные ТНПА'!$L$13),'Данные ТНПА'!$N$13,
IF(AND(BT160&gt;'Данные ТНПА'!$K$14,BT160&lt;='Данные ТНПА'!$L$14),'Данные ТНПА'!$N$14))))))))</f>
        <v>1.7</v>
      </c>
      <c r="BW160" s="493">
        <f t="shared" si="387"/>
        <v>19.499999999999996</v>
      </c>
      <c r="BX160" s="457">
        <f t="shared" si="293"/>
        <v>0</v>
      </c>
      <c r="BY160" s="457">
        <f t="shared" si="294"/>
        <v>447.61149999999998</v>
      </c>
      <c r="BZ160" s="457">
        <f t="shared" si="295"/>
        <v>69.692485728172343</v>
      </c>
      <c r="CA160" s="457" t="e">
        <f t="shared" si="388"/>
        <v>#REF!</v>
      </c>
      <c r="CB160" s="458">
        <f t="shared" si="389"/>
        <v>0</v>
      </c>
      <c r="CC160" s="457">
        <f t="shared" si="390"/>
        <v>0</v>
      </c>
      <c r="CD160" s="457">
        <f t="shared" si="391"/>
        <v>0</v>
      </c>
      <c r="CE160" s="457">
        <f t="shared" si="392"/>
        <v>0</v>
      </c>
      <c r="CF160" s="457">
        <f t="shared" si="393"/>
        <v>0</v>
      </c>
      <c r="CG160" s="458">
        <f t="shared" si="296"/>
        <v>0</v>
      </c>
      <c r="CH160" s="457">
        <f t="shared" si="394"/>
        <v>0</v>
      </c>
      <c r="CI160" s="457">
        <f t="shared" si="395"/>
        <v>0</v>
      </c>
      <c r="CJ160" s="458">
        <f t="shared" si="396"/>
        <v>0</v>
      </c>
      <c r="CK160" s="458">
        <f t="shared" si="297"/>
        <v>138.41404842374507</v>
      </c>
      <c r="CL160" s="457">
        <f t="shared" si="298"/>
        <v>655.71803415191732</v>
      </c>
      <c r="CM160" s="504"/>
      <c r="CN160" s="504"/>
    </row>
    <row r="161" spans="1:92" ht="14.25" hidden="1" customHeight="1" x14ac:dyDescent="0.25">
      <c r="A161" s="389" t="str">
        <f>IF(D161="",CONCATENATE("Кабель ",IF(C161="а","А",""),$A$9),CONCATENATE("Кабель ",IF(C161="а","А",""),$A$9," ",D161,"*",F161,IF(G161="ок"," (ож)","")," - ",B161," ",IF(G161="мс"," фас. ",""),$A$2))</f>
        <v>Кабель ВВГ 2*35 (ож) - 1 ГОСТ 16442-80</v>
      </c>
      <c r="B161" s="450">
        <v>1</v>
      </c>
      <c r="C161" s="451" t="s">
        <v>163</v>
      </c>
      <c r="D161" s="412">
        <v>2</v>
      </c>
      <c r="E161" s="413" t="s">
        <v>40</v>
      </c>
      <c r="F161" s="423">
        <v>35</v>
      </c>
      <c r="G161" s="414" t="str">
        <f>IF(I161=1,"ок","мк")</f>
        <v>ок</v>
      </c>
      <c r="H161" s="461">
        <v>6.68</v>
      </c>
      <c r="I161" s="497">
        <v>1</v>
      </c>
      <c r="J161" s="498" t="s">
        <v>40</v>
      </c>
      <c r="K161" s="496">
        <f>ROUNDUP(SQRT(F161/PI()*4),2)</f>
        <v>6.68</v>
      </c>
      <c r="L161" s="501">
        <v>8.15</v>
      </c>
      <c r="M161" s="475"/>
      <c r="N161" s="475"/>
      <c r="O161" s="475"/>
      <c r="P161" s="475"/>
      <c r="Q161" s="483">
        <f t="shared" si="348"/>
        <v>0.98000000000000009</v>
      </c>
      <c r="R161" s="484">
        <f>IF(B161=0.66,VLOOKUP(F161,'Данные ТНПА'!$B$8:$C$16,2,0),
IF(B161=1,VLOOKUP(F161,'Данные ТНПА'!$B$17:$C$37,2,0),"ошибка"))</f>
        <v>1.2</v>
      </c>
      <c r="S161" s="485">
        <f t="shared" si="283"/>
        <v>8.64</v>
      </c>
      <c r="T161" s="486"/>
      <c r="U161" s="487"/>
      <c r="V161" s="485">
        <f t="shared" si="284"/>
        <v>9.08</v>
      </c>
      <c r="W161" s="486"/>
      <c r="X161" s="487"/>
      <c r="Y161" s="489">
        <f t="shared" si="285"/>
        <v>0</v>
      </c>
      <c r="Z161" s="491">
        <f t="shared" si="286"/>
        <v>18.16</v>
      </c>
      <c r="AA161" s="237">
        <f t="shared" si="287"/>
        <v>0</v>
      </c>
      <c r="AB161" s="452">
        <f t="shared" si="349"/>
        <v>18.16</v>
      </c>
      <c r="AC161" s="201">
        <f t="shared" si="288"/>
        <v>0</v>
      </c>
      <c r="AD161" s="203">
        <f t="shared" si="350"/>
        <v>0</v>
      </c>
      <c r="AE161" s="37" t="str">
        <f t="shared" si="289"/>
        <v/>
      </c>
      <c r="AF161" s="202">
        <f t="shared" si="351"/>
        <v>0</v>
      </c>
      <c r="AG161" s="201">
        <f t="shared" si="352"/>
        <v>0</v>
      </c>
      <c r="AH161" s="61">
        <f t="shared" si="290"/>
        <v>18.16</v>
      </c>
      <c r="AI161" s="443">
        <f t="shared" si="397"/>
        <v>0</v>
      </c>
      <c r="AJ161" s="444">
        <f t="shared" si="353"/>
        <v>0</v>
      </c>
      <c r="AK161" s="445">
        <f t="shared" si="354"/>
        <v>0</v>
      </c>
      <c r="AL161" s="446">
        <f t="shared" si="355"/>
        <v>0</v>
      </c>
      <c r="AM161" s="447">
        <f t="shared" si="356"/>
        <v>0</v>
      </c>
      <c r="AN161" s="24">
        <f t="shared" si="357"/>
        <v>18.16</v>
      </c>
      <c r="AO161" s="443">
        <f t="shared" si="291"/>
        <v>0</v>
      </c>
      <c r="AP161" s="444">
        <f t="shared" si="358"/>
        <v>0</v>
      </c>
      <c r="AQ161" s="445">
        <f t="shared" si="359"/>
        <v>0</v>
      </c>
      <c r="AR161" s="446">
        <f t="shared" si="360"/>
        <v>0</v>
      </c>
      <c r="AS161" s="447">
        <f t="shared" si="361"/>
        <v>0</v>
      </c>
      <c r="AT161" s="24">
        <f t="shared" si="362"/>
        <v>18.16</v>
      </c>
      <c r="AU161" s="443">
        <f t="shared" si="292"/>
        <v>0</v>
      </c>
      <c r="AV161" s="444">
        <f t="shared" si="363"/>
        <v>0</v>
      </c>
      <c r="AW161" s="445">
        <f t="shared" si="364"/>
        <v>0</v>
      </c>
      <c r="AX161" s="446">
        <f t="shared" si="365"/>
        <v>0</v>
      </c>
      <c r="AY161" s="447">
        <f t="shared" si="366"/>
        <v>0</v>
      </c>
      <c r="AZ161" s="24">
        <f t="shared" si="367"/>
        <v>18.16</v>
      </c>
      <c r="BA161" s="43">
        <f>IF(BB161=0,0,
IF(D161=1,
(IF(AND(AH161&gt;'Данные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"ошибка_1"))))))),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"ошибка_2"))))))))</f>
        <v>0</v>
      </c>
      <c r="BB161" s="43">
        <f>IF(OR($AI$9=0,AND(D161&gt;1,F161&gt;10)),0,
IF(D161=1,
(IF(AND(AH161&gt;'Данные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"ошибка_1"))))))),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IF(AND(AH161&gt;'Данные ТНПА'!#REF!,AH161&lt;='Данные ТНПА'!#REF!),'Данные ТНПА'!#REF!,
"ошибка_2"))))))))</f>
        <v>0</v>
      </c>
      <c r="BC161" s="43">
        <f t="shared" si="368"/>
        <v>18.16</v>
      </c>
      <c r="BD161" s="237">
        <f t="shared" si="369"/>
        <v>0</v>
      </c>
      <c r="BE161" s="43">
        <f t="shared" si="370"/>
        <v>0</v>
      </c>
      <c r="BF161" s="201">
        <f t="shared" si="371"/>
        <v>0</v>
      </c>
      <c r="BG161" s="201">
        <f t="shared" si="372"/>
        <v>0</v>
      </c>
      <c r="BH161" s="61">
        <f t="shared" si="373"/>
        <v>18.16</v>
      </c>
      <c r="BI161" s="237">
        <f t="shared" si="374"/>
        <v>0</v>
      </c>
      <c r="BJ161" s="247">
        <f t="shared" si="375"/>
        <v>0</v>
      </c>
      <c r="BK161" s="431">
        <f t="shared" si="376"/>
        <v>0</v>
      </c>
      <c r="BL161" s="250">
        <f t="shared" si="377"/>
        <v>0</v>
      </c>
      <c r="BM161" s="237">
        <f t="shared" si="378"/>
        <v>0</v>
      </c>
      <c r="BN161" s="452">
        <f t="shared" si="379"/>
        <v>18.16</v>
      </c>
      <c r="BO161" s="237">
        <f t="shared" si="380"/>
        <v>0</v>
      </c>
      <c r="BP161" s="432">
        <f t="shared" si="381"/>
        <v>0</v>
      </c>
      <c r="BQ161" s="22" t="str">
        <f t="shared" si="382"/>
        <v/>
      </c>
      <c r="BR161" s="250">
        <f t="shared" si="383"/>
        <v>0</v>
      </c>
      <c r="BS161" s="237">
        <f t="shared" si="384"/>
        <v>0</v>
      </c>
      <c r="BT161" s="452">
        <f t="shared" si="385"/>
        <v>18.16</v>
      </c>
      <c r="BU161" s="492">
        <f t="shared" si="386"/>
        <v>1.3449999999999998</v>
      </c>
      <c r="BV161" s="493">
        <f>IF(BT161="","",
IF(AND(BT161&gt;'Данные ТНПА'!$K$8,BT161&lt;='Данные ТНПА'!$L$8),'Данные ТНПА'!$N$8,
IF(AND(BT161&gt;'Данные ТНПА'!$K$9,BT161&lt;='Данные ТНПА'!$L$9),'Данные ТНПА'!$N$9,
IF(AND(BT161&gt;'Данные ТНПА'!$K$10,BT161&lt;='Данные ТНПА'!$L$10),'Данные ТНПА'!$N$10,
IF(AND(BT161&gt;'Данные ТНПА'!$K$11,BT161&lt;='Данные ТНПА'!$L$11),'Данные ТНПА'!$N$11,
IF(AND(BT161&gt;'Данные ТНПА'!$K$12,BT161&lt;='Данные ТНПА'!$L$12),'Данные ТНПА'!$N$12,
IF(AND(BT161&gt;'Данные ТНПА'!$K$13,BT161&lt;='Данные ТНПА'!$L$13),'Данные ТНПА'!$N$13,
IF(AND(BT161&gt;'Данные ТНПА'!$K$14,BT161&lt;='Данные ТНПА'!$L$14),'Данные ТНПА'!$N$14))))))))</f>
        <v>1.7</v>
      </c>
      <c r="BW161" s="493">
        <f t="shared" si="387"/>
        <v>21.56</v>
      </c>
      <c r="BX161" s="457">
        <f t="shared" si="293"/>
        <v>0</v>
      </c>
      <c r="BY161" s="457">
        <f t="shared" si="294"/>
        <v>626.65610000000004</v>
      </c>
      <c r="BZ161" s="457">
        <f t="shared" si="295"/>
        <v>80.171793801167595</v>
      </c>
      <c r="CA161" s="457" t="e">
        <f t="shared" si="388"/>
        <v>#REF!</v>
      </c>
      <c r="CB161" s="458">
        <f t="shared" si="389"/>
        <v>0</v>
      </c>
      <c r="CC161" s="457">
        <f t="shared" si="390"/>
        <v>0</v>
      </c>
      <c r="CD161" s="457">
        <f t="shared" si="391"/>
        <v>0</v>
      </c>
      <c r="CE161" s="457">
        <f t="shared" si="392"/>
        <v>0</v>
      </c>
      <c r="CF161" s="457">
        <f t="shared" si="393"/>
        <v>0</v>
      </c>
      <c r="CG161" s="458">
        <f t="shared" si="296"/>
        <v>0</v>
      </c>
      <c r="CH161" s="457">
        <f t="shared" si="394"/>
        <v>0</v>
      </c>
      <c r="CI161" s="457">
        <f t="shared" si="395"/>
        <v>0</v>
      </c>
      <c r="CJ161" s="458">
        <f t="shared" si="396"/>
        <v>0</v>
      </c>
      <c r="CK161" s="458">
        <f t="shared" si="297"/>
        <v>154.43275290424597</v>
      </c>
      <c r="CL161" s="457">
        <f t="shared" si="298"/>
        <v>861.26064670541359</v>
      </c>
      <c r="CM161" s="504"/>
      <c r="CN161" s="504"/>
    </row>
    <row r="162" spans="1:92" ht="14.25" hidden="1" customHeight="1" x14ac:dyDescent="0.25">
      <c r="A162" s="389" t="str">
        <f>IF(D162="",CONCATENATE("Кабель ",IF(C162="а","А",""),$A$9),CONCATENATE("Кабель ",IF(C162="а","А",""),$A$9," ",D162,"*",F162,IF(G162="ок"," (ож)","")," - ",B162," ",IF(G162="мс"," фас. ",""),$A$2))</f>
        <v>Кабель ВВГ 3*16 - 1 ГОСТ 16442-80</v>
      </c>
      <c r="B162" s="450">
        <v>1</v>
      </c>
      <c r="C162" s="451" t="s">
        <v>163</v>
      </c>
      <c r="D162" s="412">
        <v>3</v>
      </c>
      <c r="E162" s="413" t="s">
        <v>40</v>
      </c>
      <c r="F162" s="423">
        <v>16</v>
      </c>
      <c r="G162" s="414" t="str">
        <f>IF(I162=1,"ок","мк")</f>
        <v>мк</v>
      </c>
      <c r="H162" s="461">
        <v>1.77</v>
      </c>
      <c r="I162" s="476">
        <v>7</v>
      </c>
      <c r="J162" s="477" t="s">
        <v>40</v>
      </c>
      <c r="K162" s="470">
        <f>ROUNDUP(SQRT(F162/I162/PI()*4*1.07),2)</f>
        <v>1.77</v>
      </c>
      <c r="L162" s="501">
        <v>1.39</v>
      </c>
      <c r="M162" s="475"/>
      <c r="N162" s="475"/>
      <c r="O162" s="475"/>
      <c r="P162" s="475"/>
      <c r="Q162" s="483">
        <f t="shared" ref="Q162:Q185" si="398">0.9*R162-0.1</f>
        <v>0.8</v>
      </c>
      <c r="R162" s="484">
        <f>IF(B162=0.66,VLOOKUP(F162,'Данные ТНПА'!$B$8:$C$16,2,0),
IF(B162=1,VLOOKUP(F162,'Данные ТНПА'!$B$17:$C$37,2,0),"ошибка"))</f>
        <v>1</v>
      </c>
      <c r="S162" s="485">
        <f t="shared" si="283"/>
        <v>2.99</v>
      </c>
      <c r="T162" s="486"/>
      <c r="U162" s="487"/>
      <c r="V162" s="485">
        <f t="shared" si="284"/>
        <v>3.3899999999999997</v>
      </c>
      <c r="W162" s="486"/>
      <c r="X162" s="487"/>
      <c r="Y162" s="489">
        <f t="shared" si="285"/>
        <v>0</v>
      </c>
      <c r="Z162" s="491">
        <f t="shared" si="286"/>
        <v>7.2884999999999991</v>
      </c>
      <c r="AA162" s="237">
        <f t="shared" si="287"/>
        <v>0</v>
      </c>
      <c r="AB162" s="452">
        <f t="shared" ref="AB162:AB171" si="399">IF(Z162="","",Z162)</f>
        <v>7.2884999999999991</v>
      </c>
      <c r="AC162" s="201">
        <f t="shared" si="288"/>
        <v>0</v>
      </c>
      <c r="AD162" s="203">
        <f t="shared" ref="AD162:AD171" si="400">IF(AC162="","",IF(AC162&gt;0,IF(AND(Z162&gt;=10,Z162&lt;=20),0.035,IF(Z162&gt;20,0.05,"ошибка")),0))</f>
        <v>0</v>
      </c>
      <c r="AE162" s="37" t="str">
        <f t="shared" si="289"/>
        <v/>
      </c>
      <c r="AF162" s="202">
        <f t="shared" ref="AF162:AF171" si="401">IF(AC162="","",IF(AC162&gt;0,IF(AND(Z162&gt;=10,Z162&lt;=20),50,IF(Z162&gt;20,60,"ошибка")),0))</f>
        <v>0</v>
      </c>
      <c r="AG162" s="201">
        <f t="shared" ref="AG162:AG171" si="402">IF(AC162="","",IF(AC162&gt;0,IF(AND(Z162&gt;=10,Z162&lt;=13),40,IF(AND(Z162&gt;=13,Z162&lt;=16),30,IF(Z162&gt;16,25,"ошибка"))),0))</f>
        <v>0</v>
      </c>
      <c r="AH162" s="61">
        <f t="shared" si="290"/>
        <v>7.2884999999999991</v>
      </c>
      <c r="AI162" s="443">
        <f t="shared" si="397"/>
        <v>0</v>
      </c>
      <c r="AJ162" s="444">
        <f t="shared" si="353"/>
        <v>0</v>
      </c>
      <c r="AK162" s="445">
        <f t="shared" si="354"/>
        <v>0</v>
      </c>
      <c r="AL162" s="446">
        <f t="shared" si="355"/>
        <v>0</v>
      </c>
      <c r="AM162" s="447">
        <f t="shared" si="356"/>
        <v>0</v>
      </c>
      <c r="AN162" s="24">
        <f t="shared" si="357"/>
        <v>7.2884999999999991</v>
      </c>
      <c r="AO162" s="443">
        <f t="shared" si="291"/>
        <v>0</v>
      </c>
      <c r="AP162" s="444">
        <f t="shared" si="358"/>
        <v>0</v>
      </c>
      <c r="AQ162" s="445">
        <f t="shared" si="359"/>
        <v>0</v>
      </c>
      <c r="AR162" s="446">
        <f t="shared" si="360"/>
        <v>0</v>
      </c>
      <c r="AS162" s="447">
        <f t="shared" si="361"/>
        <v>0</v>
      </c>
      <c r="AT162" s="24">
        <f t="shared" si="362"/>
        <v>7.2884999999999991</v>
      </c>
      <c r="AU162" s="443">
        <f t="shared" si="292"/>
        <v>0</v>
      </c>
      <c r="AV162" s="444">
        <f t="shared" si="363"/>
        <v>0</v>
      </c>
      <c r="AW162" s="445">
        <f t="shared" si="364"/>
        <v>0</v>
      </c>
      <c r="AX162" s="446">
        <f t="shared" si="365"/>
        <v>0</v>
      </c>
      <c r="AY162" s="447">
        <f t="shared" si="366"/>
        <v>0</v>
      </c>
      <c r="AZ162" s="24">
        <f t="shared" si="367"/>
        <v>7.2884999999999991</v>
      </c>
      <c r="BA162" s="43">
        <f>IF(BB162=0,0,
IF(D162=1,
(IF(AND(AH162&gt;'Данные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"ошибка_1"))))))),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"ошибка_2"))))))))</f>
        <v>0</v>
      </c>
      <c r="BB162" s="43">
        <f>IF(OR($AI$9=0,AND(D162&gt;1,F162&gt;10)),0,
IF(D162=1,
(IF(AND(AH162&gt;'Данные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"ошибка_1"))))))),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IF(AND(AH162&gt;'Данные ТНПА'!#REF!,AH162&lt;='Данные ТНПА'!#REF!),'Данные ТНПА'!#REF!,
"ошибка_2"))))))))</f>
        <v>0</v>
      </c>
      <c r="BC162" s="43">
        <f t="shared" si="368"/>
        <v>7.2884999999999991</v>
      </c>
      <c r="BD162" s="237">
        <f t="shared" si="369"/>
        <v>0</v>
      </c>
      <c r="BE162" s="43">
        <f t="shared" si="370"/>
        <v>0</v>
      </c>
      <c r="BF162" s="201">
        <f t="shared" si="371"/>
        <v>0</v>
      </c>
      <c r="BG162" s="201">
        <f t="shared" si="372"/>
        <v>0</v>
      </c>
      <c r="BH162" s="61">
        <f t="shared" ref="BH162:BH231" si="403">IF(BC162="","",BC162+2*BD162*BE162*IF(BG162&lt;=25,1,IF(BG162&gt;33,2,1.5)))</f>
        <v>7.2884999999999991</v>
      </c>
      <c r="BI162" s="237">
        <f t="shared" si="374"/>
        <v>0</v>
      </c>
      <c r="BJ162" s="247">
        <f t="shared" si="375"/>
        <v>0</v>
      </c>
      <c r="BK162" s="431">
        <f t="shared" ref="BK162:BK171" si="404">IF(BJ162="","",IF(BJ162&lt;&gt;0,"×",0))</f>
        <v>0</v>
      </c>
      <c r="BL162" s="250">
        <f t="shared" ref="BL162:BL179" si="405">IF(BK162="","",
IF(BJ162&lt;&gt;0,
IF(AND(BC162&gt;7,BC162&lt;=10),15,
IF(AND(BC162&gt;10,BC162&lt;=13),20,
IF(AND(BC162&gt;13,BC162&lt;=21),30,
IF(AND(BC162&gt;21,BC162&lt;=31),40,
IF(AND(BC162&gt;31,BC162&lt;=70),50,
IF(AND(BC162&gt;70,BC162&lt;=80),60,
"ошибка")))))),0))</f>
        <v>0</v>
      </c>
      <c r="BM162" s="237">
        <f t="shared" si="378"/>
        <v>0</v>
      </c>
      <c r="BN162" s="452">
        <f t="shared" ref="BN162:BN231" si="406">IF(BH162="","",BH162+2*BI162*BJ162)</f>
        <v>7.2884999999999991</v>
      </c>
      <c r="BO162" s="237">
        <f t="shared" si="380"/>
        <v>0</v>
      </c>
      <c r="BP162" s="432">
        <f t="shared" si="381"/>
        <v>0</v>
      </c>
      <c r="BQ162" s="22" t="str">
        <f t="shared" ref="BQ162:BQ171" si="407">IF(BP162="","",IF(BP162&gt;0,"×",""))</f>
        <v/>
      </c>
      <c r="BR162" s="250">
        <f t="shared" ref="BR162:BR171" si="408">IF(BN162="","",IF(BO162=0,0,IF(BN162&lt;=19,30,IF(AND(BN162&gt;19,BN162&lt;=23),40,50))))</f>
        <v>0</v>
      </c>
      <c r="BS162" s="237">
        <f t="shared" si="384"/>
        <v>0</v>
      </c>
      <c r="BT162" s="452">
        <f t="shared" ref="BT162:BT171" si="409">IF(BN162="","",BN162+2*BO162*BP162*IF(BS162&lt;=25,1,IF(BS162&gt;33,2,1.5)))</f>
        <v>7.2884999999999991</v>
      </c>
      <c r="BU162" s="492">
        <f t="shared" ref="BU162:BU191" si="410">0.85*BV162-0.1</f>
        <v>1.1749999999999998</v>
      </c>
      <c r="BV162" s="493">
        <f>IF(BT162="","",
IF(AND(BT162&gt;'Данные ТНПА'!$K$8,BT162&lt;='Данные ТНПА'!$L$8),'Данные ТНПА'!$N$8,
IF(AND(BT162&gt;'Данные ТНПА'!$K$9,BT162&lt;='Данные ТНПА'!$L$9),'Данные ТНПА'!$N$9,
IF(AND(BT162&gt;'Данные ТНПА'!$K$10,BT162&lt;='Данные ТНПА'!$L$10),'Данные ТНПА'!$N$10,
IF(AND(BT162&gt;'Данные ТНПА'!$K$11,BT162&lt;='Данные ТНПА'!$L$11),'Данные ТНПА'!$N$11,
IF(AND(BT162&gt;'Данные ТНПА'!$K$12,BT162&lt;='Данные ТНПА'!$L$12),'Данные ТНПА'!$N$12,
IF(AND(BT162&gt;'Данные ТНПА'!$K$13,BT162&lt;='Данные ТНПА'!$L$13),'Данные ТНПА'!$N$13,
IF(AND(BT162&gt;'Данные ТНПА'!$K$14,BT162&lt;='Данные ТНПА'!$L$14),'Данные ТНПА'!$N$14))))))))</f>
        <v>1.5</v>
      </c>
      <c r="BW162" s="493">
        <f t="shared" si="387"/>
        <v>10.288499999999999</v>
      </c>
      <c r="BX162" s="457">
        <f t="shared" si="293"/>
        <v>0</v>
      </c>
      <c r="BY162" s="457">
        <f t="shared" si="294"/>
        <v>429.70704000000001</v>
      </c>
      <c r="BZ162" s="457">
        <f t="shared" si="295"/>
        <v>33.434588499884143</v>
      </c>
      <c r="CA162" s="457" t="e">
        <f t="shared" ref="CA162:CA173" si="411">PI()*POWER(Y162,2)/4*$CA$9</f>
        <v>#REF!</v>
      </c>
      <c r="CB162" s="458">
        <f t="shared" si="389"/>
        <v>0</v>
      </c>
      <c r="CC162" s="457">
        <f t="shared" si="390"/>
        <v>0</v>
      </c>
      <c r="CD162" s="457">
        <f t="shared" si="391"/>
        <v>0</v>
      </c>
      <c r="CE162" s="457">
        <f t="shared" si="392"/>
        <v>0</v>
      </c>
      <c r="CF162" s="457">
        <f t="shared" si="393"/>
        <v>0</v>
      </c>
      <c r="CG162" s="458">
        <f t="shared" si="296"/>
        <v>0</v>
      </c>
      <c r="CH162" s="457">
        <f t="shared" si="394"/>
        <v>0</v>
      </c>
      <c r="CI162" s="457">
        <f t="shared" si="395"/>
        <v>0</v>
      </c>
      <c r="CJ162" s="458">
        <f t="shared" si="396"/>
        <v>0</v>
      </c>
      <c r="CK162" s="458">
        <f t="shared" si="297"/>
        <v>60.299993286785373</v>
      </c>
      <c r="CL162" s="457">
        <f t="shared" si="298"/>
        <v>523.44162178666954</v>
      </c>
      <c r="CM162" s="504"/>
      <c r="CN162" s="504"/>
    </row>
    <row r="163" spans="1:92" ht="14.25" hidden="1" customHeight="1" x14ac:dyDescent="0.25">
      <c r="A163" s="389" t="str">
        <f>IF(D163="",CONCATENATE("Кабель ",IF(C163="а","А",""),$A$9),CONCATENATE("Кабель ",IF(C163="а","А",""),$A$9," ",D163,"*",F163,IF(G163="ок"," (ож)","")," - ",B163," ",IF(G163="мс"," фас. ",""),$A$2))</f>
        <v>Кабель ВВГ 3*25 - 1 ГОСТ 16442-80</v>
      </c>
      <c r="B163" s="450">
        <v>1</v>
      </c>
      <c r="C163" s="451" t="s">
        <v>163</v>
      </c>
      <c r="D163" s="412">
        <v>3</v>
      </c>
      <c r="E163" s="413" t="s">
        <v>40</v>
      </c>
      <c r="F163" s="423">
        <v>25</v>
      </c>
      <c r="G163" s="414" t="str">
        <f>IF(I163=1,"ок","мк")</f>
        <v>мк</v>
      </c>
      <c r="H163" s="461">
        <v>2.21</v>
      </c>
      <c r="I163" s="476">
        <v>7</v>
      </c>
      <c r="J163" s="477" t="s">
        <v>40</v>
      </c>
      <c r="K163" s="470">
        <f>ROUNDUP(SQRT(F163/I163/PI()*4*1.07),2)</f>
        <v>2.21</v>
      </c>
      <c r="L163" s="501">
        <v>1.79</v>
      </c>
      <c r="M163" s="475"/>
      <c r="N163" s="475"/>
      <c r="O163" s="475"/>
      <c r="P163" s="475"/>
      <c r="Q163" s="483">
        <f t="shared" si="398"/>
        <v>0.98000000000000009</v>
      </c>
      <c r="R163" s="484">
        <f>IF(B163=0.66,VLOOKUP(F163,'Данные ТНПА'!$B$8:$C$16,2,0),
IF(B163=1,VLOOKUP(F163,'Данные ТНПА'!$B$17:$C$37,2,0),"ошибка"))</f>
        <v>1.2</v>
      </c>
      <c r="S163" s="485">
        <f t="shared" si="283"/>
        <v>3.75</v>
      </c>
      <c r="T163" s="486"/>
      <c r="U163" s="487"/>
      <c r="V163" s="485">
        <f t="shared" si="284"/>
        <v>4.1899999999999995</v>
      </c>
      <c r="W163" s="486"/>
      <c r="X163" s="487"/>
      <c r="Y163" s="489">
        <f t="shared" si="285"/>
        <v>0</v>
      </c>
      <c r="Z163" s="491">
        <f t="shared" si="286"/>
        <v>9.008499999999998</v>
      </c>
      <c r="AA163" s="237">
        <f t="shared" si="287"/>
        <v>0</v>
      </c>
      <c r="AB163" s="452">
        <f t="shared" si="399"/>
        <v>9.008499999999998</v>
      </c>
      <c r="AC163" s="201">
        <f t="shared" si="288"/>
        <v>0</v>
      </c>
      <c r="AD163" s="203">
        <f t="shared" si="400"/>
        <v>0</v>
      </c>
      <c r="AE163" s="37" t="str">
        <f t="shared" si="289"/>
        <v/>
      </c>
      <c r="AF163" s="202">
        <f t="shared" si="401"/>
        <v>0</v>
      </c>
      <c r="AG163" s="201">
        <f t="shared" si="402"/>
        <v>0</v>
      </c>
      <c r="AH163" s="61">
        <f t="shared" si="290"/>
        <v>9.008499999999998</v>
      </c>
      <c r="AI163" s="443">
        <f t="shared" si="397"/>
        <v>0</v>
      </c>
      <c r="AJ163" s="444">
        <f t="shared" si="353"/>
        <v>0</v>
      </c>
      <c r="AK163" s="445">
        <f t="shared" si="354"/>
        <v>0</v>
      </c>
      <c r="AL163" s="446">
        <f t="shared" si="355"/>
        <v>0</v>
      </c>
      <c r="AM163" s="447">
        <f t="shared" si="356"/>
        <v>0</v>
      </c>
      <c r="AN163" s="24">
        <f t="shared" si="357"/>
        <v>9.008499999999998</v>
      </c>
      <c r="AO163" s="443">
        <f t="shared" si="291"/>
        <v>0</v>
      </c>
      <c r="AP163" s="444">
        <f t="shared" si="358"/>
        <v>0</v>
      </c>
      <c r="AQ163" s="445">
        <f t="shared" si="359"/>
        <v>0</v>
      </c>
      <c r="AR163" s="446">
        <f t="shared" si="360"/>
        <v>0</v>
      </c>
      <c r="AS163" s="447">
        <f t="shared" si="361"/>
        <v>0</v>
      </c>
      <c r="AT163" s="24">
        <f t="shared" si="362"/>
        <v>9.008499999999998</v>
      </c>
      <c r="AU163" s="443">
        <f t="shared" si="292"/>
        <v>0</v>
      </c>
      <c r="AV163" s="444">
        <f t="shared" si="363"/>
        <v>0</v>
      </c>
      <c r="AW163" s="445">
        <f t="shared" si="364"/>
        <v>0</v>
      </c>
      <c r="AX163" s="446">
        <f t="shared" si="365"/>
        <v>0</v>
      </c>
      <c r="AY163" s="447">
        <f t="shared" si="366"/>
        <v>0</v>
      </c>
      <c r="AZ163" s="24">
        <f t="shared" si="367"/>
        <v>9.008499999999998</v>
      </c>
      <c r="BA163" s="43">
        <f>IF(BB163=0,0,
IF(D163=1,
(IF(AND(AH163&gt;'Данные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"ошибка_1"))))))),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"ошибка_2"))))))))</f>
        <v>0</v>
      </c>
      <c r="BB163" s="43">
        <f>IF(OR($AI$9=0,AND(D163&gt;1,F163&gt;10)),0,
IF(D163=1,
(IF(AND(AH163&gt;'Данные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"ошибка_1"))))))),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IF(AND(AH163&gt;'Данные ТНПА'!#REF!,AH163&lt;='Данные ТНПА'!#REF!),'Данные ТНПА'!#REF!,
"ошибка_2"))))))))</f>
        <v>0</v>
      </c>
      <c r="BC163" s="43">
        <f t="shared" si="368"/>
        <v>9.008499999999998</v>
      </c>
      <c r="BD163" s="237">
        <f t="shared" si="369"/>
        <v>0</v>
      </c>
      <c r="BE163" s="43">
        <f t="shared" si="370"/>
        <v>0</v>
      </c>
      <c r="BF163" s="201">
        <f t="shared" si="371"/>
        <v>0</v>
      </c>
      <c r="BG163" s="201">
        <f t="shared" si="372"/>
        <v>0</v>
      </c>
      <c r="BH163" s="61">
        <f t="shared" si="403"/>
        <v>9.008499999999998</v>
      </c>
      <c r="BI163" s="237">
        <f t="shared" si="374"/>
        <v>0</v>
      </c>
      <c r="BJ163" s="247">
        <f t="shared" si="375"/>
        <v>0</v>
      </c>
      <c r="BK163" s="431">
        <f t="shared" si="404"/>
        <v>0</v>
      </c>
      <c r="BL163" s="250">
        <f t="shared" si="405"/>
        <v>0</v>
      </c>
      <c r="BM163" s="237">
        <f t="shared" si="378"/>
        <v>0</v>
      </c>
      <c r="BN163" s="452">
        <f t="shared" si="406"/>
        <v>9.008499999999998</v>
      </c>
      <c r="BO163" s="237">
        <f t="shared" si="380"/>
        <v>0</v>
      </c>
      <c r="BP163" s="432">
        <f t="shared" si="381"/>
        <v>0</v>
      </c>
      <c r="BQ163" s="22" t="str">
        <f t="shared" si="407"/>
        <v/>
      </c>
      <c r="BR163" s="250">
        <f t="shared" si="408"/>
        <v>0</v>
      </c>
      <c r="BS163" s="237">
        <f t="shared" si="384"/>
        <v>0</v>
      </c>
      <c r="BT163" s="452">
        <f t="shared" si="409"/>
        <v>9.008499999999998</v>
      </c>
      <c r="BU163" s="492">
        <f t="shared" si="410"/>
        <v>1.1749999999999998</v>
      </c>
      <c r="BV163" s="493">
        <f>IF(BT163="","",
IF(AND(BT163&gt;'Данные ТНПА'!$K$8,BT163&lt;='Данные ТНПА'!$L$8),'Данные ТНПА'!$N$8,
IF(AND(BT163&gt;'Данные ТНПА'!$K$9,BT163&lt;='Данные ТНПА'!$L$9),'Данные ТНПА'!$N$9,
IF(AND(BT163&gt;'Данные ТНПА'!$K$10,BT163&lt;='Данные ТНПА'!$L$10),'Данные ТНПА'!$N$10,
IF(AND(BT163&gt;'Данные ТНПА'!$K$11,BT163&lt;='Данные ТНПА'!$L$11),'Данные ТНПА'!$N$11,
IF(AND(BT163&gt;'Данные ТНПА'!$K$12,BT163&lt;='Данные ТНПА'!$L$12),'Данные ТНПА'!$N$12,
IF(AND(BT163&gt;'Данные ТНПА'!$K$13,BT163&lt;='Данные ТНПА'!$L$13),'Данные ТНПА'!$N$13,
IF(AND(BT163&gt;'Данные ТНПА'!$K$14,BT163&lt;='Данные ТНПА'!$L$14),'Данные ТНПА'!$N$14))))))))</f>
        <v>1.5</v>
      </c>
      <c r="BW163" s="493">
        <f t="shared" si="387"/>
        <v>12.008499999999998</v>
      </c>
      <c r="BX163" s="457">
        <f t="shared" si="293"/>
        <v>0</v>
      </c>
      <c r="BY163" s="457">
        <f t="shared" si="294"/>
        <v>671.41724999999997</v>
      </c>
      <c r="BZ163" s="457">
        <f t="shared" si="295"/>
        <v>50.193850852545751</v>
      </c>
      <c r="CA163" s="457" t="e">
        <f t="shared" si="411"/>
        <v>#REF!</v>
      </c>
      <c r="CB163" s="458">
        <f t="shared" si="389"/>
        <v>0</v>
      </c>
      <c r="CC163" s="457">
        <f t="shared" si="390"/>
        <v>0</v>
      </c>
      <c r="CD163" s="457">
        <f t="shared" si="391"/>
        <v>0</v>
      </c>
      <c r="CE163" s="457">
        <f t="shared" si="392"/>
        <v>0</v>
      </c>
      <c r="CF163" s="457">
        <f t="shared" si="393"/>
        <v>0</v>
      </c>
      <c r="CG163" s="458">
        <f t="shared" si="296"/>
        <v>0</v>
      </c>
      <c r="CH163" s="457">
        <f t="shared" si="394"/>
        <v>0</v>
      </c>
      <c r="CI163" s="457">
        <f t="shared" si="395"/>
        <v>0</v>
      </c>
      <c r="CJ163" s="458">
        <f t="shared" si="396"/>
        <v>0</v>
      </c>
      <c r="CK163" s="458">
        <f t="shared" si="297"/>
        <v>72.101323258142358</v>
      </c>
      <c r="CL163" s="457">
        <f t="shared" si="298"/>
        <v>793.71242411068806</v>
      </c>
      <c r="CM163" s="504"/>
      <c r="CN163" s="504"/>
    </row>
    <row r="164" spans="1:92" ht="14.25" hidden="1" customHeight="1" x14ac:dyDescent="0.25">
      <c r="A164" s="389" t="str">
        <f>IF(D164="",CONCATENATE("Кабель ",IF(C164="а","А",""),$A$9),CONCATENATE("Кабель ",IF(C164="а","А",""),$A$9," ",D164,"*",F164,IF(G164="ок"," (ож)","")," - ",B164," ",IF(G164="мс"," фас. ",""),$A$2))</f>
        <v>Кабель ВВГ 3*35 - 1 ГОСТ 16442-80</v>
      </c>
      <c r="B164" s="450">
        <v>1</v>
      </c>
      <c r="C164" s="451" t="s">
        <v>163</v>
      </c>
      <c r="D164" s="412">
        <v>3</v>
      </c>
      <c r="E164" s="413" t="s">
        <v>40</v>
      </c>
      <c r="F164" s="423">
        <v>35</v>
      </c>
      <c r="G164" s="414" t="str">
        <f>IF(I164=1,"ок","мк")</f>
        <v>мк</v>
      </c>
      <c r="H164" s="461">
        <v>2.61</v>
      </c>
      <c r="I164" s="476">
        <v>7</v>
      </c>
      <c r="J164" s="477" t="s">
        <v>40</v>
      </c>
      <c r="K164" s="470">
        <f>ROUNDUP(SQRT(F164/I164/PI()*4*1.07),2)</f>
        <v>2.61</v>
      </c>
      <c r="L164" s="501">
        <v>2.2599999999999998</v>
      </c>
      <c r="M164" s="475"/>
      <c r="N164" s="475"/>
      <c r="O164" s="475"/>
      <c r="P164" s="475"/>
      <c r="Q164" s="483">
        <f t="shared" si="398"/>
        <v>0.98000000000000009</v>
      </c>
      <c r="R164" s="484">
        <f>IF(B164=0.66,VLOOKUP(F164,'Данные ТНПА'!$B$8:$C$16,2,0),
IF(B164=1,VLOOKUP(F164,'Данные ТНПА'!$B$17:$C$37,2,0),"ошибка"))</f>
        <v>1.2</v>
      </c>
      <c r="S164" s="485">
        <f t="shared" si="283"/>
        <v>4.22</v>
      </c>
      <c r="T164" s="486"/>
      <c r="U164" s="487"/>
      <c r="V164" s="485">
        <f t="shared" si="284"/>
        <v>4.66</v>
      </c>
      <c r="W164" s="486"/>
      <c r="X164" s="487"/>
      <c r="Y164" s="489">
        <f t="shared" si="285"/>
        <v>0</v>
      </c>
      <c r="Z164" s="491">
        <f t="shared" si="286"/>
        <v>10.019</v>
      </c>
      <c r="AA164" s="237">
        <f t="shared" si="287"/>
        <v>0</v>
      </c>
      <c r="AB164" s="452">
        <f t="shared" si="399"/>
        <v>10.019</v>
      </c>
      <c r="AC164" s="201">
        <f t="shared" si="288"/>
        <v>0</v>
      </c>
      <c r="AD164" s="203">
        <f t="shared" si="400"/>
        <v>0</v>
      </c>
      <c r="AE164" s="37" t="str">
        <f t="shared" si="289"/>
        <v/>
      </c>
      <c r="AF164" s="202">
        <f t="shared" si="401"/>
        <v>0</v>
      </c>
      <c r="AG164" s="201">
        <f t="shared" si="402"/>
        <v>0</v>
      </c>
      <c r="AH164" s="61">
        <f t="shared" si="290"/>
        <v>10.019</v>
      </c>
      <c r="AI164" s="443">
        <f t="shared" si="397"/>
        <v>0</v>
      </c>
      <c r="AJ164" s="444">
        <f t="shared" si="353"/>
        <v>0</v>
      </c>
      <c r="AK164" s="445">
        <f t="shared" si="354"/>
        <v>0</v>
      </c>
      <c r="AL164" s="446">
        <f t="shared" si="355"/>
        <v>0</v>
      </c>
      <c r="AM164" s="447">
        <f t="shared" si="356"/>
        <v>0</v>
      </c>
      <c r="AN164" s="24">
        <f t="shared" si="357"/>
        <v>10.019</v>
      </c>
      <c r="AO164" s="443">
        <f t="shared" si="291"/>
        <v>0</v>
      </c>
      <c r="AP164" s="444">
        <f t="shared" si="358"/>
        <v>0</v>
      </c>
      <c r="AQ164" s="445">
        <f t="shared" si="359"/>
        <v>0</v>
      </c>
      <c r="AR164" s="446">
        <f t="shared" si="360"/>
        <v>0</v>
      </c>
      <c r="AS164" s="447">
        <f t="shared" si="361"/>
        <v>0</v>
      </c>
      <c r="AT164" s="24">
        <f t="shared" si="362"/>
        <v>10.019</v>
      </c>
      <c r="AU164" s="443">
        <f t="shared" si="292"/>
        <v>0</v>
      </c>
      <c r="AV164" s="444">
        <f t="shared" si="363"/>
        <v>0</v>
      </c>
      <c r="AW164" s="445">
        <f t="shared" si="364"/>
        <v>0</v>
      </c>
      <c r="AX164" s="446">
        <f t="shared" si="365"/>
        <v>0</v>
      </c>
      <c r="AY164" s="447">
        <f t="shared" si="366"/>
        <v>0</v>
      </c>
      <c r="AZ164" s="24">
        <f t="shared" si="367"/>
        <v>10.019</v>
      </c>
      <c r="BA164" s="43">
        <f>IF(BB164=0,0,
IF(D164=1,
(IF(AND(AH164&gt;'Данные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"ошибка_1"))))))),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"ошибка_2"))))))))</f>
        <v>0</v>
      </c>
      <c r="BB164" s="43">
        <f>IF(OR($AI$9=0,AND(D164&gt;1,F164&gt;10)),0,
IF(D164=1,
(IF(AND(AH164&gt;'Данные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"ошибка_1"))))))),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IF(AND(AH164&gt;'Данные ТНПА'!#REF!,AH164&lt;='Данные ТНПА'!#REF!),'Данные ТНПА'!#REF!,
"ошибка_2"))))))))</f>
        <v>0</v>
      </c>
      <c r="BC164" s="43">
        <f t="shared" si="368"/>
        <v>10.019</v>
      </c>
      <c r="BD164" s="237">
        <f t="shared" si="369"/>
        <v>0</v>
      </c>
      <c r="BE164" s="43">
        <f t="shared" si="370"/>
        <v>0</v>
      </c>
      <c r="BF164" s="201">
        <f t="shared" si="371"/>
        <v>0</v>
      </c>
      <c r="BG164" s="201">
        <f t="shared" si="372"/>
        <v>0</v>
      </c>
      <c r="BH164" s="61">
        <f t="shared" si="403"/>
        <v>10.019</v>
      </c>
      <c r="BI164" s="237">
        <f t="shared" si="374"/>
        <v>0</v>
      </c>
      <c r="BJ164" s="247">
        <f t="shared" si="375"/>
        <v>0</v>
      </c>
      <c r="BK164" s="431">
        <f t="shared" si="404"/>
        <v>0</v>
      </c>
      <c r="BL164" s="250">
        <f t="shared" si="405"/>
        <v>0</v>
      </c>
      <c r="BM164" s="237">
        <f t="shared" si="378"/>
        <v>0</v>
      </c>
      <c r="BN164" s="452">
        <f t="shared" si="406"/>
        <v>10.019</v>
      </c>
      <c r="BO164" s="237">
        <f t="shared" si="380"/>
        <v>0</v>
      </c>
      <c r="BP164" s="432">
        <f t="shared" si="381"/>
        <v>0</v>
      </c>
      <c r="BQ164" s="22" t="str">
        <f t="shared" si="407"/>
        <v/>
      </c>
      <c r="BR164" s="250">
        <f t="shared" si="408"/>
        <v>0</v>
      </c>
      <c r="BS164" s="237">
        <f t="shared" si="384"/>
        <v>0</v>
      </c>
      <c r="BT164" s="452">
        <f t="shared" si="409"/>
        <v>10.019</v>
      </c>
      <c r="BU164" s="492">
        <f t="shared" si="410"/>
        <v>1.1749999999999998</v>
      </c>
      <c r="BV164" s="493">
        <f>IF(BT164="","",
IF(AND(BT164&gt;'Данные ТНПА'!$K$8,BT164&lt;='Данные ТНПА'!$L$8),'Данные ТНПА'!$N$8,
IF(AND(BT164&gt;'Данные ТНПА'!$K$9,BT164&lt;='Данные ТНПА'!$L$9),'Данные ТНПА'!$N$9,
IF(AND(BT164&gt;'Данные ТНПА'!$K$10,BT164&lt;='Данные ТНПА'!$L$10),'Данные ТНПА'!$N$10,
IF(AND(BT164&gt;'Данные ТНПА'!$K$11,BT164&lt;='Данные ТНПА'!$L$11),'Данные ТНПА'!$N$11,
IF(AND(BT164&gt;'Данные ТНПА'!$K$12,BT164&lt;='Данные ТНПА'!$L$12),'Данные ТНПА'!$N$12,
IF(AND(BT164&gt;'Данные ТНПА'!$K$13,BT164&lt;='Данные ТНПА'!$L$13),'Данные ТНПА'!$N$13,
IF(AND(BT164&gt;'Данные ТНПА'!$K$14,BT164&lt;='Данные ТНПА'!$L$14),'Данные ТНПА'!$N$14))))))))</f>
        <v>1.5</v>
      </c>
      <c r="BW164" s="493">
        <f t="shared" si="387"/>
        <v>13.019</v>
      </c>
      <c r="BX164" s="457">
        <f t="shared" si="293"/>
        <v>0</v>
      </c>
      <c r="BY164" s="457">
        <f t="shared" si="294"/>
        <v>939.98415</v>
      </c>
      <c r="BZ164" s="457">
        <f t="shared" si="295"/>
        <v>58.083854163815467</v>
      </c>
      <c r="CA164" s="457" t="e">
        <f t="shared" si="411"/>
        <v>#REF!</v>
      </c>
      <c r="CB164" s="458">
        <f t="shared" si="389"/>
        <v>0</v>
      </c>
      <c r="CC164" s="457">
        <f t="shared" si="390"/>
        <v>0</v>
      </c>
      <c r="CD164" s="457">
        <f t="shared" si="391"/>
        <v>0</v>
      </c>
      <c r="CE164" s="457">
        <f t="shared" si="392"/>
        <v>0</v>
      </c>
      <c r="CF164" s="457">
        <f t="shared" si="393"/>
        <v>0</v>
      </c>
      <c r="CG164" s="458">
        <f t="shared" si="296"/>
        <v>0</v>
      </c>
      <c r="CH164" s="457">
        <f t="shared" si="394"/>
        <v>0</v>
      </c>
      <c r="CI164" s="457">
        <f t="shared" si="395"/>
        <v>0</v>
      </c>
      <c r="CJ164" s="458">
        <f t="shared" si="396"/>
        <v>0</v>
      </c>
      <c r="CK164" s="458">
        <f t="shared" si="297"/>
        <v>79.034604616314596</v>
      </c>
      <c r="CL164" s="457">
        <f t="shared" si="298"/>
        <v>1077.1026087801301</v>
      </c>
      <c r="CM164" s="504"/>
      <c r="CN164" s="504"/>
    </row>
    <row r="165" spans="1:92" ht="14.25" hidden="1" customHeight="1" x14ac:dyDescent="0.25">
      <c r="A165" s="389" t="str">
        <f>IF(D165="",CONCATENATE("Кабель ",IF(C165="а","А",""),$A$9),CONCATENATE("Кабель ",IF(C165="а","А",""),$A$9," ",D165,"*",F165,IF(G165="ок"," (ож)","")," - ",B165," ",IF(G165="мс"," фас. ",""),$A$2))</f>
        <v>Кабель ВВГ 3*50 - 1 ГОСТ 16442-80</v>
      </c>
      <c r="B165" s="450">
        <v>1</v>
      </c>
      <c r="C165" s="451" t="s">
        <v>163</v>
      </c>
      <c r="D165" s="412">
        <v>3</v>
      </c>
      <c r="E165" s="413" t="s">
        <v>40</v>
      </c>
      <c r="F165" s="423">
        <v>50</v>
      </c>
      <c r="G165" s="414" t="str">
        <f>IF(I165=1,"ок","мк")</f>
        <v>мк</v>
      </c>
      <c r="H165" s="461">
        <v>3.1199999999999997</v>
      </c>
      <c r="I165" s="476">
        <v>7</v>
      </c>
      <c r="J165" s="477" t="s">
        <v>40</v>
      </c>
      <c r="K165" s="470">
        <f>ROUNDUP(SQRT(F165/I165/PI()*4*1.07),2)</f>
        <v>3.1199999999999997</v>
      </c>
      <c r="L165" s="501">
        <v>2.7699999999999996</v>
      </c>
      <c r="M165" s="475"/>
      <c r="N165" s="475"/>
      <c r="O165" s="475"/>
      <c r="P165" s="475"/>
      <c r="Q165" s="483">
        <f t="shared" si="398"/>
        <v>1.1599999999999999</v>
      </c>
      <c r="R165" s="484">
        <f>IF(B165=0.66,VLOOKUP(F165,'Данные ТНПА'!$B$8:$C$16,2,0),
IF(B165=1,VLOOKUP(F165,'Данные ТНПА'!$B$17:$C$37,2,0),"ошибка"))</f>
        <v>1.4</v>
      </c>
      <c r="S165" s="485">
        <f t="shared" si="283"/>
        <v>5.09</v>
      </c>
      <c r="T165" s="486"/>
      <c r="U165" s="487"/>
      <c r="V165" s="485">
        <f t="shared" si="284"/>
        <v>5.5699999999999994</v>
      </c>
      <c r="W165" s="486"/>
      <c r="X165" s="487"/>
      <c r="Y165" s="489">
        <f t="shared" si="285"/>
        <v>0</v>
      </c>
      <c r="Z165" s="491">
        <f t="shared" si="286"/>
        <v>11.975499999999998</v>
      </c>
      <c r="AA165" s="237">
        <f t="shared" si="287"/>
        <v>0</v>
      </c>
      <c r="AB165" s="452">
        <f t="shared" si="399"/>
        <v>11.975499999999998</v>
      </c>
      <c r="AC165" s="201">
        <f t="shared" si="288"/>
        <v>0</v>
      </c>
      <c r="AD165" s="203">
        <f t="shared" si="400"/>
        <v>0</v>
      </c>
      <c r="AE165" s="37" t="str">
        <f t="shared" si="289"/>
        <v/>
      </c>
      <c r="AF165" s="202">
        <f t="shared" si="401"/>
        <v>0</v>
      </c>
      <c r="AG165" s="201">
        <f t="shared" si="402"/>
        <v>0</v>
      </c>
      <c r="AH165" s="61">
        <f t="shared" si="290"/>
        <v>11.975499999999998</v>
      </c>
      <c r="AI165" s="443">
        <f t="shared" si="397"/>
        <v>0</v>
      </c>
      <c r="AJ165" s="444">
        <f t="shared" si="353"/>
        <v>0</v>
      </c>
      <c r="AK165" s="445">
        <f t="shared" si="354"/>
        <v>0</v>
      </c>
      <c r="AL165" s="446">
        <f t="shared" si="355"/>
        <v>0</v>
      </c>
      <c r="AM165" s="447">
        <f t="shared" si="356"/>
        <v>0</v>
      </c>
      <c r="AN165" s="24">
        <f t="shared" si="357"/>
        <v>11.975499999999998</v>
      </c>
      <c r="AO165" s="443">
        <f t="shared" si="291"/>
        <v>0</v>
      </c>
      <c r="AP165" s="444">
        <f t="shared" si="358"/>
        <v>0</v>
      </c>
      <c r="AQ165" s="445">
        <f t="shared" si="359"/>
        <v>0</v>
      </c>
      <c r="AR165" s="446">
        <f t="shared" si="360"/>
        <v>0</v>
      </c>
      <c r="AS165" s="447">
        <f t="shared" si="361"/>
        <v>0</v>
      </c>
      <c r="AT165" s="24">
        <f t="shared" si="362"/>
        <v>11.975499999999998</v>
      </c>
      <c r="AU165" s="443">
        <f t="shared" si="292"/>
        <v>0</v>
      </c>
      <c r="AV165" s="444">
        <f t="shared" si="363"/>
        <v>0</v>
      </c>
      <c r="AW165" s="445">
        <f t="shared" si="364"/>
        <v>0</v>
      </c>
      <c r="AX165" s="446">
        <f t="shared" si="365"/>
        <v>0</v>
      </c>
      <c r="AY165" s="447">
        <f t="shared" si="366"/>
        <v>0</v>
      </c>
      <c r="AZ165" s="24">
        <f t="shared" si="367"/>
        <v>11.975499999999998</v>
      </c>
      <c r="BA165" s="43">
        <f>IF(BB165=0,0,
IF(D165=1,
(IF(AND(AH165&gt;'Данные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"ошибка_1"))))))),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"ошибка_2"))))))))</f>
        <v>0</v>
      </c>
      <c r="BB165" s="43">
        <f>IF(OR($AI$9=0,AND(D165&gt;1,F165&gt;10)),0,
IF(D165=1,
(IF(AND(AH165&gt;'Данные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"ошибка_1"))))))),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IF(AND(AH165&gt;'Данные ТНПА'!#REF!,AH165&lt;='Данные ТНПА'!#REF!),'Данные ТНПА'!#REF!,
"ошибка_2"))))))))</f>
        <v>0</v>
      </c>
      <c r="BC165" s="43">
        <f t="shared" si="368"/>
        <v>11.975499999999998</v>
      </c>
      <c r="BD165" s="237">
        <f t="shared" si="369"/>
        <v>0</v>
      </c>
      <c r="BE165" s="43">
        <f t="shared" si="370"/>
        <v>0</v>
      </c>
      <c r="BF165" s="201">
        <f t="shared" si="371"/>
        <v>0</v>
      </c>
      <c r="BG165" s="201">
        <f t="shared" si="372"/>
        <v>0</v>
      </c>
      <c r="BH165" s="61">
        <f t="shared" si="403"/>
        <v>11.975499999999998</v>
      </c>
      <c r="BI165" s="237">
        <f t="shared" si="374"/>
        <v>0</v>
      </c>
      <c r="BJ165" s="247">
        <f t="shared" si="375"/>
        <v>0</v>
      </c>
      <c r="BK165" s="431">
        <f t="shared" si="404"/>
        <v>0</v>
      </c>
      <c r="BL165" s="250">
        <f t="shared" si="405"/>
        <v>0</v>
      </c>
      <c r="BM165" s="237">
        <f t="shared" si="378"/>
        <v>0</v>
      </c>
      <c r="BN165" s="452">
        <f t="shared" si="406"/>
        <v>11.975499999999998</v>
      </c>
      <c r="BO165" s="237">
        <f t="shared" si="380"/>
        <v>0</v>
      </c>
      <c r="BP165" s="432">
        <f t="shared" si="381"/>
        <v>0</v>
      </c>
      <c r="BQ165" s="22" t="str">
        <f t="shared" si="407"/>
        <v/>
      </c>
      <c r="BR165" s="250">
        <f t="shared" si="408"/>
        <v>0</v>
      </c>
      <c r="BS165" s="237">
        <f t="shared" si="384"/>
        <v>0</v>
      </c>
      <c r="BT165" s="452">
        <f t="shared" si="409"/>
        <v>11.975499999999998</v>
      </c>
      <c r="BU165" s="492">
        <f t="shared" si="410"/>
        <v>1.1749999999999998</v>
      </c>
      <c r="BV165" s="493">
        <f>IF(BT165="","",
IF(AND(BT165&gt;'Данные ТНПА'!$K$8,BT165&lt;='Данные ТНПА'!$L$8),'Данные ТНПА'!$N$8,
IF(AND(BT165&gt;'Данные ТНПА'!$K$9,BT165&lt;='Данные ТНПА'!$L$9),'Данные ТНПА'!$N$9,
IF(AND(BT165&gt;'Данные ТНПА'!$K$10,BT165&lt;='Данные ТНПА'!$L$10),'Данные ТНПА'!$N$10,
IF(AND(BT165&gt;'Данные ТНПА'!$K$11,BT165&lt;='Данные ТНПА'!$L$11),'Данные ТНПА'!$N$11,
IF(AND(BT165&gt;'Данные ТНПА'!$K$12,BT165&lt;='Данные ТНПА'!$L$12),'Данные ТНПА'!$N$12,
IF(AND(BT165&gt;'Данные ТНПА'!$K$13,BT165&lt;='Данные ТНПА'!$L$13),'Данные ТНПА'!$N$13,
IF(AND(BT165&gt;'Данные ТНПА'!$K$14,BT165&lt;='Данные ТНПА'!$L$14),'Данные ТНПА'!$N$14))))))))</f>
        <v>1.5</v>
      </c>
      <c r="BW165" s="493">
        <f t="shared" si="387"/>
        <v>14.975499999999998</v>
      </c>
      <c r="BX165" s="457">
        <f t="shared" si="293"/>
        <v>0</v>
      </c>
      <c r="BY165" s="457">
        <f t="shared" si="294"/>
        <v>1342.8344999999999</v>
      </c>
      <c r="BZ165" s="457">
        <f t="shared" si="295"/>
        <v>81.66992789218564</v>
      </c>
      <c r="CA165" s="457" t="e">
        <f t="shared" si="411"/>
        <v>#REF!</v>
      </c>
      <c r="CB165" s="458">
        <f t="shared" si="389"/>
        <v>0</v>
      </c>
      <c r="CC165" s="457">
        <f t="shared" si="390"/>
        <v>0</v>
      </c>
      <c r="CD165" s="457">
        <f t="shared" si="391"/>
        <v>0</v>
      </c>
      <c r="CE165" s="457">
        <f t="shared" si="392"/>
        <v>0</v>
      </c>
      <c r="CF165" s="457">
        <f t="shared" si="393"/>
        <v>0</v>
      </c>
      <c r="CG165" s="458">
        <f t="shared" si="296"/>
        <v>0</v>
      </c>
      <c r="CH165" s="457">
        <f t="shared" si="394"/>
        <v>0</v>
      </c>
      <c r="CI165" s="457">
        <f t="shared" si="395"/>
        <v>0</v>
      </c>
      <c r="CJ165" s="458">
        <f t="shared" si="396"/>
        <v>0</v>
      </c>
      <c r="CK165" s="458">
        <f t="shared" si="297"/>
        <v>92.458617458733173</v>
      </c>
      <c r="CL165" s="457">
        <f t="shared" si="298"/>
        <v>1516.9630453509187</v>
      </c>
      <c r="CM165" s="504"/>
      <c r="CN165" s="504"/>
    </row>
    <row r="166" spans="1:92" ht="14.25" hidden="1" customHeight="1" x14ac:dyDescent="0.25">
      <c r="A166" s="389" t="str">
        <f>IF(D166="",CONCATENATE("Кабель ",IF(C166="а","А",""),$A$9),CONCATENATE("Кабель ",IF(C166="а","А",""),$A$9," ",D166,"*",F166,IF(G166="ок"," (ож)","")," - ",B166," ",IF(G166="мс"," фас. ",""),$A$2))</f>
        <v>Кабель ВВГ 3*1,5 (ож) - 1 ГОСТ 16442-80</v>
      </c>
      <c r="B166" s="450">
        <v>1</v>
      </c>
      <c r="C166" s="451" t="s">
        <v>163</v>
      </c>
      <c r="D166" s="412">
        <v>3</v>
      </c>
      <c r="E166" s="413" t="s">
        <v>40</v>
      </c>
      <c r="F166" s="423">
        <v>1.5</v>
      </c>
      <c r="G166" s="414" t="str">
        <f>IF(I166=1,"ок","мк")</f>
        <v>ок</v>
      </c>
      <c r="H166" s="461">
        <v>1.39</v>
      </c>
      <c r="I166" s="497">
        <v>1</v>
      </c>
      <c r="J166" s="498" t="s">
        <v>40</v>
      </c>
      <c r="K166" s="496">
        <f>ROUNDUP(SQRT(F166/PI()*4),2)</f>
        <v>1.39</v>
      </c>
      <c r="L166" s="501">
        <v>3.57</v>
      </c>
      <c r="M166" s="475"/>
      <c r="N166" s="475"/>
      <c r="O166" s="475"/>
      <c r="P166" s="475"/>
      <c r="Q166" s="483">
        <f t="shared" si="398"/>
        <v>0.62000000000000011</v>
      </c>
      <c r="R166" s="484">
        <f>IF(B166=0.66,VLOOKUP(F166,'Данные ТНПА'!$B$8:$C$16,2,0),
IF(B166=1,VLOOKUP(F166,'Данные ТНПА'!$B$17:$C$37,2,0),"ошибка"))</f>
        <v>0.8</v>
      </c>
      <c r="S166" s="485">
        <f t="shared" si="283"/>
        <v>2.63</v>
      </c>
      <c r="T166" s="486"/>
      <c r="U166" s="487"/>
      <c r="V166" s="485">
        <f t="shared" si="284"/>
        <v>2.99</v>
      </c>
      <c r="W166" s="486"/>
      <c r="X166" s="487"/>
      <c r="Y166" s="489">
        <f t="shared" si="285"/>
        <v>0</v>
      </c>
      <c r="Z166" s="491">
        <f t="shared" si="286"/>
        <v>6.4285000000000005</v>
      </c>
      <c r="AA166" s="237">
        <f t="shared" si="287"/>
        <v>0</v>
      </c>
      <c r="AB166" s="452">
        <f t="shared" si="399"/>
        <v>6.4285000000000005</v>
      </c>
      <c r="AC166" s="201">
        <f t="shared" si="288"/>
        <v>0</v>
      </c>
      <c r="AD166" s="203">
        <f t="shared" si="400"/>
        <v>0</v>
      </c>
      <c r="AE166" s="37" t="str">
        <f t="shared" si="289"/>
        <v/>
      </c>
      <c r="AF166" s="202">
        <f t="shared" si="401"/>
        <v>0</v>
      </c>
      <c r="AG166" s="201">
        <f t="shared" si="402"/>
        <v>0</v>
      </c>
      <c r="AH166" s="61">
        <f t="shared" si="290"/>
        <v>6.4285000000000005</v>
      </c>
      <c r="AI166" s="443">
        <f t="shared" si="397"/>
        <v>0</v>
      </c>
      <c r="AJ166" s="444">
        <f t="shared" si="353"/>
        <v>0</v>
      </c>
      <c r="AK166" s="445">
        <f t="shared" si="354"/>
        <v>0</v>
      </c>
      <c r="AL166" s="446">
        <f t="shared" si="355"/>
        <v>0</v>
      </c>
      <c r="AM166" s="447">
        <f t="shared" si="356"/>
        <v>0</v>
      </c>
      <c r="AN166" s="24">
        <f t="shared" si="357"/>
        <v>6.4285000000000005</v>
      </c>
      <c r="AO166" s="443">
        <f t="shared" si="291"/>
        <v>0</v>
      </c>
      <c r="AP166" s="444">
        <f t="shared" si="358"/>
        <v>0</v>
      </c>
      <c r="AQ166" s="445">
        <f t="shared" si="359"/>
        <v>0</v>
      </c>
      <c r="AR166" s="446">
        <f t="shared" si="360"/>
        <v>0</v>
      </c>
      <c r="AS166" s="447">
        <f t="shared" si="361"/>
        <v>0</v>
      </c>
      <c r="AT166" s="24">
        <f t="shared" si="362"/>
        <v>6.4285000000000005</v>
      </c>
      <c r="AU166" s="443">
        <f t="shared" si="292"/>
        <v>0</v>
      </c>
      <c r="AV166" s="444">
        <f t="shared" si="363"/>
        <v>0</v>
      </c>
      <c r="AW166" s="445">
        <f t="shared" si="364"/>
        <v>0</v>
      </c>
      <c r="AX166" s="446">
        <f t="shared" si="365"/>
        <v>0</v>
      </c>
      <c r="AY166" s="447">
        <f t="shared" si="366"/>
        <v>0</v>
      </c>
      <c r="AZ166" s="24">
        <f t="shared" si="367"/>
        <v>6.4285000000000005</v>
      </c>
      <c r="BA166" s="43">
        <f>IF(BB166=0,0,
IF(D166=1,
(IF(AND(AH166&gt;'Данные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"ошибка_1"))))))),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"ошибка_2"))))))))</f>
        <v>0</v>
      </c>
      <c r="BB166" s="43">
        <f>IF(OR($AI$9=0,AND(D166&gt;1,F166&gt;10)),0,
IF(D166=1,
(IF(AND(AH166&gt;'Данные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"ошибка_1"))))))),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IF(AND(AH166&gt;'Данные ТНПА'!#REF!,AH166&lt;='Данные ТНПА'!#REF!),'Данные ТНПА'!#REF!,
"ошибка_2"))))))))</f>
        <v>0</v>
      </c>
      <c r="BC166" s="43">
        <f t="shared" si="368"/>
        <v>6.4285000000000005</v>
      </c>
      <c r="BD166" s="237">
        <f t="shared" si="369"/>
        <v>0</v>
      </c>
      <c r="BE166" s="43">
        <f t="shared" si="370"/>
        <v>0</v>
      </c>
      <c r="BF166" s="201">
        <f t="shared" si="371"/>
        <v>0</v>
      </c>
      <c r="BG166" s="201">
        <f t="shared" si="372"/>
        <v>0</v>
      </c>
      <c r="BH166" s="61">
        <f t="shared" si="403"/>
        <v>6.4285000000000005</v>
      </c>
      <c r="BI166" s="237">
        <f t="shared" si="374"/>
        <v>0</v>
      </c>
      <c r="BJ166" s="247">
        <f t="shared" si="375"/>
        <v>0</v>
      </c>
      <c r="BK166" s="431">
        <f t="shared" si="404"/>
        <v>0</v>
      </c>
      <c r="BL166" s="250">
        <f t="shared" si="405"/>
        <v>0</v>
      </c>
      <c r="BM166" s="237">
        <f t="shared" si="378"/>
        <v>0</v>
      </c>
      <c r="BN166" s="452">
        <f t="shared" si="406"/>
        <v>6.4285000000000005</v>
      </c>
      <c r="BO166" s="237">
        <f t="shared" si="380"/>
        <v>0</v>
      </c>
      <c r="BP166" s="432">
        <f t="shared" si="381"/>
        <v>0</v>
      </c>
      <c r="BQ166" s="22" t="str">
        <f t="shared" si="407"/>
        <v/>
      </c>
      <c r="BR166" s="250">
        <f t="shared" si="408"/>
        <v>0</v>
      </c>
      <c r="BS166" s="237">
        <f t="shared" si="384"/>
        <v>0</v>
      </c>
      <c r="BT166" s="452">
        <f t="shared" si="409"/>
        <v>6.4285000000000005</v>
      </c>
      <c r="BU166" s="492">
        <f t="shared" si="410"/>
        <v>1.1749999999999998</v>
      </c>
      <c r="BV166" s="493">
        <f>IF(BT166="","",
IF(AND(BT166&gt;'Данные ТНПА'!$K$8,BT166&lt;='Данные ТНПА'!$L$8),'Данные ТНПА'!$N$8,
IF(AND(BT166&gt;'Данные ТНПА'!$K$9,BT166&lt;='Данные ТНПА'!$L$9),'Данные ТНПА'!$N$9,
IF(AND(BT166&gt;'Данные ТНПА'!$K$10,BT166&lt;='Данные ТНПА'!$L$10),'Данные ТНПА'!$N$10,
IF(AND(BT166&gt;'Данные ТНПА'!$K$11,BT166&lt;='Данные ТНПА'!$L$11),'Данные ТНПА'!$N$11,
IF(AND(BT166&gt;'Данные ТНПА'!$K$12,BT166&lt;='Данные ТНПА'!$L$12),'Данные ТНПА'!$N$12,
IF(AND(BT166&gt;'Данные ТНПА'!$K$13,BT166&lt;='Данные ТНПА'!$L$13),'Данные ТНПА'!$N$13,
IF(AND(BT166&gt;'Данные ТНПА'!$K$14,BT166&lt;='Данные ТНПА'!$L$14),'Данные ТНПА'!$N$14))))))))</f>
        <v>1.5</v>
      </c>
      <c r="BW166" s="493">
        <f t="shared" si="387"/>
        <v>9.4284999999999997</v>
      </c>
      <c r="BX166" s="457">
        <f t="shared" si="293"/>
        <v>0</v>
      </c>
      <c r="BY166" s="457">
        <f t="shared" si="294"/>
        <v>40.285035000000001</v>
      </c>
      <c r="BZ166" s="457">
        <f t="shared" si="295"/>
        <v>22.281247261999631</v>
      </c>
      <c r="CA166" s="457" t="e">
        <f t="shared" si="411"/>
        <v>#REF!</v>
      </c>
      <c r="CB166" s="458">
        <f t="shared" si="389"/>
        <v>0</v>
      </c>
      <c r="CC166" s="457">
        <f t="shared" si="390"/>
        <v>0</v>
      </c>
      <c r="CD166" s="457">
        <f t="shared" si="391"/>
        <v>0</v>
      </c>
      <c r="CE166" s="457">
        <f t="shared" si="392"/>
        <v>0</v>
      </c>
      <c r="CF166" s="457">
        <f t="shared" si="393"/>
        <v>0</v>
      </c>
      <c r="CG166" s="458">
        <f t="shared" si="296"/>
        <v>0</v>
      </c>
      <c r="CH166" s="457">
        <f t="shared" si="394"/>
        <v>0</v>
      </c>
      <c r="CI166" s="457">
        <f t="shared" si="395"/>
        <v>0</v>
      </c>
      <c r="CJ166" s="458">
        <f t="shared" si="396"/>
        <v>0</v>
      </c>
      <c r="CK166" s="458">
        <f t="shared" si="297"/>
        <v>54.399328301106898</v>
      </c>
      <c r="CL166" s="457">
        <f t="shared" si="298"/>
        <v>116.96561056310654</v>
      </c>
      <c r="CM166" s="504"/>
      <c r="CN166" s="504"/>
    </row>
    <row r="167" spans="1:92" ht="14.25" hidden="1" customHeight="1" x14ac:dyDescent="0.25">
      <c r="A167" s="389" t="str">
        <f>IF(D167="",CONCATENATE("Кабель ",IF(C167="а","А",""),$A$9),CONCATENATE("Кабель ",IF(C167="а","А",""),$A$9," ",D167,"*",F167,IF(G167="ок"," (ож)","")," - ",B167," ",IF(G167="мс"," фас. ",""),$A$2))</f>
        <v>Кабель ВВГ 3*2,5 (ож) - 1 ГОСТ 16442-80</v>
      </c>
      <c r="B167" s="450">
        <v>1</v>
      </c>
      <c r="C167" s="451" t="s">
        <v>163</v>
      </c>
      <c r="D167" s="412">
        <v>3</v>
      </c>
      <c r="E167" s="413" t="s">
        <v>40</v>
      </c>
      <c r="F167" s="423">
        <v>2.5</v>
      </c>
      <c r="G167" s="414" t="str">
        <f>IF(I167=1,"ок","мк")</f>
        <v>ок</v>
      </c>
      <c r="H167" s="461">
        <v>1.79</v>
      </c>
      <c r="I167" s="497">
        <v>1</v>
      </c>
      <c r="J167" s="498" t="s">
        <v>40</v>
      </c>
      <c r="K167" s="496">
        <f>ROUNDUP(SQRT(F167/PI()*4),2)</f>
        <v>1.79</v>
      </c>
      <c r="L167" s="501">
        <v>4.5199999999999996</v>
      </c>
      <c r="M167" s="475"/>
      <c r="N167" s="475"/>
      <c r="O167" s="475"/>
      <c r="P167" s="475"/>
      <c r="Q167" s="483">
        <f t="shared" si="398"/>
        <v>0.62000000000000011</v>
      </c>
      <c r="R167" s="484">
        <f>IF(B167=0.66,VLOOKUP(F167,'Данные ТНПА'!$B$8:$C$16,2,0),
IF(B167=1,VLOOKUP(F167,'Данные ТНПА'!$B$17:$C$37,2,0),"ошибка"))</f>
        <v>0.8</v>
      </c>
      <c r="S167" s="485">
        <f t="shared" si="283"/>
        <v>3.0300000000000002</v>
      </c>
      <c r="T167" s="486"/>
      <c r="U167" s="487"/>
      <c r="V167" s="485">
        <f t="shared" si="284"/>
        <v>3.39</v>
      </c>
      <c r="W167" s="486"/>
      <c r="X167" s="487"/>
      <c r="Y167" s="489">
        <f t="shared" si="285"/>
        <v>0</v>
      </c>
      <c r="Z167" s="491">
        <f t="shared" si="286"/>
        <v>7.2885</v>
      </c>
      <c r="AA167" s="237">
        <f t="shared" si="287"/>
        <v>0</v>
      </c>
      <c r="AB167" s="452">
        <f t="shared" si="399"/>
        <v>7.2885</v>
      </c>
      <c r="AC167" s="201">
        <f t="shared" si="288"/>
        <v>0</v>
      </c>
      <c r="AD167" s="203">
        <f t="shared" si="400"/>
        <v>0</v>
      </c>
      <c r="AE167" s="37" t="str">
        <f t="shared" si="289"/>
        <v/>
      </c>
      <c r="AF167" s="202">
        <f t="shared" si="401"/>
        <v>0</v>
      </c>
      <c r="AG167" s="201">
        <f t="shared" si="402"/>
        <v>0</v>
      </c>
      <c r="AH167" s="61">
        <f t="shared" si="290"/>
        <v>7.2885</v>
      </c>
      <c r="AI167" s="443">
        <f t="shared" si="397"/>
        <v>0</v>
      </c>
      <c r="AJ167" s="444">
        <f t="shared" si="353"/>
        <v>0</v>
      </c>
      <c r="AK167" s="445">
        <f t="shared" si="354"/>
        <v>0</v>
      </c>
      <c r="AL167" s="446">
        <f t="shared" si="355"/>
        <v>0</v>
      </c>
      <c r="AM167" s="447">
        <f t="shared" si="356"/>
        <v>0</v>
      </c>
      <c r="AN167" s="24">
        <f t="shared" si="357"/>
        <v>7.2885</v>
      </c>
      <c r="AO167" s="443">
        <f t="shared" si="291"/>
        <v>0</v>
      </c>
      <c r="AP167" s="444">
        <f t="shared" si="358"/>
        <v>0</v>
      </c>
      <c r="AQ167" s="445">
        <f t="shared" si="359"/>
        <v>0</v>
      </c>
      <c r="AR167" s="446">
        <f t="shared" si="360"/>
        <v>0</v>
      </c>
      <c r="AS167" s="447">
        <f t="shared" si="361"/>
        <v>0</v>
      </c>
      <c r="AT167" s="24">
        <f t="shared" si="362"/>
        <v>7.2885</v>
      </c>
      <c r="AU167" s="443">
        <f t="shared" si="292"/>
        <v>0</v>
      </c>
      <c r="AV167" s="444">
        <f t="shared" si="363"/>
        <v>0</v>
      </c>
      <c r="AW167" s="445">
        <f t="shared" si="364"/>
        <v>0</v>
      </c>
      <c r="AX167" s="446">
        <f t="shared" si="365"/>
        <v>0</v>
      </c>
      <c r="AY167" s="447">
        <f t="shared" si="366"/>
        <v>0</v>
      </c>
      <c r="AZ167" s="24">
        <f t="shared" si="367"/>
        <v>7.2885</v>
      </c>
      <c r="BA167" s="43">
        <f>IF(BB167=0,0,
IF(D167=1,
(IF(AND(AH167&gt;'Данные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"ошибка_1"))))))),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"ошибка_2"))))))))</f>
        <v>0</v>
      </c>
      <c r="BB167" s="43">
        <f>IF(OR($AI$9=0,AND(D167&gt;1,F167&gt;10)),0,
IF(D167=1,
(IF(AND(AH167&gt;'Данные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"ошибка_1"))))))),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IF(AND(AH167&gt;'Данные ТНПА'!#REF!,AH167&lt;='Данные ТНПА'!#REF!),'Данные ТНПА'!#REF!,
"ошибка_2"))))))))</f>
        <v>0</v>
      </c>
      <c r="BC167" s="43">
        <f t="shared" si="368"/>
        <v>7.2885</v>
      </c>
      <c r="BD167" s="237">
        <f t="shared" si="369"/>
        <v>0</v>
      </c>
      <c r="BE167" s="43">
        <f t="shared" si="370"/>
        <v>0</v>
      </c>
      <c r="BF167" s="201">
        <f t="shared" si="371"/>
        <v>0</v>
      </c>
      <c r="BG167" s="201">
        <f t="shared" si="372"/>
        <v>0</v>
      </c>
      <c r="BH167" s="61">
        <f t="shared" si="403"/>
        <v>7.2885</v>
      </c>
      <c r="BI167" s="237">
        <f t="shared" si="374"/>
        <v>0</v>
      </c>
      <c r="BJ167" s="247">
        <f t="shared" si="375"/>
        <v>0</v>
      </c>
      <c r="BK167" s="431">
        <f t="shared" si="404"/>
        <v>0</v>
      </c>
      <c r="BL167" s="250">
        <f t="shared" si="405"/>
        <v>0</v>
      </c>
      <c r="BM167" s="237">
        <f t="shared" si="378"/>
        <v>0</v>
      </c>
      <c r="BN167" s="452">
        <f t="shared" si="406"/>
        <v>7.2885</v>
      </c>
      <c r="BO167" s="237">
        <f t="shared" si="380"/>
        <v>0</v>
      </c>
      <c r="BP167" s="432">
        <f t="shared" si="381"/>
        <v>0</v>
      </c>
      <c r="BQ167" s="22" t="str">
        <f t="shared" si="407"/>
        <v/>
      </c>
      <c r="BR167" s="250">
        <f t="shared" si="408"/>
        <v>0</v>
      </c>
      <c r="BS167" s="237">
        <f t="shared" si="384"/>
        <v>0</v>
      </c>
      <c r="BT167" s="452">
        <f t="shared" si="409"/>
        <v>7.2885</v>
      </c>
      <c r="BU167" s="492">
        <f t="shared" si="410"/>
        <v>1.1749999999999998</v>
      </c>
      <c r="BV167" s="493">
        <f>IF(BT167="","",
IF(AND(BT167&gt;'Данные ТНПА'!$K$8,BT167&lt;='Данные ТНПА'!$L$8),'Данные ТНПА'!$N$8,
IF(AND(BT167&gt;'Данные ТНПА'!$K$9,BT167&lt;='Данные ТНПА'!$L$9),'Данные ТНПА'!$N$9,
IF(AND(BT167&gt;'Данные ТНПА'!$K$10,BT167&lt;='Данные ТНПА'!$L$10),'Данные ТНПА'!$N$10,
IF(AND(BT167&gt;'Данные ТНПА'!$K$11,BT167&lt;='Данные ТНПА'!$L$11),'Данные ТНПА'!$N$11,
IF(AND(BT167&gt;'Данные ТНПА'!$K$12,BT167&lt;='Данные ТНПА'!$L$12),'Данные ТНПА'!$N$12,
IF(AND(BT167&gt;'Данные ТНПА'!$K$13,BT167&lt;='Данные ТНПА'!$L$13),'Данные ТНПА'!$N$13,
IF(AND(BT167&gt;'Данные ТНПА'!$K$14,BT167&lt;='Данные ТНПА'!$L$14),'Данные ТНПА'!$N$14))))))))</f>
        <v>1.5</v>
      </c>
      <c r="BW167" s="493">
        <f t="shared" si="387"/>
        <v>10.288499999999999</v>
      </c>
      <c r="BX167" s="457">
        <f t="shared" si="293"/>
        <v>0</v>
      </c>
      <c r="BY167" s="457">
        <f t="shared" si="294"/>
        <v>67.141725000000008</v>
      </c>
      <c r="BZ167" s="457">
        <f t="shared" si="295"/>
        <v>26.350881465104585</v>
      </c>
      <c r="CA167" s="457" t="e">
        <f t="shared" si="411"/>
        <v>#REF!</v>
      </c>
      <c r="CB167" s="458">
        <f t="shared" si="389"/>
        <v>0</v>
      </c>
      <c r="CC167" s="457">
        <f t="shared" si="390"/>
        <v>0</v>
      </c>
      <c r="CD167" s="457">
        <f t="shared" si="391"/>
        <v>0</v>
      </c>
      <c r="CE167" s="457">
        <f t="shared" si="392"/>
        <v>0</v>
      </c>
      <c r="CF167" s="457">
        <f t="shared" si="393"/>
        <v>0</v>
      </c>
      <c r="CG167" s="458">
        <f t="shared" si="296"/>
        <v>0</v>
      </c>
      <c r="CH167" s="457">
        <f t="shared" si="394"/>
        <v>0</v>
      </c>
      <c r="CI167" s="457">
        <f t="shared" si="395"/>
        <v>0</v>
      </c>
      <c r="CJ167" s="458">
        <f t="shared" si="396"/>
        <v>0</v>
      </c>
      <c r="CK167" s="458">
        <f t="shared" si="297"/>
        <v>60.299993286785373</v>
      </c>
      <c r="CL167" s="457">
        <f t="shared" si="298"/>
        <v>153.79259975188995</v>
      </c>
      <c r="CM167" s="504"/>
      <c r="CN167" s="504"/>
    </row>
    <row r="168" spans="1:92" ht="14.25" hidden="1" customHeight="1" x14ac:dyDescent="0.25">
      <c r="A168" s="389" t="str">
        <f>IF(D168="",CONCATENATE("Кабель ",IF(C168="а","А",""),$A$9),CONCATENATE("Кабель ",IF(C168="а","А",""),$A$9," ",D168,"*",F168,IF(G168="ок"," (ож)","")," - ",B168," ",IF(G168="мс"," фас. ",""),$A$2))</f>
        <v>Кабель ВВГ 3*4 (ож) - 1 ГОСТ 16442-80</v>
      </c>
      <c r="B168" s="450">
        <v>1</v>
      </c>
      <c r="C168" s="451" t="s">
        <v>163</v>
      </c>
      <c r="D168" s="412">
        <v>3</v>
      </c>
      <c r="E168" s="413" t="s">
        <v>40</v>
      </c>
      <c r="F168" s="423">
        <v>4</v>
      </c>
      <c r="G168" s="414" t="str">
        <f>IF(I168=1,"ок","мк")</f>
        <v>ок</v>
      </c>
      <c r="H168" s="461">
        <v>2.2599999999999998</v>
      </c>
      <c r="I168" s="497">
        <v>1</v>
      </c>
      <c r="J168" s="498" t="s">
        <v>40</v>
      </c>
      <c r="K168" s="496">
        <f>ROUNDUP(SQRT(F168/PI()*4),2)</f>
        <v>2.2599999999999998</v>
      </c>
      <c r="L168" s="501">
        <v>4.79</v>
      </c>
      <c r="M168" s="475"/>
      <c r="N168" s="475"/>
      <c r="O168" s="475"/>
      <c r="P168" s="475"/>
      <c r="Q168" s="483">
        <f>0.9*R168-0.1</f>
        <v>0.8</v>
      </c>
      <c r="R168" s="484">
        <f>IF(B168=0.66,VLOOKUP(F168,'Данные ТНПА'!$B$8:$C$16,2,0),
IF(B168=1,VLOOKUP(F168,'Данные ТНПА'!$B$17:$C$37,2,0),"ошибка"))</f>
        <v>1</v>
      </c>
      <c r="S168" s="485">
        <f t="shared" si="283"/>
        <v>3.86</v>
      </c>
      <c r="T168" s="486"/>
      <c r="U168" s="487"/>
      <c r="V168" s="485">
        <f t="shared" si="284"/>
        <v>4.26</v>
      </c>
      <c r="W168" s="486"/>
      <c r="X168" s="487"/>
      <c r="Y168" s="489">
        <f t="shared" si="285"/>
        <v>0</v>
      </c>
      <c r="Z168" s="491">
        <f t="shared" si="286"/>
        <v>9.1589999999999989</v>
      </c>
      <c r="AA168" s="237">
        <f t="shared" si="287"/>
        <v>0</v>
      </c>
      <c r="AB168" s="452">
        <f>IF(Z168="","",Z168)</f>
        <v>9.1589999999999989</v>
      </c>
      <c r="AC168" s="201">
        <f t="shared" si="288"/>
        <v>0</v>
      </c>
      <c r="AD168" s="203">
        <f>IF(AC168="","",IF(AC168&gt;0,IF(AND(Z168&gt;=10,Z168&lt;=20),0.035,IF(Z168&gt;20,0.05,"ошибка")),0))</f>
        <v>0</v>
      </c>
      <c r="AE168" s="37" t="str">
        <f t="shared" si="289"/>
        <v/>
      </c>
      <c r="AF168" s="202">
        <f>IF(AC168="","",IF(AC168&gt;0,IF(AND(Z168&gt;=10,Z168&lt;=20),50,IF(Z168&gt;20,60,"ошибка")),0))</f>
        <v>0</v>
      </c>
      <c r="AG168" s="201">
        <f>IF(AC168="","",IF(AC168&gt;0,IF(AND(Z168&gt;=10,Z168&lt;=13),40,IF(AND(Z168&gt;=13,Z168&lt;=16),30,IF(Z168&gt;16,25,"ошибка"))),0))</f>
        <v>0</v>
      </c>
      <c r="AH168" s="61">
        <f t="shared" si="290"/>
        <v>9.1589999999999989</v>
      </c>
      <c r="AI168" s="443">
        <f t="shared" si="397"/>
        <v>0</v>
      </c>
      <c r="AJ168" s="444">
        <f>IF(AI168=0,0,$AJ$9)</f>
        <v>0</v>
      </c>
      <c r="AK168" s="445">
        <f>IF(AI168="","",IF(AI168=0,0,"×"))</f>
        <v>0</v>
      </c>
      <c r="AL168" s="446">
        <f>IF(AI168=0,0,$AL$9)</f>
        <v>0</v>
      </c>
      <c r="AM168" s="447">
        <f>IF(AI168=0,0,
IF(AND(AH168&gt;10,AH168&lt;=13),55,
IF(AND(AH168&gt;13,AH168&lt;=15),45,
IF(AND(AH168&gt;15,AH168&lt;=18),35,
IF(AND(AH168&gt;18,AH168&lt;=20),30,
IF(AH168&gt;20,15,
0))))))</f>
        <v>0</v>
      </c>
      <c r="AN168" s="24">
        <f>AH168+2*AI168*AJ168*(IF(AM168&lt;25,1,IF(AM168&gt;33,2,1.5)))</f>
        <v>9.1589999999999989</v>
      </c>
      <c r="AO168" s="443">
        <f t="shared" si="291"/>
        <v>0</v>
      </c>
      <c r="AP168" s="444">
        <f>IF(OR(AO168=0,AN168&gt;23),0,$AP$9)</f>
        <v>0</v>
      </c>
      <c r="AQ168" s="445">
        <f>IF(OR(AN168&gt;23,AO168=0),0,"×")</f>
        <v>0</v>
      </c>
      <c r="AR168" s="446">
        <f>IF(OR(AN168&gt;23,AO168=0),0,$AR$9)</f>
        <v>0</v>
      </c>
      <c r="AS168" s="447">
        <f>IF(AO168=0,0,
IF(AND(AH168&gt;10,AH168&lt;=13),55,
IF(AND(AH168&gt;13,AH168&lt;=15),45,
IF(AND(AH168&gt;15,AH168&lt;=18),35,
IF(AND(AH168&gt;18,AH168&lt;=20),30,
IF(AND(AH168&gt;20,AH168&lt;=23),15,
0))))))</f>
        <v>0</v>
      </c>
      <c r="AT168" s="24">
        <f>AN168+2*AO168*AP168*(IF(AS168&lt;25,1,IF(AS168&gt;33,2,1.5)))</f>
        <v>9.1589999999999989</v>
      </c>
      <c r="AU168" s="443">
        <f t="shared" si="292"/>
        <v>0</v>
      </c>
      <c r="AV168" s="444">
        <f>IF(OR(AU168=0,AN168&lt;=23),0,$AV$9)</f>
        <v>0</v>
      </c>
      <c r="AW168" s="445">
        <f>IF(OR(AN168&lt;=23,AU168=0),0,"×")</f>
        <v>0</v>
      </c>
      <c r="AX168" s="446">
        <f>IF(OR(AN168&lt;=23,AU168=0),0,$AX$9)</f>
        <v>0</v>
      </c>
      <c r="AY168" s="447">
        <f>IF(AU168=0,0,15)</f>
        <v>0</v>
      </c>
      <c r="AZ168" s="24">
        <f>AT168+2*AU168*AV168*(IF(AY168&lt;25,1,IF(AY168&gt;33,2,1.5)))</f>
        <v>9.1589999999999989</v>
      </c>
      <c r="BA168" s="43">
        <f>IF(BB168=0,0,
IF(D168=1,
(IF(AND(AH168&gt;'Данные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"ошибка_1"))))))),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"ошибка_2"))))))))</f>
        <v>0</v>
      </c>
      <c r="BB168" s="43">
        <f>IF(OR($AI$9=0,AND(D168&gt;1,F168&gt;10)),0,
IF(D168=1,
(IF(AND(AH168&gt;'Данные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"ошибка_1"))))))),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IF(AND(AH168&gt;'Данные ТНПА'!#REF!,AH168&lt;='Данные ТНПА'!#REF!),'Данные ТНПА'!#REF!,
"ошибка_2"))))))))</f>
        <v>0</v>
      </c>
      <c r="BC168" s="43">
        <f>AZ168+2*BB168</f>
        <v>9.1589999999999989</v>
      </c>
      <c r="BD168" s="237">
        <f>IF(BC168="","",
IF(BC168=0,0,$BD$9))</f>
        <v>0</v>
      </c>
      <c r="BE168" s="43">
        <f>IF(BC168="","",
IF(BC168=0,0,$BE$9))</f>
        <v>0</v>
      </c>
      <c r="BF168" s="201">
        <f>IF(BC168="","",
IF($BD$9=0,0,
IF(BC168&lt;=13,20,
IF(AND(BC168&gt;13,BC168&lt;=18),30,
IF(AND(BC168&gt;18,BC168&lt;=23),40,
IF(AND(BC168&gt;23,BC168&lt;=30),50,
60))))))</f>
        <v>0</v>
      </c>
      <c r="BG168" s="201">
        <f>IF(BC168="","",$BG$9)</f>
        <v>0</v>
      </c>
      <c r="BH168" s="61">
        <f>IF(BC168="","",BC168+2*BD168*BE168*IF(BG168&lt;=25,1,IF(BG168&gt;33,2,1.5)))</f>
        <v>9.1589999999999989</v>
      </c>
      <c r="BI168" s="237">
        <f>IF(BC168="","",$BI$9)</f>
        <v>0</v>
      </c>
      <c r="BJ168" s="247">
        <f>IF(BC168="","",$BJ$9)</f>
        <v>0</v>
      </c>
      <c r="BK168" s="431">
        <f>IF(BJ168="","",IF(BJ168&lt;&gt;0,"×",0))</f>
        <v>0</v>
      </c>
      <c r="BL168" s="250">
        <f>IF(BK168="","",
IF(BJ168&lt;&gt;0,
IF(AND(BC168&gt;7,BC168&lt;=10),15,
IF(AND(BC168&gt;10,BC168&lt;=13),20,
IF(AND(BC168&gt;13,BC168&lt;=21),30,
IF(AND(BC168&gt;21,BC168&lt;=31),40,
IF(AND(BC168&gt;31,BC168&lt;=70),50,
IF(AND(BC168&gt;70,BC168&lt;=80),60,
"ошибка")))))),0))</f>
        <v>0</v>
      </c>
      <c r="BM168" s="237">
        <f>IF(BL168="","",$BM$9)</f>
        <v>0</v>
      </c>
      <c r="BN168" s="452">
        <f>IF(BH168="","",BH168+2*BI168*BJ168)</f>
        <v>9.1589999999999989</v>
      </c>
      <c r="BO168" s="237">
        <f>IF(BN168="","",$BO$9)</f>
        <v>0</v>
      </c>
      <c r="BP168" s="432">
        <f>IF(BO168="","",IF(BO168&gt;0,$BP$9,0))</f>
        <v>0</v>
      </c>
      <c r="BQ168" s="22" t="str">
        <f>IF(BP168="","",IF(BP168&gt;0,"×",""))</f>
        <v/>
      </c>
      <c r="BR168" s="250">
        <f>IF(BN168="","",IF(BO168=0,0,IF(BN168&lt;=19,30,IF(AND(BN168&gt;19,BN168&lt;=23),40,50))))</f>
        <v>0</v>
      </c>
      <c r="BS168" s="237">
        <f>IF(BO168="","",IF(BO168=0,0,$BS$9))</f>
        <v>0</v>
      </c>
      <c r="BT168" s="452">
        <f>IF(BN168="","",BN168+2*BO168*BP168*IF(BS168&lt;=25,1,IF(BS168&gt;33,2,1.5)))</f>
        <v>9.1589999999999989</v>
      </c>
      <c r="BU168" s="492">
        <f>0.85*BV168-0.1</f>
        <v>1.1749999999999998</v>
      </c>
      <c r="BV168" s="493">
        <f>IF(BT168="","",
IF(AND(BT168&gt;'Данные ТНПА'!$K$8,BT168&lt;='Данные ТНПА'!$L$8),'Данные ТНПА'!$N$8,
IF(AND(BT168&gt;'Данные ТНПА'!$K$9,BT168&lt;='Данные ТНПА'!$L$9),'Данные ТНПА'!$N$9,
IF(AND(BT168&gt;'Данные ТНПА'!$K$10,BT168&lt;='Данные ТНПА'!$L$10),'Данные ТНПА'!$N$10,
IF(AND(BT168&gt;'Данные ТНПА'!$K$11,BT168&lt;='Данные ТНПА'!$L$11),'Данные ТНПА'!$N$11,
IF(AND(BT168&gt;'Данные ТНПА'!$K$12,BT168&lt;='Данные ТНПА'!$L$12),'Данные ТНПА'!$N$12,
IF(AND(BT168&gt;'Данные ТНПА'!$K$13,BT168&lt;='Данные ТНПА'!$L$13),'Данные ТНПА'!$N$13,
IF(AND(BT168&gt;'Данные ТНПА'!$K$14,BT168&lt;='Данные ТНПА'!$L$14),'Данные ТНПА'!$N$14))))))))</f>
        <v>1.5</v>
      </c>
      <c r="BW168" s="493">
        <f>BT168+2*BV168</f>
        <v>12.158999999999999</v>
      </c>
      <c r="BX168" s="457">
        <f t="shared" si="293"/>
        <v>0</v>
      </c>
      <c r="BY168" s="457">
        <f t="shared" si="294"/>
        <v>107.42676</v>
      </c>
      <c r="BZ168" s="457">
        <f t="shared" si="295"/>
        <v>41.459398444131722</v>
      </c>
      <c r="CA168" s="457" t="e">
        <f>PI()*POWER(Y168,2)/4*$CA$9</f>
        <v>#REF!</v>
      </c>
      <c r="CB168" s="458">
        <f>IF(AA168="","",
IF(AA168=2,SQRT((Z168*PI()/50)^2+1)*$CB$9*AA168,0))</f>
        <v>0</v>
      </c>
      <c r="CC168" s="457">
        <f>PI()*(Z168+AC168*AD168)*AC168*AD168*$CC$9*ROUND(100/(100-AG168),2)</f>
        <v>0</v>
      </c>
      <c r="CD168" s="457">
        <f>PI()*(AH168+AI168*AJ168)*AI168*AJ168*$CD$9*ROUND(100/(100-AM168),2)</f>
        <v>0</v>
      </c>
      <c r="CE168" s="457">
        <f>PI()*(AN168+AO168*AP168)*AO168*AP168*$CE$9*ROUND(100/(100-AS168),2)</f>
        <v>0</v>
      </c>
      <c r="CF168" s="457">
        <f>PI()*(AT168+AU168*AV168)*AU168*AV168*$CF$9*ROUND(100/(100-AY168),2)</f>
        <v>0</v>
      </c>
      <c r="CG168" s="458">
        <f t="shared" si="296"/>
        <v>0</v>
      </c>
      <c r="CH168" s="457">
        <f>IF(BE168="","",
IF(BD168=0,0,
PI()*(BC168+BD168*BE168)*BD168*BE168*$CH$9*ROUND(100/(100-BG168),2)))</f>
        <v>0</v>
      </c>
      <c r="CI168" s="457">
        <f>IF(BH168="","",
PI()*(BH168+BI168*BJ168)*BI168*BJ168*$CI$9*ROUND(100/(100+BM168),2))</f>
        <v>0</v>
      </c>
      <c r="CJ168" s="458">
        <f>IF(BO168="","",PI()*(BN168+BO168*BP168)*BO168*BP168*$CJ$9*ROUND(100/(100-BS168),2))</f>
        <v>0</v>
      </c>
      <c r="CK168" s="458">
        <f t="shared" si="297"/>
        <v>73.133939630636107</v>
      </c>
      <c r="CL168" s="457">
        <f t="shared" si="298"/>
        <v>222.02009807476782</v>
      </c>
      <c r="CM168" s="504"/>
      <c r="CN168" s="504"/>
    </row>
    <row r="169" spans="1:92" ht="14.25" hidden="1" customHeight="1" x14ac:dyDescent="0.25">
      <c r="A169" s="389" t="str">
        <f>IF(D169="",CONCATENATE("Кабель ",IF(C169="а","А",""),$A$9),CONCATENATE("Кабель ",IF(C169="а","А",""),$A$9," ",D169,"*",F169,IF(G169="ок"," (ож)","")," - ",B169," ",IF(G169="мс"," фас. ",""),$A$2))</f>
        <v>Кабель ВВГ 3*6 (ож) - 1 ГОСТ 16442-80</v>
      </c>
      <c r="B169" s="450">
        <v>1</v>
      </c>
      <c r="C169" s="451" t="s">
        <v>163</v>
      </c>
      <c r="D169" s="412">
        <v>3</v>
      </c>
      <c r="E169" s="413" t="s">
        <v>40</v>
      </c>
      <c r="F169" s="423">
        <v>6</v>
      </c>
      <c r="G169" s="414" t="str">
        <f>IF(I169=1,"ок","мк")</f>
        <v>ок</v>
      </c>
      <c r="H169" s="461">
        <v>2.7699999999999996</v>
      </c>
      <c r="I169" s="497">
        <v>1</v>
      </c>
      <c r="J169" s="498" t="s">
        <v>40</v>
      </c>
      <c r="K169" s="496">
        <f>ROUNDUP(SQRT(F169/PI()*4),2)</f>
        <v>2.7699999999999996</v>
      </c>
      <c r="L169" s="501">
        <v>5.6499999999999995</v>
      </c>
      <c r="M169" s="475"/>
      <c r="N169" s="475"/>
      <c r="O169" s="475"/>
      <c r="P169" s="475"/>
      <c r="Q169" s="483">
        <f t="shared" si="398"/>
        <v>0.8</v>
      </c>
      <c r="R169" s="484">
        <f>IF(B169=0.66,VLOOKUP(F169,'Данные ТНПА'!$B$8:$C$16,2,0),
IF(B169=1,VLOOKUP(F169,'Данные ТНПА'!$B$17:$C$37,2,0),"ошибка"))</f>
        <v>1</v>
      </c>
      <c r="S169" s="485">
        <f t="shared" si="283"/>
        <v>4.3699999999999992</v>
      </c>
      <c r="T169" s="486"/>
      <c r="U169" s="487"/>
      <c r="V169" s="485">
        <f t="shared" si="284"/>
        <v>4.7699999999999996</v>
      </c>
      <c r="W169" s="486"/>
      <c r="X169" s="487"/>
      <c r="Y169" s="489">
        <f t="shared" si="285"/>
        <v>0</v>
      </c>
      <c r="Z169" s="491">
        <f t="shared" si="286"/>
        <v>10.255499999999998</v>
      </c>
      <c r="AA169" s="237">
        <f t="shared" si="287"/>
        <v>0</v>
      </c>
      <c r="AB169" s="452">
        <f t="shared" si="399"/>
        <v>10.255499999999998</v>
      </c>
      <c r="AC169" s="201">
        <f t="shared" si="288"/>
        <v>0</v>
      </c>
      <c r="AD169" s="203">
        <f t="shared" si="400"/>
        <v>0</v>
      </c>
      <c r="AE169" s="37" t="str">
        <f t="shared" si="289"/>
        <v/>
      </c>
      <c r="AF169" s="202">
        <f t="shared" si="401"/>
        <v>0</v>
      </c>
      <c r="AG169" s="201">
        <f t="shared" si="402"/>
        <v>0</v>
      </c>
      <c r="AH169" s="61">
        <f t="shared" si="290"/>
        <v>10.255499999999998</v>
      </c>
      <c r="AI169" s="443">
        <f t="shared" si="397"/>
        <v>0</v>
      </c>
      <c r="AJ169" s="444">
        <f t="shared" si="353"/>
        <v>0</v>
      </c>
      <c r="AK169" s="445">
        <f t="shared" si="354"/>
        <v>0</v>
      </c>
      <c r="AL169" s="446">
        <f t="shared" si="355"/>
        <v>0</v>
      </c>
      <c r="AM169" s="447">
        <f t="shared" si="356"/>
        <v>0</v>
      </c>
      <c r="AN169" s="24">
        <f t="shared" si="357"/>
        <v>10.255499999999998</v>
      </c>
      <c r="AO169" s="443">
        <f t="shared" si="291"/>
        <v>0</v>
      </c>
      <c r="AP169" s="444">
        <f t="shared" si="358"/>
        <v>0</v>
      </c>
      <c r="AQ169" s="445">
        <f t="shared" si="359"/>
        <v>0</v>
      </c>
      <c r="AR169" s="446">
        <f t="shared" si="360"/>
        <v>0</v>
      </c>
      <c r="AS169" s="447">
        <f t="shared" si="361"/>
        <v>0</v>
      </c>
      <c r="AT169" s="24">
        <f t="shared" si="362"/>
        <v>10.255499999999998</v>
      </c>
      <c r="AU169" s="443">
        <f t="shared" si="292"/>
        <v>0</v>
      </c>
      <c r="AV169" s="444">
        <f t="shared" si="363"/>
        <v>0</v>
      </c>
      <c r="AW169" s="445">
        <f t="shared" si="364"/>
        <v>0</v>
      </c>
      <c r="AX169" s="446">
        <f t="shared" si="365"/>
        <v>0</v>
      </c>
      <c r="AY169" s="447">
        <f t="shared" si="366"/>
        <v>0</v>
      </c>
      <c r="AZ169" s="24">
        <f t="shared" si="367"/>
        <v>10.255499999999998</v>
      </c>
      <c r="BA169" s="43">
        <f>IF(BB169=0,0,
IF(D169=1,
(IF(AND(AH169&gt;'Данные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"ошибка_1"))))))),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"ошибка_2"))))))))</f>
        <v>0</v>
      </c>
      <c r="BB169" s="43">
        <f>IF(OR($AI$9=0,AND(D169&gt;1,F169&gt;10)),0,
IF(D169=1,
(IF(AND(AH169&gt;'Данные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"ошибка_1"))))))),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IF(AND(AH169&gt;'Данные ТНПА'!#REF!,AH169&lt;='Данные ТНПА'!#REF!),'Данные ТНПА'!#REF!,
"ошибка_2"))))))))</f>
        <v>0</v>
      </c>
      <c r="BC169" s="43">
        <f t="shared" si="368"/>
        <v>10.255499999999998</v>
      </c>
      <c r="BD169" s="237">
        <f t="shared" si="369"/>
        <v>0</v>
      </c>
      <c r="BE169" s="43">
        <f t="shared" si="370"/>
        <v>0</v>
      </c>
      <c r="BF169" s="201">
        <f t="shared" si="371"/>
        <v>0</v>
      </c>
      <c r="BG169" s="201">
        <f t="shared" si="372"/>
        <v>0</v>
      </c>
      <c r="BH169" s="61">
        <f t="shared" si="403"/>
        <v>10.255499999999998</v>
      </c>
      <c r="BI169" s="237">
        <f t="shared" si="374"/>
        <v>0</v>
      </c>
      <c r="BJ169" s="247">
        <f t="shared" si="375"/>
        <v>0</v>
      </c>
      <c r="BK169" s="431">
        <f t="shared" si="404"/>
        <v>0</v>
      </c>
      <c r="BL169" s="250">
        <f t="shared" si="405"/>
        <v>0</v>
      </c>
      <c r="BM169" s="237">
        <f t="shared" si="378"/>
        <v>0</v>
      </c>
      <c r="BN169" s="452">
        <f t="shared" si="406"/>
        <v>10.255499999999998</v>
      </c>
      <c r="BO169" s="237">
        <f t="shared" si="380"/>
        <v>0</v>
      </c>
      <c r="BP169" s="432">
        <f t="shared" si="381"/>
        <v>0</v>
      </c>
      <c r="BQ169" s="22" t="str">
        <f t="shared" si="407"/>
        <v/>
      </c>
      <c r="BR169" s="250">
        <f t="shared" si="408"/>
        <v>0</v>
      </c>
      <c r="BS169" s="237">
        <f t="shared" si="384"/>
        <v>0</v>
      </c>
      <c r="BT169" s="452">
        <f t="shared" si="409"/>
        <v>10.255499999999998</v>
      </c>
      <c r="BU169" s="492">
        <f t="shared" si="410"/>
        <v>1.1749999999999998</v>
      </c>
      <c r="BV169" s="493">
        <f>IF(BT169="","",
IF(AND(BT169&gt;'Данные ТНПА'!$K$8,BT169&lt;='Данные ТНПА'!$L$8),'Данные ТНПА'!$N$8,
IF(AND(BT169&gt;'Данные ТНПА'!$K$9,BT169&lt;='Данные ТНПА'!$L$9),'Данные ТНПА'!$N$9,
IF(AND(BT169&gt;'Данные ТНПА'!$K$10,BT169&lt;='Данные ТНПА'!$L$10),'Данные ТНПА'!$N$10,
IF(AND(BT169&gt;'Данные ТНПА'!$K$11,BT169&lt;='Данные ТНПА'!$L$11),'Данные ТНПА'!$N$11,
IF(AND(BT169&gt;'Данные ТНПА'!$K$12,BT169&lt;='Данные ТНПА'!$L$12),'Данные ТНПА'!$N$12,
IF(AND(BT169&gt;'Данные ТНПА'!$K$13,BT169&lt;='Данные ТНПА'!$L$13),'Данные ТНПА'!$N$13,
IF(AND(BT169&gt;'Данные ТНПА'!$K$14,BT169&lt;='Данные ТНПА'!$L$14),'Данные ТНПА'!$N$14))))))))</f>
        <v>1.5</v>
      </c>
      <c r="BW169" s="493">
        <f t="shared" si="387"/>
        <v>13.255499999999998</v>
      </c>
      <c r="BX169" s="457">
        <f t="shared" si="293"/>
        <v>0</v>
      </c>
      <c r="BY169" s="457">
        <f t="shared" si="294"/>
        <v>161.14014</v>
      </c>
      <c r="BZ169" s="457">
        <f t="shared" si="295"/>
        <v>47.945377955330244</v>
      </c>
      <c r="CA169" s="457" t="e">
        <f t="shared" si="411"/>
        <v>#REF!</v>
      </c>
      <c r="CB169" s="458">
        <f t="shared" si="389"/>
        <v>0</v>
      </c>
      <c r="CC169" s="457">
        <f t="shared" si="390"/>
        <v>0</v>
      </c>
      <c r="CD169" s="457">
        <f t="shared" si="391"/>
        <v>0</v>
      </c>
      <c r="CE169" s="457">
        <f t="shared" si="392"/>
        <v>0</v>
      </c>
      <c r="CF169" s="457">
        <f t="shared" si="393"/>
        <v>0</v>
      </c>
      <c r="CG169" s="458">
        <f t="shared" si="296"/>
        <v>0</v>
      </c>
      <c r="CH169" s="457">
        <f t="shared" si="394"/>
        <v>0</v>
      </c>
      <c r="CI169" s="457">
        <f t="shared" si="395"/>
        <v>0</v>
      </c>
      <c r="CJ169" s="458">
        <f t="shared" si="396"/>
        <v>0</v>
      </c>
      <c r="CK169" s="458">
        <f t="shared" si="297"/>
        <v>80.657287487376166</v>
      </c>
      <c r="CL169" s="457">
        <f t="shared" si="298"/>
        <v>289.74280544270641</v>
      </c>
      <c r="CM169" s="504"/>
      <c r="CN169" s="504"/>
    </row>
    <row r="170" spans="1:92" ht="14.25" hidden="1" customHeight="1" x14ac:dyDescent="0.25">
      <c r="A170" s="389" t="str">
        <f>IF(D170="",CONCATENATE("Кабель ",IF(C170="а","А",""),$A$9),CONCATENATE("Кабель ",IF(C170="а","А",""),$A$9," ",D170,"*",F170,IF(G170="ок"," (ож)","")," - ",B170," ",IF(G170="мс"," фас. ",""),$A$2))</f>
        <v>Кабель ВВГ 3*10 (ож) - 1 ГОСТ 16442-80</v>
      </c>
      <c r="B170" s="450">
        <v>1</v>
      </c>
      <c r="C170" s="451" t="s">
        <v>163</v>
      </c>
      <c r="D170" s="412">
        <v>3</v>
      </c>
      <c r="E170" s="413" t="s">
        <v>40</v>
      </c>
      <c r="F170" s="423">
        <v>10</v>
      </c>
      <c r="G170" s="414" t="str">
        <f>IF(I170=1,"ок","мк")</f>
        <v>ок</v>
      </c>
      <c r="H170" s="461">
        <v>3.57</v>
      </c>
      <c r="I170" s="497">
        <v>1</v>
      </c>
      <c r="J170" s="498" t="s">
        <v>40</v>
      </c>
      <c r="K170" s="496">
        <f>ROUNDUP(SQRT(F170/PI()*4),2)</f>
        <v>3.57</v>
      </c>
      <c r="L170" s="501">
        <v>5.99</v>
      </c>
      <c r="M170" s="475"/>
      <c r="N170" s="475"/>
      <c r="O170" s="475"/>
      <c r="P170" s="475"/>
      <c r="Q170" s="483">
        <f>0.9*R170-0.1</f>
        <v>0.8</v>
      </c>
      <c r="R170" s="484">
        <f>IF(B170=0.66,VLOOKUP(F170,'Данные ТНПА'!$B$8:$C$16,2,0),
IF(B170=1,VLOOKUP(F170,'Данные ТНПА'!$B$17:$C$37,2,0),"ошибка"))</f>
        <v>1</v>
      </c>
      <c r="S170" s="485">
        <f t="shared" si="283"/>
        <v>5.17</v>
      </c>
      <c r="T170" s="486"/>
      <c r="U170" s="487"/>
      <c r="V170" s="485">
        <f t="shared" si="284"/>
        <v>5.57</v>
      </c>
      <c r="W170" s="486"/>
      <c r="X170" s="487"/>
      <c r="Y170" s="489">
        <f t="shared" si="285"/>
        <v>0</v>
      </c>
      <c r="Z170" s="491">
        <f t="shared" si="286"/>
        <v>11.9755</v>
      </c>
      <c r="AA170" s="237">
        <f t="shared" si="287"/>
        <v>0</v>
      </c>
      <c r="AB170" s="452">
        <f>IF(Z170="","",Z170)</f>
        <v>11.9755</v>
      </c>
      <c r="AC170" s="201">
        <f t="shared" si="288"/>
        <v>0</v>
      </c>
      <c r="AD170" s="203">
        <f>IF(AC170="","",IF(AC170&gt;0,IF(AND(Z170&gt;=10,Z170&lt;=20),0.035,IF(Z170&gt;20,0.05,"ошибка")),0))</f>
        <v>0</v>
      </c>
      <c r="AE170" s="37" t="str">
        <f t="shared" si="289"/>
        <v/>
      </c>
      <c r="AF170" s="202">
        <f>IF(AC170="","",IF(AC170&gt;0,IF(AND(Z170&gt;=10,Z170&lt;=20),50,IF(Z170&gt;20,60,"ошибка")),0))</f>
        <v>0</v>
      </c>
      <c r="AG170" s="201">
        <f>IF(AC170="","",IF(AC170&gt;0,IF(AND(Z170&gt;=10,Z170&lt;=13),40,IF(AND(Z170&gt;=13,Z170&lt;=16),30,IF(Z170&gt;16,25,"ошибка"))),0))</f>
        <v>0</v>
      </c>
      <c r="AH170" s="61">
        <f t="shared" si="290"/>
        <v>11.9755</v>
      </c>
      <c r="AI170" s="443">
        <f t="shared" si="397"/>
        <v>0</v>
      </c>
      <c r="AJ170" s="444">
        <f>IF(AI170=0,0,$AJ$9)</f>
        <v>0</v>
      </c>
      <c r="AK170" s="445">
        <f>IF(AI170="","",IF(AI170=0,0,"×"))</f>
        <v>0</v>
      </c>
      <c r="AL170" s="446">
        <f>IF(AI170=0,0,$AL$9)</f>
        <v>0</v>
      </c>
      <c r="AM170" s="447">
        <f>IF(AI170=0,0,
IF(AND(AH170&gt;10,AH170&lt;=13),55,
IF(AND(AH170&gt;13,AH170&lt;=15),45,
IF(AND(AH170&gt;15,AH170&lt;=18),35,
IF(AND(AH170&gt;18,AH170&lt;=20),30,
IF(AH170&gt;20,15,
0))))))</f>
        <v>0</v>
      </c>
      <c r="AN170" s="24">
        <f>AH170+2*AI170*AJ170*(IF(AM170&lt;25,1,IF(AM170&gt;33,2,1.5)))</f>
        <v>11.9755</v>
      </c>
      <c r="AO170" s="443">
        <f t="shared" si="291"/>
        <v>0</v>
      </c>
      <c r="AP170" s="444">
        <f>IF(OR(AO170=0,AN170&gt;23),0,$AP$9)</f>
        <v>0</v>
      </c>
      <c r="AQ170" s="445">
        <f>IF(OR(AN170&gt;23,AO170=0),0,"×")</f>
        <v>0</v>
      </c>
      <c r="AR170" s="446">
        <f>IF(OR(AN170&gt;23,AO170=0),0,$AR$9)</f>
        <v>0</v>
      </c>
      <c r="AS170" s="447">
        <f>IF(AO170=0,0,
IF(AND(AH170&gt;10,AH170&lt;=13),55,
IF(AND(AH170&gt;13,AH170&lt;=15),45,
IF(AND(AH170&gt;15,AH170&lt;=18),35,
IF(AND(AH170&gt;18,AH170&lt;=20),30,
IF(AND(AH170&gt;20,AH170&lt;=23),15,
0))))))</f>
        <v>0</v>
      </c>
      <c r="AT170" s="24">
        <f>AN170+2*AO170*AP170*(IF(AS170&lt;25,1,IF(AS170&gt;33,2,1.5)))</f>
        <v>11.9755</v>
      </c>
      <c r="AU170" s="443">
        <f t="shared" si="292"/>
        <v>0</v>
      </c>
      <c r="AV170" s="444">
        <f>IF(OR(AU170=0,AN170&lt;=23),0,$AV$9)</f>
        <v>0</v>
      </c>
      <c r="AW170" s="445">
        <f>IF(OR(AN170&lt;=23,AU170=0),0,"×")</f>
        <v>0</v>
      </c>
      <c r="AX170" s="446">
        <f>IF(OR(AN170&lt;=23,AU170=0),0,$AX$9)</f>
        <v>0</v>
      </c>
      <c r="AY170" s="447">
        <f>IF(AU170=0,0,15)</f>
        <v>0</v>
      </c>
      <c r="AZ170" s="24">
        <f>AT170+2*AU170*AV170*(IF(AY170&lt;25,1,IF(AY170&gt;33,2,1.5)))</f>
        <v>11.9755</v>
      </c>
      <c r="BA170" s="43">
        <f>IF(BB170=0,0,
IF(D170=1,
(IF(AND(AH170&gt;'Данные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"ошибка_1"))))))),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"ошибка_2"))))))))</f>
        <v>0</v>
      </c>
      <c r="BB170" s="43">
        <f>IF(OR($AI$9=0,AND(D170&gt;1,F170&gt;10)),0,
IF(D170=1,
(IF(AND(AH170&gt;'Данные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"ошибка_1"))))))),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IF(AND(AH170&gt;'Данные ТНПА'!#REF!,AH170&lt;='Данные ТНПА'!#REF!),'Данные ТНПА'!#REF!,
"ошибка_2"))))))))</f>
        <v>0</v>
      </c>
      <c r="BC170" s="43">
        <f>AZ170+2*BB170</f>
        <v>11.9755</v>
      </c>
      <c r="BD170" s="237">
        <f>IF(BC170="","",
IF(BC170=0,0,$BD$9))</f>
        <v>0</v>
      </c>
      <c r="BE170" s="43">
        <f>IF(BC170="","",
IF(BC170=0,0,$BE$9))</f>
        <v>0</v>
      </c>
      <c r="BF170" s="201">
        <f>IF(BC170="","",
IF($BD$9=0,0,
IF(BC170&lt;=13,20,
IF(AND(BC170&gt;13,BC170&lt;=18),30,
IF(AND(BC170&gt;18,BC170&lt;=23),40,
IF(AND(BC170&gt;23,BC170&lt;=30),50,
60))))))</f>
        <v>0</v>
      </c>
      <c r="BG170" s="201">
        <f>IF(BC170="","",$BG$9)</f>
        <v>0</v>
      </c>
      <c r="BH170" s="61">
        <f>IF(BC170="","",BC170+2*BD170*BE170*IF(BG170&lt;=25,1,IF(BG170&gt;33,2,1.5)))</f>
        <v>11.9755</v>
      </c>
      <c r="BI170" s="237">
        <f>IF(BC170="","",$BI$9)</f>
        <v>0</v>
      </c>
      <c r="BJ170" s="247">
        <f>IF(BC170="","",$BJ$9)</f>
        <v>0</v>
      </c>
      <c r="BK170" s="431">
        <f>IF(BJ170="","",IF(BJ170&lt;&gt;0,"×",0))</f>
        <v>0</v>
      </c>
      <c r="BL170" s="250">
        <f>IF(BK170="","",
IF(BJ170&lt;&gt;0,
IF(AND(BC170&gt;7,BC170&lt;=10),15,
IF(AND(BC170&gt;10,BC170&lt;=13),20,
IF(AND(BC170&gt;13,BC170&lt;=21),30,
IF(AND(BC170&gt;21,BC170&lt;=31),40,
IF(AND(BC170&gt;31,BC170&lt;=70),50,
IF(AND(BC170&gt;70,BC170&lt;=80),60,
"ошибка")))))),0))</f>
        <v>0</v>
      </c>
      <c r="BM170" s="237">
        <f>IF(BL170="","",$BM$9)</f>
        <v>0</v>
      </c>
      <c r="BN170" s="452">
        <f>IF(BH170="","",BH170+2*BI170*BJ170)</f>
        <v>11.9755</v>
      </c>
      <c r="BO170" s="237">
        <f>IF(BN170="","",$BO$9)</f>
        <v>0</v>
      </c>
      <c r="BP170" s="432">
        <f>IF(BO170="","",IF(BO170&gt;0,$BP$9,0))</f>
        <v>0</v>
      </c>
      <c r="BQ170" s="22" t="str">
        <f>IF(BP170="","",IF(BP170&gt;0,"×",""))</f>
        <v/>
      </c>
      <c r="BR170" s="250">
        <f>IF(BN170="","",IF(BO170=0,0,IF(BN170&lt;=19,30,IF(AND(BN170&gt;19,BN170&lt;=23),40,50))))</f>
        <v>0</v>
      </c>
      <c r="BS170" s="237">
        <f>IF(BO170="","",IF(BO170=0,0,$BS$9))</f>
        <v>0</v>
      </c>
      <c r="BT170" s="452">
        <f>IF(BN170="","",BN170+2*BO170*BP170*IF(BS170&lt;=25,1,IF(BS170&gt;33,2,1.5)))</f>
        <v>11.9755</v>
      </c>
      <c r="BU170" s="492">
        <f>0.85*BV170-0.1</f>
        <v>1.1749999999999998</v>
      </c>
      <c r="BV170" s="493">
        <f>IF(BT170="","",
IF(AND(BT170&gt;'Данные ТНПА'!$K$8,BT170&lt;='Данные ТНПА'!$L$8),'Данные ТНПА'!$N$8,
IF(AND(BT170&gt;'Данные ТНПА'!$K$9,BT170&lt;='Данные ТНПА'!$L$9),'Данные ТНПА'!$N$9,
IF(AND(BT170&gt;'Данные ТНПА'!$K$10,BT170&lt;='Данные ТНПА'!$L$10),'Данные ТНПА'!$N$10,
IF(AND(BT170&gt;'Данные ТНПА'!$K$11,BT170&lt;='Данные ТНПА'!$L$11),'Данные ТНПА'!$N$11,
IF(AND(BT170&gt;'Данные ТНПА'!$K$12,BT170&lt;='Данные ТНПА'!$L$12),'Данные ТНПА'!$N$12,
IF(AND(BT170&gt;'Данные ТНПА'!$K$13,BT170&lt;='Данные ТНПА'!$L$13),'Данные ТНПА'!$N$13,
IF(AND(BT170&gt;'Данные ТНПА'!$K$14,BT170&lt;='Данные ТНПА'!$L$14),'Данные ТНПА'!$N$14))))))))</f>
        <v>1.5</v>
      </c>
      <c r="BW170" s="493">
        <f>BT170+2*BV170</f>
        <v>14.9755</v>
      </c>
      <c r="BX170" s="457">
        <f t="shared" si="293"/>
        <v>0</v>
      </c>
      <c r="BY170" s="457">
        <f t="shared" si="294"/>
        <v>268.56690000000003</v>
      </c>
      <c r="BZ170" s="457">
        <f t="shared" si="295"/>
        <v>58.119463463092643</v>
      </c>
      <c r="CA170" s="457" t="e">
        <f>PI()*POWER(Y170,2)/4*$CA$9</f>
        <v>#REF!</v>
      </c>
      <c r="CB170" s="458">
        <f>IF(AA170="","",
IF(AA170=2,SQRT((Z170*PI()/50)^2+1)*$CB$9*AA170,0))</f>
        <v>0</v>
      </c>
      <c r="CC170" s="457">
        <f>PI()*(Z170+AC170*AD170)*AC170*AD170*$CC$9*ROUND(100/(100-AG170),2)</f>
        <v>0</v>
      </c>
      <c r="CD170" s="457">
        <f>PI()*(AH170+AI170*AJ170)*AI170*AJ170*$CD$9*ROUND(100/(100-AM170),2)</f>
        <v>0</v>
      </c>
      <c r="CE170" s="457">
        <f>PI()*(AN170+AO170*AP170)*AO170*AP170*$CE$9*ROUND(100/(100-AS170),2)</f>
        <v>0</v>
      </c>
      <c r="CF170" s="457">
        <f>PI()*(AT170+AU170*AV170)*AU170*AV170*$CF$9*ROUND(100/(100-AY170),2)</f>
        <v>0</v>
      </c>
      <c r="CG170" s="458">
        <f t="shared" si="296"/>
        <v>0</v>
      </c>
      <c r="CH170" s="457">
        <f>IF(BE170="","",
IF(BD170=0,0,
PI()*(BC170+BD170*BE170)*BD170*BE170*$CH$9*ROUND(100/(100-BG170),2)))</f>
        <v>0</v>
      </c>
      <c r="CI170" s="457">
        <f>IF(BH170="","",
PI()*(BH170+BI170*BJ170)*BI170*BJ170*$CI$9*ROUND(100/(100+BM170),2))</f>
        <v>0</v>
      </c>
      <c r="CJ170" s="458">
        <f>IF(BO170="","",PI()*(BN170+BO170*BP170)*BO170*BP170*$CJ$9*ROUND(100/(100-BS170),2))</f>
        <v>0</v>
      </c>
      <c r="CK170" s="458">
        <f t="shared" si="297"/>
        <v>92.458617458733173</v>
      </c>
      <c r="CL170" s="457">
        <f t="shared" si="298"/>
        <v>419.14498092182583</v>
      </c>
      <c r="CM170" s="504"/>
      <c r="CN170" s="504"/>
    </row>
    <row r="171" spans="1:92" ht="14.25" hidden="1" customHeight="1" x14ac:dyDescent="0.25">
      <c r="A171" s="389" t="str">
        <f>IF(D171="",CONCATENATE("Кабель ",IF(C171="а","А",""),$A$9),CONCATENATE("Кабель ",IF(C171="а","А",""),$A$9," ",D171,"*",F171,IF(G171="ок"," (ож)","")," - ",B171," ",IF(G171="мс"," фас. ",""),$A$2))</f>
        <v>Кабель ВВГ 3*16 (ож) - 1 ГОСТ 16442-80</v>
      </c>
      <c r="B171" s="450">
        <v>1</v>
      </c>
      <c r="C171" s="451" t="s">
        <v>163</v>
      </c>
      <c r="D171" s="412">
        <v>3</v>
      </c>
      <c r="E171" s="413" t="s">
        <v>40</v>
      </c>
      <c r="F171" s="423">
        <v>16</v>
      </c>
      <c r="G171" s="414" t="str">
        <f>IF(I171=1,"ок","мк")</f>
        <v>ок</v>
      </c>
      <c r="H171" s="461">
        <v>4.5199999999999996</v>
      </c>
      <c r="I171" s="497">
        <v>1</v>
      </c>
      <c r="J171" s="498" t="s">
        <v>40</v>
      </c>
      <c r="K171" s="496">
        <f>ROUNDUP(SQRT(F171/PI()*4),2)</f>
        <v>4.5199999999999996</v>
      </c>
      <c r="L171" s="501">
        <v>6.68</v>
      </c>
      <c r="M171" s="475"/>
      <c r="N171" s="475"/>
      <c r="O171" s="475"/>
      <c r="P171" s="475"/>
      <c r="Q171" s="483">
        <f t="shared" si="398"/>
        <v>0.8</v>
      </c>
      <c r="R171" s="484">
        <f>IF(B171=0.66,VLOOKUP(F171,'Данные ТНПА'!$B$8:$C$16,2,0),
IF(B171=1,VLOOKUP(F171,'Данные ТНПА'!$B$17:$C$37,2,0),"ошибка"))</f>
        <v>1</v>
      </c>
      <c r="S171" s="485">
        <f t="shared" si="283"/>
        <v>6.1199999999999992</v>
      </c>
      <c r="T171" s="486"/>
      <c r="U171" s="487"/>
      <c r="V171" s="485">
        <f t="shared" si="284"/>
        <v>6.52</v>
      </c>
      <c r="W171" s="486"/>
      <c r="X171" s="487"/>
      <c r="Y171" s="489">
        <f t="shared" si="285"/>
        <v>0</v>
      </c>
      <c r="Z171" s="491">
        <f t="shared" si="286"/>
        <v>14.017999999999999</v>
      </c>
      <c r="AA171" s="237">
        <f t="shared" si="287"/>
        <v>0</v>
      </c>
      <c r="AB171" s="452">
        <f t="shared" si="399"/>
        <v>14.017999999999999</v>
      </c>
      <c r="AC171" s="201">
        <f t="shared" si="288"/>
        <v>0</v>
      </c>
      <c r="AD171" s="203">
        <f t="shared" si="400"/>
        <v>0</v>
      </c>
      <c r="AE171" s="37" t="str">
        <f t="shared" si="289"/>
        <v/>
      </c>
      <c r="AF171" s="202">
        <f t="shared" si="401"/>
        <v>0</v>
      </c>
      <c r="AG171" s="201">
        <f t="shared" si="402"/>
        <v>0</v>
      </c>
      <c r="AH171" s="61">
        <f t="shared" si="290"/>
        <v>14.017999999999999</v>
      </c>
      <c r="AI171" s="443">
        <f t="shared" si="397"/>
        <v>0</v>
      </c>
      <c r="AJ171" s="444">
        <f t="shared" si="353"/>
        <v>0</v>
      </c>
      <c r="AK171" s="445">
        <f t="shared" si="354"/>
        <v>0</v>
      </c>
      <c r="AL171" s="446">
        <f t="shared" si="355"/>
        <v>0</v>
      </c>
      <c r="AM171" s="447">
        <f t="shared" si="356"/>
        <v>0</v>
      </c>
      <c r="AN171" s="24">
        <f t="shared" si="357"/>
        <v>14.017999999999999</v>
      </c>
      <c r="AO171" s="443">
        <f t="shared" si="291"/>
        <v>0</v>
      </c>
      <c r="AP171" s="444">
        <f t="shared" si="358"/>
        <v>0</v>
      </c>
      <c r="AQ171" s="445">
        <f t="shared" si="359"/>
        <v>0</v>
      </c>
      <c r="AR171" s="446">
        <f t="shared" si="360"/>
        <v>0</v>
      </c>
      <c r="AS171" s="447">
        <f t="shared" si="361"/>
        <v>0</v>
      </c>
      <c r="AT171" s="24">
        <f t="shared" si="362"/>
        <v>14.017999999999999</v>
      </c>
      <c r="AU171" s="443">
        <f t="shared" si="292"/>
        <v>0</v>
      </c>
      <c r="AV171" s="444">
        <f t="shared" si="363"/>
        <v>0</v>
      </c>
      <c r="AW171" s="445">
        <f t="shared" si="364"/>
        <v>0</v>
      </c>
      <c r="AX171" s="446">
        <f t="shared" si="365"/>
        <v>0</v>
      </c>
      <c r="AY171" s="447">
        <f t="shared" si="366"/>
        <v>0</v>
      </c>
      <c r="AZ171" s="24">
        <f t="shared" si="367"/>
        <v>14.017999999999999</v>
      </c>
      <c r="BA171" s="43">
        <f>IF(BB171=0,0,
IF(D171=1,
(IF(AND(AH171&gt;'Данные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"ошибка_1"))))))),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"ошибка_2"))))))))</f>
        <v>0</v>
      </c>
      <c r="BB171" s="43">
        <f>IF(OR($AI$9=0,AND(D171&gt;1,F171&gt;10)),0,
IF(D171=1,
(IF(AND(AH171&gt;'Данные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"ошибка_1"))))))),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IF(AND(AH171&gt;'Данные ТНПА'!#REF!,AH171&lt;='Данные ТНПА'!#REF!),'Данные ТНПА'!#REF!,
"ошибка_2"))))))))</f>
        <v>0</v>
      </c>
      <c r="BC171" s="43">
        <f t="shared" si="368"/>
        <v>14.017999999999999</v>
      </c>
      <c r="BD171" s="237">
        <f t="shared" si="369"/>
        <v>0</v>
      </c>
      <c r="BE171" s="43">
        <f t="shared" si="370"/>
        <v>0</v>
      </c>
      <c r="BF171" s="201">
        <f t="shared" si="371"/>
        <v>0</v>
      </c>
      <c r="BG171" s="201">
        <f t="shared" si="372"/>
        <v>0</v>
      </c>
      <c r="BH171" s="61">
        <f t="shared" si="403"/>
        <v>14.017999999999999</v>
      </c>
      <c r="BI171" s="237">
        <f t="shared" si="374"/>
        <v>0</v>
      </c>
      <c r="BJ171" s="247">
        <f t="shared" si="375"/>
        <v>0</v>
      </c>
      <c r="BK171" s="431">
        <f t="shared" si="404"/>
        <v>0</v>
      </c>
      <c r="BL171" s="250">
        <f t="shared" si="405"/>
        <v>0</v>
      </c>
      <c r="BM171" s="237">
        <f t="shared" si="378"/>
        <v>0</v>
      </c>
      <c r="BN171" s="452">
        <f t="shared" si="406"/>
        <v>14.017999999999999</v>
      </c>
      <c r="BO171" s="237">
        <f t="shared" si="380"/>
        <v>0</v>
      </c>
      <c r="BP171" s="432">
        <f t="shared" si="381"/>
        <v>0</v>
      </c>
      <c r="BQ171" s="22" t="str">
        <f t="shared" si="407"/>
        <v/>
      </c>
      <c r="BR171" s="250">
        <f t="shared" si="408"/>
        <v>0</v>
      </c>
      <c r="BS171" s="237">
        <f t="shared" si="384"/>
        <v>0</v>
      </c>
      <c r="BT171" s="452">
        <f t="shared" si="409"/>
        <v>14.017999999999999</v>
      </c>
      <c r="BU171" s="492">
        <f t="shared" si="410"/>
        <v>1.1749999999999998</v>
      </c>
      <c r="BV171" s="493">
        <f>IF(BT171="","",
IF(AND(BT171&gt;'Данные ТНПА'!$K$8,BT171&lt;='Данные ТНПА'!$L$8),'Данные ТНПА'!$N$8,
IF(AND(BT171&gt;'Данные ТНПА'!$K$9,BT171&lt;='Данные ТНПА'!$L$9),'Данные ТНПА'!$N$9,
IF(AND(BT171&gt;'Данные ТНПА'!$K$10,BT171&lt;='Данные ТНПА'!$L$10),'Данные ТНПА'!$N$10,
IF(AND(BT171&gt;'Данные ТНПА'!$K$11,BT171&lt;='Данные ТНПА'!$L$11),'Данные ТНПА'!$N$11,
IF(AND(BT171&gt;'Данные ТНПА'!$K$12,BT171&lt;='Данные ТНПА'!$L$12),'Данные ТНПА'!$N$12,
IF(AND(BT171&gt;'Данные ТНПА'!$K$13,BT171&lt;='Данные ТНПА'!$L$13),'Данные ТНПА'!$N$13,
IF(AND(BT171&gt;'Данные ТНПА'!$K$14,BT171&lt;='Данные ТНПА'!$L$14),'Данные ТНПА'!$N$14))))))))</f>
        <v>1.5</v>
      </c>
      <c r="BW171" s="493">
        <f t="shared" si="387"/>
        <v>17.018000000000001</v>
      </c>
      <c r="BX171" s="457">
        <f t="shared" si="293"/>
        <v>0</v>
      </c>
      <c r="BY171" s="457">
        <f t="shared" si="294"/>
        <v>429.70704000000001</v>
      </c>
      <c r="BZ171" s="457">
        <f t="shared" si="295"/>
        <v>70.201190003560455</v>
      </c>
      <c r="CA171" s="457" t="e">
        <f t="shared" si="411"/>
        <v>#REF!</v>
      </c>
      <c r="CB171" s="458">
        <f t="shared" si="389"/>
        <v>0</v>
      </c>
      <c r="CC171" s="457">
        <f t="shared" si="390"/>
        <v>0</v>
      </c>
      <c r="CD171" s="457">
        <f t="shared" si="391"/>
        <v>0</v>
      </c>
      <c r="CE171" s="457">
        <f t="shared" si="392"/>
        <v>0</v>
      </c>
      <c r="CF171" s="457">
        <f t="shared" si="393"/>
        <v>0</v>
      </c>
      <c r="CG171" s="458">
        <f t="shared" si="296"/>
        <v>0</v>
      </c>
      <c r="CH171" s="457">
        <f t="shared" si="394"/>
        <v>0</v>
      </c>
      <c r="CI171" s="457">
        <f t="shared" si="395"/>
        <v>0</v>
      </c>
      <c r="CJ171" s="458">
        <f t="shared" si="396"/>
        <v>0</v>
      </c>
      <c r="CK171" s="458">
        <f t="shared" si="297"/>
        <v>106.4726967997196</v>
      </c>
      <c r="CL171" s="457">
        <f t="shared" si="298"/>
        <v>606.38092680328009</v>
      </c>
      <c r="CM171" s="504"/>
      <c r="CN171" s="504"/>
    </row>
    <row r="172" spans="1:92" ht="14.25" hidden="1" customHeight="1" x14ac:dyDescent="0.25">
      <c r="A172" s="389" t="str">
        <f>IF(D172="",CONCATENATE("Кабель ",IF(C172="а","А",""),$A$9),CONCATENATE("Кабель ",IF(C172="а","А",""),$A$9," ",D172,"*",F172,IF(G172="ок"," (ож)","")," - ",B172," ",IF(G172="мс"," фас. ",""),$A$2))</f>
        <v>Кабель ВВГ 3*25 (ож) - 1 ГОСТ 16442-80</v>
      </c>
      <c r="B172" s="510">
        <v>1</v>
      </c>
      <c r="C172" s="415" t="s">
        <v>163</v>
      </c>
      <c r="D172" s="412">
        <v>3</v>
      </c>
      <c r="E172" s="413" t="s">
        <v>40</v>
      </c>
      <c r="F172" s="423">
        <v>25</v>
      </c>
      <c r="G172" s="414" t="str">
        <f>IF(I172=1,"ок","мк")</f>
        <v>ок</v>
      </c>
      <c r="H172" s="461">
        <v>5.6499999999999995</v>
      </c>
      <c r="I172" s="497">
        <v>1</v>
      </c>
      <c r="J172" s="498" t="s">
        <v>40</v>
      </c>
      <c r="K172" s="496">
        <f>ROUNDUP(SQRT(F172/PI()*4),2)</f>
        <v>5.6499999999999995</v>
      </c>
      <c r="L172" s="501">
        <v>7.1000000000000005</v>
      </c>
      <c r="M172" s="475"/>
      <c r="N172" s="475"/>
      <c r="O172" s="475"/>
      <c r="P172" s="475"/>
      <c r="Q172" s="483">
        <f t="shared" si="398"/>
        <v>0.98000000000000009</v>
      </c>
      <c r="R172" s="484">
        <f>IF(B172=0.66,VLOOKUP(F172,'Данные ТНПА'!$B$8:$C$16,2,0),
IF(B172=1,VLOOKUP(F172,'Данные ТНПА'!$B$17:$C$37,2,0),"ошибка"))</f>
        <v>1.2</v>
      </c>
      <c r="S172" s="485">
        <f t="shared" si="283"/>
        <v>7.6099999999999994</v>
      </c>
      <c r="T172" s="486"/>
      <c r="U172" s="487"/>
      <c r="V172" s="485">
        <f t="shared" si="284"/>
        <v>8.0499999999999989</v>
      </c>
      <c r="W172" s="486"/>
      <c r="X172" s="487"/>
      <c r="Y172" s="489">
        <f t="shared" si="285"/>
        <v>0</v>
      </c>
      <c r="Z172" s="491">
        <f t="shared" si="286"/>
        <v>17.307499999999997</v>
      </c>
      <c r="AA172" s="237">
        <f t="shared" si="287"/>
        <v>0</v>
      </c>
      <c r="AB172" s="452">
        <f t="shared" ref="AB172:AB231" si="412">IF(Z172="","",Z172)</f>
        <v>17.307499999999997</v>
      </c>
      <c r="AC172" s="201">
        <f t="shared" si="288"/>
        <v>0</v>
      </c>
      <c r="AD172" s="203">
        <f t="shared" ref="AD172:AD231" si="413">IF(AC172="","",IF(AC172&gt;0,IF(AND(Z172&gt;=10,Z172&lt;=20),0.035,IF(Z172&gt;20,0.05,"ошибка")),0))</f>
        <v>0</v>
      </c>
      <c r="AE172" s="37" t="str">
        <f t="shared" si="289"/>
        <v/>
      </c>
      <c r="AF172" s="202">
        <f t="shared" ref="AF172:AF231" si="414">IF(AC172="","",IF(AC172&gt;0,IF(AND(Z172&gt;=10,Z172&lt;=20),50,IF(Z172&gt;20,60,"ошибка")),0))</f>
        <v>0</v>
      </c>
      <c r="AG172" s="201">
        <f t="shared" ref="AG172:AG231" si="415">IF(AC172="","",IF(AC172&gt;0,IF(AND(Z172&gt;=10,Z172&lt;=13),40,IF(AND(Z172&gt;=13,Z172&lt;=16),30,IF(Z172&gt;16,25,"ошибка"))),0))</f>
        <v>0</v>
      </c>
      <c r="AH172" s="61">
        <f t="shared" si="290"/>
        <v>17.307499999999997</v>
      </c>
      <c r="AI172" s="443">
        <f t="shared" si="397"/>
        <v>0</v>
      </c>
      <c r="AJ172" s="444">
        <f t="shared" si="353"/>
        <v>0</v>
      </c>
      <c r="AK172" s="445">
        <f t="shared" si="354"/>
        <v>0</v>
      </c>
      <c r="AL172" s="446">
        <f t="shared" si="355"/>
        <v>0</v>
      </c>
      <c r="AM172" s="447">
        <f t="shared" si="356"/>
        <v>0</v>
      </c>
      <c r="AN172" s="24">
        <f t="shared" si="357"/>
        <v>17.307499999999997</v>
      </c>
      <c r="AO172" s="443">
        <f t="shared" si="291"/>
        <v>0</v>
      </c>
      <c r="AP172" s="444">
        <f t="shared" si="358"/>
        <v>0</v>
      </c>
      <c r="AQ172" s="445">
        <f t="shared" si="359"/>
        <v>0</v>
      </c>
      <c r="AR172" s="446">
        <f t="shared" si="360"/>
        <v>0</v>
      </c>
      <c r="AS172" s="447">
        <f t="shared" si="361"/>
        <v>0</v>
      </c>
      <c r="AT172" s="24">
        <f t="shared" si="362"/>
        <v>17.307499999999997</v>
      </c>
      <c r="AU172" s="443">
        <f t="shared" si="292"/>
        <v>0</v>
      </c>
      <c r="AV172" s="444">
        <f t="shared" si="363"/>
        <v>0</v>
      </c>
      <c r="AW172" s="445">
        <f t="shared" si="364"/>
        <v>0</v>
      </c>
      <c r="AX172" s="446">
        <f t="shared" si="365"/>
        <v>0</v>
      </c>
      <c r="AY172" s="447">
        <f t="shared" si="366"/>
        <v>0</v>
      </c>
      <c r="AZ172" s="24">
        <f t="shared" si="367"/>
        <v>17.307499999999997</v>
      </c>
      <c r="BA172" s="43">
        <f>IF(BB172=0,0,
IF(D172=1,
(IF(AND(AH172&gt;'Данные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"ошибка_1"))))))),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"ошибка_2"))))))))</f>
        <v>0</v>
      </c>
      <c r="BB172" s="43">
        <f>IF(OR($AI$9=0,AND(D172&gt;1,F172&gt;10)),0,
IF(D172=1,
(IF(AND(AH172&gt;'Данные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"ошибка_1"))))))),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IF(AND(AH172&gt;'Данные ТНПА'!#REF!,AH172&lt;='Данные ТНПА'!#REF!),'Данные ТНПА'!#REF!,
"ошибка_2"))))))))</f>
        <v>0</v>
      </c>
      <c r="BC172" s="43">
        <f t="shared" si="368"/>
        <v>17.307499999999997</v>
      </c>
      <c r="BD172" s="237">
        <f t="shared" si="369"/>
        <v>0</v>
      </c>
      <c r="BE172" s="43">
        <f t="shared" si="370"/>
        <v>0</v>
      </c>
      <c r="BF172" s="201">
        <f t="shared" si="371"/>
        <v>0</v>
      </c>
      <c r="BG172" s="201">
        <f t="shared" si="372"/>
        <v>0</v>
      </c>
      <c r="BH172" s="61">
        <f t="shared" si="403"/>
        <v>17.307499999999997</v>
      </c>
      <c r="BI172" s="237">
        <f t="shared" si="374"/>
        <v>0</v>
      </c>
      <c r="BJ172" s="247">
        <f t="shared" si="375"/>
        <v>0</v>
      </c>
      <c r="BK172" s="431">
        <f t="shared" ref="BK172:BK231" si="416">IF(BJ172="","",IF(BJ172&lt;&gt;0,"×",0))</f>
        <v>0</v>
      </c>
      <c r="BL172" s="250">
        <f t="shared" si="405"/>
        <v>0</v>
      </c>
      <c r="BM172" s="237">
        <f t="shared" si="378"/>
        <v>0</v>
      </c>
      <c r="BN172" s="452">
        <f t="shared" si="406"/>
        <v>17.307499999999997</v>
      </c>
      <c r="BO172" s="237">
        <f t="shared" si="380"/>
        <v>0</v>
      </c>
      <c r="BP172" s="432">
        <f t="shared" si="381"/>
        <v>0</v>
      </c>
      <c r="BQ172" s="22" t="str">
        <f t="shared" ref="BQ172:BQ231" si="417">IF(BP172="","",IF(BP172&gt;0,"×",""))</f>
        <v/>
      </c>
      <c r="BR172" s="250">
        <f t="shared" ref="BR172:BR231" si="418">IF(BN172="","",IF(BO172=0,0,IF(BN172&lt;=19,30,IF(AND(BN172&gt;19,BN172&lt;=23),40,50))))</f>
        <v>0</v>
      </c>
      <c r="BS172" s="237">
        <f t="shared" si="384"/>
        <v>0</v>
      </c>
      <c r="BT172" s="452">
        <f t="shared" ref="BT172:BT231" si="419">IF(BN172="","",BN172+2*BO172*BP172*IF(BS172&lt;=25,1,IF(BS172&gt;33,2,1.5)))</f>
        <v>17.307499999999997</v>
      </c>
      <c r="BU172" s="492">
        <f t="shared" si="410"/>
        <v>1.3449999999999998</v>
      </c>
      <c r="BV172" s="493">
        <f>IF(BT172="","",
IF(AND(BT172&gt;'Данные ТНПА'!$K$8,BT172&lt;='Данные ТНПА'!$L$8),'Данные ТНПА'!$N$8,
IF(AND(BT172&gt;'Данные ТНПА'!$K$9,BT172&lt;='Данные ТНПА'!$L$9),'Данные ТНПА'!$N$9,
IF(AND(BT172&gt;'Данные ТНПА'!$K$10,BT172&lt;='Данные ТНПА'!$L$10),'Данные ТНПА'!$N$10,
IF(AND(BT172&gt;'Данные ТНПА'!$K$11,BT172&lt;='Данные ТНПА'!$L$11),'Данные ТНПА'!$N$11,
IF(AND(BT172&gt;'Данные ТНПА'!$K$12,BT172&lt;='Данные ТНПА'!$L$12),'Данные ТНПА'!$N$12,
IF(AND(BT172&gt;'Данные ТНПА'!$K$13,BT172&lt;='Данные ТНПА'!$L$13),'Данные ТНПА'!$N$13,
IF(AND(BT172&gt;'Данные ТНПА'!$K$14,BT172&lt;='Данные ТНПА'!$L$14),'Данные ТНПА'!$N$14))))))))</f>
        <v>1.7</v>
      </c>
      <c r="BW172" s="493">
        <f t="shared" si="387"/>
        <v>20.707499999999996</v>
      </c>
      <c r="BX172" s="457">
        <f t="shared" si="293"/>
        <v>0</v>
      </c>
      <c r="BY172" s="457">
        <f t="shared" si="294"/>
        <v>671.41724999999997</v>
      </c>
      <c r="BZ172" s="457">
        <f t="shared" si="295"/>
        <v>104.53872859225851</v>
      </c>
      <c r="CA172" s="457" t="e">
        <f t="shared" si="411"/>
        <v>#REF!</v>
      </c>
      <c r="CB172" s="458">
        <f t="shared" si="389"/>
        <v>0</v>
      </c>
      <c r="CC172" s="457">
        <f t="shared" si="390"/>
        <v>0</v>
      </c>
      <c r="CD172" s="457">
        <f t="shared" si="391"/>
        <v>0</v>
      </c>
      <c r="CE172" s="457">
        <f t="shared" si="392"/>
        <v>0</v>
      </c>
      <c r="CF172" s="457">
        <f t="shared" si="393"/>
        <v>0</v>
      </c>
      <c r="CG172" s="458">
        <f t="shared" si="296"/>
        <v>0</v>
      </c>
      <c r="CH172" s="457">
        <f t="shared" si="394"/>
        <v>0</v>
      </c>
      <c r="CI172" s="457">
        <f t="shared" si="395"/>
        <v>0</v>
      </c>
      <c r="CJ172" s="458">
        <f t="shared" si="396"/>
        <v>0</v>
      </c>
      <c r="CK172" s="458">
        <f t="shared" si="297"/>
        <v>147.80365311316487</v>
      </c>
      <c r="CL172" s="457">
        <f t="shared" si="298"/>
        <v>923.75963170542332</v>
      </c>
      <c r="CM172" s="504"/>
      <c r="CN172" s="504"/>
    </row>
    <row r="173" spans="1:92" ht="14.25" hidden="1" customHeight="1" x14ac:dyDescent="0.25">
      <c r="A173" s="389" t="str">
        <f>IF(D173="",CONCATENATE("Кабель ",IF(C173="а","А",""),$A$9),CONCATENATE("Кабель ",IF(C173="а","А",""),$A$9," ",D173,"*",F173,IF(G173="ок"," (ож)","")," - ",B173," ",IF(G173="мс"," фас. ",""),$A$2))</f>
        <v>Кабель ВВГ 3*35 (ож) - 1 ГОСТ 16442-80</v>
      </c>
      <c r="B173" s="449">
        <v>1</v>
      </c>
      <c r="C173" s="415" t="s">
        <v>163</v>
      </c>
      <c r="D173" s="412">
        <v>3</v>
      </c>
      <c r="E173" s="413" t="s">
        <v>40</v>
      </c>
      <c r="F173" s="423">
        <v>35</v>
      </c>
      <c r="G173" s="414" t="str">
        <f>IF(I173=1,"ок","мк")</f>
        <v>ок</v>
      </c>
      <c r="H173" s="461">
        <v>6.68</v>
      </c>
      <c r="I173" s="497">
        <v>1</v>
      </c>
      <c r="J173" s="498" t="s">
        <v>40</v>
      </c>
      <c r="K173" s="496">
        <f>ROUNDUP(SQRT(F173/PI()*4),2)</f>
        <v>6.68</v>
      </c>
      <c r="L173" s="501">
        <v>8.15</v>
      </c>
      <c r="M173" s="475"/>
      <c r="N173" s="475"/>
      <c r="O173" s="475"/>
      <c r="P173" s="475"/>
      <c r="Q173" s="483">
        <f t="shared" si="398"/>
        <v>0.98000000000000009</v>
      </c>
      <c r="R173" s="484">
        <f>IF(B173=0.66,VLOOKUP(F173,'Данные ТНПА'!$B$8:$C$16,2,0),
IF(B173=1,VLOOKUP(F173,'Данные ТНПА'!$B$17:$C$37,2,0),"ошибка"))</f>
        <v>1.2</v>
      </c>
      <c r="S173" s="485">
        <f t="shared" si="283"/>
        <v>8.64</v>
      </c>
      <c r="T173" s="486"/>
      <c r="U173" s="487"/>
      <c r="V173" s="485">
        <f t="shared" si="284"/>
        <v>9.08</v>
      </c>
      <c r="W173" s="486"/>
      <c r="X173" s="487"/>
      <c r="Y173" s="489">
        <f t="shared" si="285"/>
        <v>0</v>
      </c>
      <c r="Z173" s="491">
        <f t="shared" si="286"/>
        <v>19.521999999999998</v>
      </c>
      <c r="AA173" s="237">
        <f t="shared" si="287"/>
        <v>0</v>
      </c>
      <c r="AB173" s="452">
        <f t="shared" si="412"/>
        <v>19.521999999999998</v>
      </c>
      <c r="AC173" s="201">
        <f t="shared" si="288"/>
        <v>0</v>
      </c>
      <c r="AD173" s="203">
        <f t="shared" si="413"/>
        <v>0</v>
      </c>
      <c r="AE173" s="37" t="str">
        <f t="shared" si="289"/>
        <v/>
      </c>
      <c r="AF173" s="202">
        <f t="shared" si="414"/>
        <v>0</v>
      </c>
      <c r="AG173" s="201">
        <f t="shared" si="415"/>
        <v>0</v>
      </c>
      <c r="AH173" s="61">
        <f t="shared" si="290"/>
        <v>19.521999999999998</v>
      </c>
      <c r="AI173" s="443">
        <f t="shared" si="397"/>
        <v>0</v>
      </c>
      <c r="AJ173" s="444">
        <f t="shared" si="353"/>
        <v>0</v>
      </c>
      <c r="AK173" s="445">
        <f t="shared" si="354"/>
        <v>0</v>
      </c>
      <c r="AL173" s="446">
        <f t="shared" si="355"/>
        <v>0</v>
      </c>
      <c r="AM173" s="447">
        <f t="shared" si="356"/>
        <v>0</v>
      </c>
      <c r="AN173" s="24">
        <f t="shared" si="357"/>
        <v>19.521999999999998</v>
      </c>
      <c r="AO173" s="443">
        <f t="shared" si="291"/>
        <v>0</v>
      </c>
      <c r="AP173" s="444">
        <f t="shared" si="358"/>
        <v>0</v>
      </c>
      <c r="AQ173" s="445">
        <f t="shared" si="359"/>
        <v>0</v>
      </c>
      <c r="AR173" s="446">
        <f t="shared" si="360"/>
        <v>0</v>
      </c>
      <c r="AS173" s="447">
        <f t="shared" si="361"/>
        <v>0</v>
      </c>
      <c r="AT173" s="24">
        <f t="shared" si="362"/>
        <v>19.521999999999998</v>
      </c>
      <c r="AU173" s="443">
        <f t="shared" si="292"/>
        <v>0</v>
      </c>
      <c r="AV173" s="444">
        <f t="shared" si="363"/>
        <v>0</v>
      </c>
      <c r="AW173" s="445">
        <f t="shared" si="364"/>
        <v>0</v>
      </c>
      <c r="AX173" s="446">
        <f t="shared" si="365"/>
        <v>0</v>
      </c>
      <c r="AY173" s="447">
        <f t="shared" si="366"/>
        <v>0</v>
      </c>
      <c r="AZ173" s="24">
        <f t="shared" si="367"/>
        <v>19.521999999999998</v>
      </c>
      <c r="BA173" s="43">
        <f>IF(BB173=0,0,
IF(D173=1,
(IF(AND(AH173&gt;'Данные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"ошибка_1"))))))),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"ошибка_2"))))))))</f>
        <v>0</v>
      </c>
      <c r="BB173" s="43">
        <f>IF(OR($AI$9=0,AND(D173&gt;1,F173&gt;10)),0,
IF(D173=1,
(IF(AND(AH173&gt;'Данные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"ошибка_1"))))))),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IF(AND(AH173&gt;'Данные ТНПА'!#REF!,AH173&lt;='Данные ТНПА'!#REF!),'Данные ТНПА'!#REF!,
"ошибка_2"))))))))</f>
        <v>0</v>
      </c>
      <c r="BC173" s="43">
        <f t="shared" si="368"/>
        <v>19.521999999999998</v>
      </c>
      <c r="BD173" s="237">
        <f t="shared" si="369"/>
        <v>0</v>
      </c>
      <c r="BE173" s="43">
        <f t="shared" si="370"/>
        <v>0</v>
      </c>
      <c r="BF173" s="201">
        <f t="shared" si="371"/>
        <v>0</v>
      </c>
      <c r="BG173" s="201">
        <f t="shared" si="372"/>
        <v>0</v>
      </c>
      <c r="BH173" s="61">
        <f t="shared" si="403"/>
        <v>19.521999999999998</v>
      </c>
      <c r="BI173" s="237">
        <f t="shared" si="374"/>
        <v>0</v>
      </c>
      <c r="BJ173" s="247">
        <f t="shared" si="375"/>
        <v>0</v>
      </c>
      <c r="BK173" s="431">
        <f t="shared" si="416"/>
        <v>0</v>
      </c>
      <c r="BL173" s="250">
        <f t="shared" si="405"/>
        <v>0</v>
      </c>
      <c r="BM173" s="237">
        <f t="shared" si="378"/>
        <v>0</v>
      </c>
      <c r="BN173" s="452">
        <f t="shared" si="406"/>
        <v>19.521999999999998</v>
      </c>
      <c r="BO173" s="237">
        <f t="shared" si="380"/>
        <v>0</v>
      </c>
      <c r="BP173" s="432">
        <f t="shared" si="381"/>
        <v>0</v>
      </c>
      <c r="BQ173" s="22" t="str">
        <f t="shared" si="417"/>
        <v/>
      </c>
      <c r="BR173" s="250">
        <f t="shared" si="418"/>
        <v>0</v>
      </c>
      <c r="BS173" s="237">
        <f t="shared" si="384"/>
        <v>0</v>
      </c>
      <c r="BT173" s="452">
        <f t="shared" si="419"/>
        <v>19.521999999999998</v>
      </c>
      <c r="BU173" s="492">
        <f t="shared" si="410"/>
        <v>1.3449999999999998</v>
      </c>
      <c r="BV173" s="493">
        <f>IF(BT173="","",
IF(AND(BT173&gt;'Данные ТНПА'!$K$8,BT173&lt;='Данные ТНПА'!$L$8),'Данные ТНПА'!$N$8,
IF(AND(BT173&gt;'Данные ТНПА'!$K$9,BT173&lt;='Данные ТНПА'!$L$9),'Данные ТНПА'!$N$9,
IF(AND(BT173&gt;'Данные ТНПА'!$K$10,BT173&lt;='Данные ТНПА'!$L$10),'Данные ТНПА'!$N$10,
IF(AND(BT173&gt;'Данные ТНПА'!$K$11,BT173&lt;='Данные ТНПА'!$L$11),'Данные ТНПА'!$N$11,
IF(AND(BT173&gt;'Данные ТНПА'!$K$12,BT173&lt;='Данные ТНПА'!$L$12),'Данные ТНПА'!$N$12,
IF(AND(BT173&gt;'Данные ТНПА'!$K$13,BT173&lt;='Данные ТНПА'!$L$13),'Данные ТНПА'!$N$13,
IF(AND(BT173&gt;'Данные ТНПА'!$K$14,BT173&lt;='Данные ТНПА'!$L$14),'Данные ТНПА'!$N$14))))))))</f>
        <v>1.7</v>
      </c>
      <c r="BW173" s="493">
        <f t="shared" si="387"/>
        <v>22.921999999999997</v>
      </c>
      <c r="BX173" s="457">
        <f t="shared" si="293"/>
        <v>0</v>
      </c>
      <c r="BY173" s="457">
        <f t="shared" si="294"/>
        <v>939.98415</v>
      </c>
      <c r="BZ173" s="457">
        <f t="shared" si="295"/>
        <v>120.2576907017514</v>
      </c>
      <c r="CA173" s="457" t="e">
        <f t="shared" si="411"/>
        <v>#REF!</v>
      </c>
      <c r="CB173" s="458">
        <f t="shared" si="389"/>
        <v>0</v>
      </c>
      <c r="CC173" s="457">
        <f t="shared" si="390"/>
        <v>0</v>
      </c>
      <c r="CD173" s="457">
        <f t="shared" si="391"/>
        <v>0</v>
      </c>
      <c r="CE173" s="457">
        <f t="shared" si="392"/>
        <v>0</v>
      </c>
      <c r="CF173" s="457">
        <f t="shared" si="393"/>
        <v>0</v>
      </c>
      <c r="CG173" s="458">
        <f t="shared" si="296"/>
        <v>0</v>
      </c>
      <c r="CH173" s="457">
        <f t="shared" si="394"/>
        <v>0</v>
      </c>
      <c r="CI173" s="457">
        <f t="shared" si="395"/>
        <v>0</v>
      </c>
      <c r="CJ173" s="458">
        <f t="shared" si="396"/>
        <v>0</v>
      </c>
      <c r="CK173" s="458">
        <f t="shared" si="297"/>
        <v>165.02376042970329</v>
      </c>
      <c r="CL173" s="457">
        <f t="shared" si="298"/>
        <v>1225.2656011314548</v>
      </c>
      <c r="CM173" s="504"/>
      <c r="CN173" s="504"/>
    </row>
    <row r="174" spans="1:92" s="502" customFormat="1" ht="14.25" customHeight="1" x14ac:dyDescent="0.25">
      <c r="A174" s="357" t="str">
        <f>IF(D174="",CONCATENATE("Кабель ",IF(C174="а","А",""),$A$9),CONCATENATE("Кабель ",IF(C174="а","А",""),$A$9," ",D174,"*",F174,IF(G174="ок"," (ож)","")," - ",B174," ",IF(G174="мс"," фас. ",""),$A$2))</f>
        <v>Кабель ВВГ 4*16 - 1 ГОСТ 16442-80</v>
      </c>
      <c r="B174" s="1058">
        <v>1</v>
      </c>
      <c r="C174" s="1059" t="s">
        <v>163</v>
      </c>
      <c r="D174" s="1060">
        <v>4</v>
      </c>
      <c r="E174" s="1046" t="s">
        <v>40</v>
      </c>
      <c r="F174" s="1061">
        <v>16</v>
      </c>
      <c r="G174" s="1062" t="str">
        <f>IF(I174=1,"ок","мк")</f>
        <v>мк</v>
      </c>
      <c r="H174" s="1063">
        <v>1.77</v>
      </c>
      <c r="I174" s="1064">
        <v>7</v>
      </c>
      <c r="J174" s="1046" t="s">
        <v>40</v>
      </c>
      <c r="K174" s="1039">
        <f>ROUNDUP(SQRT(F174/I174/PI()*4*1.07),2)</f>
        <v>1.77</v>
      </c>
      <c r="L174" s="347">
        <f>2.8*K174</f>
        <v>4.9559999999999995</v>
      </c>
      <c r="M174" s="1065"/>
      <c r="N174" s="1065"/>
      <c r="O174" s="1065"/>
      <c r="P174" s="1065"/>
      <c r="Q174" s="1040">
        <f t="shared" si="398"/>
        <v>0.8</v>
      </c>
      <c r="R174" s="347">
        <f>IF(B174=0.66,VLOOKUP(F174,'Данные ТНПА'!$B$8:$C$16,2,0),
IF(B174=1,VLOOKUP(F174,'Данные ТНПА'!$B$17:$C$37,2,0),"ошибка"))</f>
        <v>1</v>
      </c>
      <c r="S174" s="1041">
        <f t="shared" si="283"/>
        <v>6.5559999999999992</v>
      </c>
      <c r="T174" s="1046"/>
      <c r="U174" s="1047"/>
      <c r="V174" s="1041">
        <f t="shared" si="284"/>
        <v>6.9559999999999995</v>
      </c>
      <c r="W174" s="1046"/>
      <c r="X174" s="1047"/>
      <c r="Y174" s="347">
        <f t="shared" si="285"/>
        <v>0</v>
      </c>
      <c r="Z174" s="1042">
        <f t="shared" si="286"/>
        <v>16.763960000000001</v>
      </c>
      <c r="AA174" s="346">
        <f t="shared" si="287"/>
        <v>0</v>
      </c>
      <c r="AB174" s="337">
        <f t="shared" si="412"/>
        <v>16.763960000000001</v>
      </c>
      <c r="AC174" s="348">
        <f t="shared" si="288"/>
        <v>0</v>
      </c>
      <c r="AD174" s="1048">
        <f t="shared" si="413"/>
        <v>0</v>
      </c>
      <c r="AE174" s="1038" t="str">
        <f t="shared" si="289"/>
        <v/>
      </c>
      <c r="AF174" s="1049">
        <f t="shared" si="414"/>
        <v>0</v>
      </c>
      <c r="AG174" s="348">
        <f t="shared" si="415"/>
        <v>0</v>
      </c>
      <c r="AH174" s="347">
        <f t="shared" si="290"/>
        <v>16.763960000000001</v>
      </c>
      <c r="AI174" s="1050">
        <f t="shared" si="397"/>
        <v>0</v>
      </c>
      <c r="AJ174" s="1051">
        <f t="shared" si="353"/>
        <v>0</v>
      </c>
      <c r="AK174" s="1052">
        <f t="shared" si="354"/>
        <v>0</v>
      </c>
      <c r="AL174" s="1053">
        <f t="shared" si="355"/>
        <v>0</v>
      </c>
      <c r="AM174" s="1054">
        <f t="shared" si="356"/>
        <v>0</v>
      </c>
      <c r="AN174" s="335">
        <f t="shared" si="357"/>
        <v>16.763960000000001</v>
      </c>
      <c r="AO174" s="1050">
        <f t="shared" si="291"/>
        <v>0</v>
      </c>
      <c r="AP174" s="1051">
        <f t="shared" si="358"/>
        <v>0</v>
      </c>
      <c r="AQ174" s="1052">
        <f t="shared" si="359"/>
        <v>0</v>
      </c>
      <c r="AR174" s="1053">
        <f t="shared" si="360"/>
        <v>0</v>
      </c>
      <c r="AS174" s="1054">
        <f t="shared" si="361"/>
        <v>0</v>
      </c>
      <c r="AT174" s="335">
        <f t="shared" si="362"/>
        <v>16.763960000000001</v>
      </c>
      <c r="AU174" s="1050">
        <f t="shared" si="292"/>
        <v>0</v>
      </c>
      <c r="AV174" s="1051">
        <f t="shared" si="363"/>
        <v>0</v>
      </c>
      <c r="AW174" s="1052">
        <f t="shared" si="364"/>
        <v>0</v>
      </c>
      <c r="AX174" s="1053">
        <f t="shared" si="365"/>
        <v>0</v>
      </c>
      <c r="AY174" s="1054">
        <f t="shared" si="366"/>
        <v>0</v>
      </c>
      <c r="AZ174" s="335">
        <f t="shared" si="367"/>
        <v>16.763960000000001</v>
      </c>
      <c r="BA174" s="340">
        <f>IF(BB174=0,0,
IF(D174=1,
(IF(AND(AH174&gt;'Данные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"ошибка_1"))))))),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"ошибка_2"))))))))</f>
        <v>0</v>
      </c>
      <c r="BB174" s="340">
        <f>IF(OR($AI$9=0,AND(D174&gt;1,F174&gt;10)),0,
IF(D174=1,
(IF(AND(AH174&gt;'Данные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"ошибка_1"))))))),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IF(AND(AH174&gt;'Данные ТНПА'!#REF!,AH174&lt;='Данные ТНПА'!#REF!),'Данные ТНПА'!#REF!,
"ошибка_2"))))))))</f>
        <v>0</v>
      </c>
      <c r="BC174" s="340">
        <f t="shared" si="368"/>
        <v>16.763960000000001</v>
      </c>
      <c r="BD174" s="346">
        <f t="shared" si="369"/>
        <v>0</v>
      </c>
      <c r="BE174" s="340">
        <f t="shared" si="370"/>
        <v>0</v>
      </c>
      <c r="BF174" s="348">
        <f t="shared" si="371"/>
        <v>0</v>
      </c>
      <c r="BG174" s="348">
        <f t="shared" si="372"/>
        <v>0</v>
      </c>
      <c r="BH174" s="347">
        <f t="shared" si="403"/>
        <v>16.763960000000001</v>
      </c>
      <c r="BI174" s="346">
        <f t="shared" si="374"/>
        <v>0</v>
      </c>
      <c r="BJ174" s="338">
        <f t="shared" si="375"/>
        <v>0</v>
      </c>
      <c r="BK174" s="1055">
        <f t="shared" si="416"/>
        <v>0</v>
      </c>
      <c r="BL174" s="344">
        <f t="shared" si="405"/>
        <v>0</v>
      </c>
      <c r="BM174" s="346">
        <f t="shared" si="378"/>
        <v>0</v>
      </c>
      <c r="BN174" s="337">
        <f t="shared" si="406"/>
        <v>16.763960000000001</v>
      </c>
      <c r="BO174" s="346">
        <f t="shared" si="380"/>
        <v>0</v>
      </c>
      <c r="BP174" s="1056">
        <f t="shared" si="381"/>
        <v>0</v>
      </c>
      <c r="BQ174" s="1057" t="str">
        <f t="shared" si="417"/>
        <v/>
      </c>
      <c r="BR174" s="344">
        <f t="shared" si="418"/>
        <v>0</v>
      </c>
      <c r="BS174" s="346">
        <f t="shared" si="384"/>
        <v>0</v>
      </c>
      <c r="BT174" s="337">
        <f t="shared" si="419"/>
        <v>16.763960000000001</v>
      </c>
      <c r="BU174" s="1043">
        <f t="shared" si="410"/>
        <v>1.3449999999999998</v>
      </c>
      <c r="BV174" s="340">
        <f>IF(BT174="","",
IF(AND(BT174&gt;'Данные ТНПА'!$K$8,BT174&lt;='Данные ТНПА'!$L$8),'Данные ТНПА'!$N$8,
IF(AND(BT174&gt;'Данные ТНПА'!$K$9,BT174&lt;='Данные ТНПА'!$L$9),'Данные ТНПА'!$N$9,
IF(AND(BT174&gt;'Данные ТНПА'!$K$10,BT174&lt;='Данные ТНПА'!$L$10),'Данные ТНПА'!$N$10,
IF(AND(BT174&gt;'Данные ТНПА'!$K$11,BT174&lt;='Данные ТНПА'!$L$11),'Данные ТНПА'!$N$11,
IF(AND(BT174&gt;'Данные ТНПА'!$K$12,BT174&lt;='Данные ТНПА'!$L$12),'Данные ТНПА'!$N$12,
IF(AND(BT174&gt;'Данные ТНПА'!$K$13,BT174&lt;='Данные ТНПА'!$L$13),'Данные ТНПА'!$N$13,
IF(AND(BT174&gt;'Данные ТНПА'!$K$14,BT174&lt;='Данные ТНПА'!$L$14),'Данные ТНПА'!$N$14))))))))</f>
        <v>1.7</v>
      </c>
      <c r="BW174" s="340">
        <f t="shared" si="387"/>
        <v>20.163959999999999</v>
      </c>
      <c r="BX174" s="349">
        <f t="shared" si="293"/>
        <v>0</v>
      </c>
      <c r="BY174" s="349">
        <f t="shared" si="294"/>
        <v>572.94272000000001</v>
      </c>
      <c r="BZ174" s="349">
        <f t="shared" si="295"/>
        <v>111.09423102109342</v>
      </c>
      <c r="CA174" s="349" t="e">
        <f t="shared" ref="CA174:CA185" si="420">PI()*POWER(Y174,2)/4*$CA$9</f>
        <v>#REF!</v>
      </c>
      <c r="CB174" s="337">
        <f t="shared" si="389"/>
        <v>0</v>
      </c>
      <c r="CC174" s="349">
        <f t="shared" si="390"/>
        <v>0</v>
      </c>
      <c r="CD174" s="349">
        <f t="shared" si="391"/>
        <v>0</v>
      </c>
      <c r="CE174" s="349">
        <f t="shared" si="392"/>
        <v>0</v>
      </c>
      <c r="CF174" s="349">
        <f t="shared" si="393"/>
        <v>0</v>
      </c>
      <c r="CG174" s="337">
        <f t="shared" si="296"/>
        <v>0</v>
      </c>
      <c r="CH174" s="349">
        <f t="shared" si="394"/>
        <v>0</v>
      </c>
      <c r="CI174" s="349">
        <f t="shared" si="395"/>
        <v>0</v>
      </c>
      <c r="CJ174" s="337">
        <f t="shared" si="396"/>
        <v>0</v>
      </c>
      <c r="CK174" s="337">
        <f t="shared" si="297"/>
        <v>143.57704795135353</v>
      </c>
      <c r="CL174" s="349">
        <f t="shared" si="298"/>
        <v>827.61399897244689</v>
      </c>
      <c r="CM174" s="1044"/>
      <c r="CN174" s="1044"/>
    </row>
    <row r="175" spans="1:92" ht="14.25" hidden="1" customHeight="1" x14ac:dyDescent="0.25">
      <c r="A175" s="389" t="str">
        <f>IF(D175="",CONCATENATE("Кабель ",IF(C175="а","А",""),$A$9),CONCATENATE("Кабель ",IF(C175="а","А",""),$A$9," ",D175,"*",F175,IF(G175="ок"," (ож)","")," - ",B175," ",IF(G175="мс"," фас. ",""),$A$2))</f>
        <v>Кабель ВВГ 4*25 - 1 ГОСТ 16442-80</v>
      </c>
      <c r="B175" s="450">
        <v>1</v>
      </c>
      <c r="C175" s="451" t="s">
        <v>163</v>
      </c>
      <c r="D175" s="412">
        <v>4</v>
      </c>
      <c r="E175" s="413" t="s">
        <v>40</v>
      </c>
      <c r="F175" s="423">
        <v>25</v>
      </c>
      <c r="G175" s="414" t="str">
        <f>IF(I175=1,"ок","мк")</f>
        <v>мк</v>
      </c>
      <c r="H175" s="461">
        <v>2.21</v>
      </c>
      <c r="I175" s="476">
        <v>7</v>
      </c>
      <c r="J175" s="477" t="s">
        <v>40</v>
      </c>
      <c r="K175" s="470">
        <f>ROUNDUP(SQRT(F175/I175/PI()*4*1.07),2)</f>
        <v>2.21</v>
      </c>
      <c r="L175" s="501">
        <v>1.79</v>
      </c>
      <c r="M175" s="475"/>
      <c r="N175" s="475"/>
      <c r="O175" s="475"/>
      <c r="P175" s="475"/>
      <c r="Q175" s="483">
        <f t="shared" si="398"/>
        <v>0.98000000000000009</v>
      </c>
      <c r="R175" s="484">
        <f>IF(B175=0.66,VLOOKUP(F175,'Данные ТНПА'!$B$8:$C$16,2,0),
IF(B175=1,VLOOKUP(F175,'Данные ТНПА'!$B$17:$C$37,2,0),"ошибка"))</f>
        <v>1.2</v>
      </c>
      <c r="S175" s="485">
        <f t="shared" si="283"/>
        <v>3.75</v>
      </c>
      <c r="T175" s="486"/>
      <c r="U175" s="487"/>
      <c r="V175" s="485">
        <f t="shared" si="284"/>
        <v>4.1899999999999995</v>
      </c>
      <c r="W175" s="486"/>
      <c r="X175" s="487"/>
      <c r="Y175" s="489">
        <f t="shared" si="285"/>
        <v>1.7</v>
      </c>
      <c r="Z175" s="491">
        <f t="shared" si="286"/>
        <v>10.097899999999999</v>
      </c>
      <c r="AA175" s="237">
        <f t="shared" si="287"/>
        <v>0</v>
      </c>
      <c r="AB175" s="452">
        <f t="shared" si="412"/>
        <v>10.097899999999999</v>
      </c>
      <c r="AC175" s="201">
        <f t="shared" si="288"/>
        <v>0</v>
      </c>
      <c r="AD175" s="203">
        <f t="shared" si="413"/>
        <v>0</v>
      </c>
      <c r="AE175" s="37" t="str">
        <f t="shared" si="289"/>
        <v/>
      </c>
      <c r="AF175" s="202">
        <f t="shared" si="414"/>
        <v>0</v>
      </c>
      <c r="AG175" s="201">
        <f t="shared" si="415"/>
        <v>0</v>
      </c>
      <c r="AH175" s="61">
        <f t="shared" si="290"/>
        <v>10.097899999999999</v>
      </c>
      <c r="AI175" s="443">
        <f t="shared" si="397"/>
        <v>0</v>
      </c>
      <c r="AJ175" s="444">
        <f t="shared" si="353"/>
        <v>0</v>
      </c>
      <c r="AK175" s="445">
        <f t="shared" si="354"/>
        <v>0</v>
      </c>
      <c r="AL175" s="446">
        <f t="shared" si="355"/>
        <v>0</v>
      </c>
      <c r="AM175" s="447">
        <f t="shared" si="356"/>
        <v>0</v>
      </c>
      <c r="AN175" s="24">
        <f t="shared" si="357"/>
        <v>10.097899999999999</v>
      </c>
      <c r="AO175" s="443">
        <f t="shared" si="291"/>
        <v>0</v>
      </c>
      <c r="AP175" s="444">
        <f t="shared" si="358"/>
        <v>0</v>
      </c>
      <c r="AQ175" s="445">
        <f t="shared" si="359"/>
        <v>0</v>
      </c>
      <c r="AR175" s="446">
        <f t="shared" si="360"/>
        <v>0</v>
      </c>
      <c r="AS175" s="447">
        <f t="shared" si="361"/>
        <v>0</v>
      </c>
      <c r="AT175" s="24">
        <f t="shared" si="362"/>
        <v>10.097899999999999</v>
      </c>
      <c r="AU175" s="443">
        <f t="shared" si="292"/>
        <v>0</v>
      </c>
      <c r="AV175" s="444">
        <f t="shared" si="363"/>
        <v>0</v>
      </c>
      <c r="AW175" s="445">
        <f t="shared" si="364"/>
        <v>0</v>
      </c>
      <c r="AX175" s="446">
        <f t="shared" si="365"/>
        <v>0</v>
      </c>
      <c r="AY175" s="447">
        <f t="shared" si="366"/>
        <v>0</v>
      </c>
      <c r="AZ175" s="24">
        <f t="shared" si="367"/>
        <v>10.097899999999999</v>
      </c>
      <c r="BA175" s="43">
        <f>IF(BB175=0,0,
IF(D175=1,
(IF(AND(AH175&gt;'Данные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"ошибка_1"))))))),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"ошибка_2"))))))))</f>
        <v>0</v>
      </c>
      <c r="BB175" s="43">
        <f>IF(OR($AI$9=0,AND(D175&gt;1,F175&gt;10)),0,
IF(D175=1,
(IF(AND(AH175&gt;'Данные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"ошибка_1"))))))),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IF(AND(AH175&gt;'Данные ТНПА'!#REF!,AH175&lt;='Данные ТНПА'!#REF!),'Данные ТНПА'!#REF!,
"ошибка_2"))))))))</f>
        <v>0</v>
      </c>
      <c r="BC175" s="43">
        <f t="shared" si="368"/>
        <v>10.097899999999999</v>
      </c>
      <c r="BD175" s="237">
        <f t="shared" si="369"/>
        <v>0</v>
      </c>
      <c r="BE175" s="43">
        <f t="shared" si="370"/>
        <v>0</v>
      </c>
      <c r="BF175" s="201">
        <f t="shared" si="371"/>
        <v>0</v>
      </c>
      <c r="BG175" s="201">
        <f t="shared" si="372"/>
        <v>0</v>
      </c>
      <c r="BH175" s="61">
        <f t="shared" si="403"/>
        <v>10.097899999999999</v>
      </c>
      <c r="BI175" s="237">
        <f t="shared" si="374"/>
        <v>0</v>
      </c>
      <c r="BJ175" s="247">
        <f t="shared" si="375"/>
        <v>0</v>
      </c>
      <c r="BK175" s="431">
        <f t="shared" si="416"/>
        <v>0</v>
      </c>
      <c r="BL175" s="250">
        <f t="shared" si="405"/>
        <v>0</v>
      </c>
      <c r="BM175" s="237">
        <f t="shared" si="378"/>
        <v>0</v>
      </c>
      <c r="BN175" s="452">
        <f t="shared" si="406"/>
        <v>10.097899999999999</v>
      </c>
      <c r="BO175" s="237">
        <f t="shared" si="380"/>
        <v>0</v>
      </c>
      <c r="BP175" s="432">
        <f t="shared" si="381"/>
        <v>0</v>
      </c>
      <c r="BQ175" s="22" t="str">
        <f t="shared" si="417"/>
        <v/>
      </c>
      <c r="BR175" s="250">
        <f t="shared" si="418"/>
        <v>0</v>
      </c>
      <c r="BS175" s="237">
        <f t="shared" si="384"/>
        <v>0</v>
      </c>
      <c r="BT175" s="452">
        <f t="shared" si="419"/>
        <v>10.097899999999999</v>
      </c>
      <c r="BU175" s="492">
        <f t="shared" si="410"/>
        <v>1.1749999999999998</v>
      </c>
      <c r="BV175" s="493">
        <f>IF(BT175="","",
IF(AND(BT175&gt;'Данные ТНПА'!$K$8,BT175&lt;='Данные ТНПА'!$L$8),'Данные ТНПА'!$N$8,
IF(AND(BT175&gt;'Данные ТНПА'!$K$9,BT175&lt;='Данные ТНПА'!$L$9),'Данные ТНПА'!$N$9,
IF(AND(BT175&gt;'Данные ТНПА'!$K$10,BT175&lt;='Данные ТНПА'!$L$10),'Данные ТНПА'!$N$10,
IF(AND(BT175&gt;'Данные ТНПА'!$K$11,BT175&lt;='Данные ТНПА'!$L$11),'Данные ТНПА'!$N$11,
IF(AND(BT175&gt;'Данные ТНПА'!$K$12,BT175&lt;='Данные ТНПА'!$L$12),'Данные ТНПА'!$N$12,
IF(AND(BT175&gt;'Данные ТНПА'!$K$13,BT175&lt;='Данные ТНПА'!$L$13),'Данные ТНПА'!$N$13,
IF(AND(BT175&gt;'Данные ТНПА'!$K$14,BT175&lt;='Данные ТНПА'!$L$14),'Данные ТНПА'!$N$14))))))))</f>
        <v>1.5</v>
      </c>
      <c r="BW175" s="493">
        <f t="shared" si="387"/>
        <v>13.097899999999999</v>
      </c>
      <c r="BX175" s="457">
        <f t="shared" si="293"/>
        <v>0</v>
      </c>
      <c r="BY175" s="457">
        <f t="shared" si="294"/>
        <v>895.22299999999996</v>
      </c>
      <c r="BZ175" s="457">
        <f t="shared" si="295"/>
        <v>66.925134470060996</v>
      </c>
      <c r="CA175" s="457" t="e">
        <f t="shared" si="420"/>
        <v>#REF!</v>
      </c>
      <c r="CB175" s="458">
        <f t="shared" si="389"/>
        <v>0</v>
      </c>
      <c r="CC175" s="457">
        <f t="shared" si="390"/>
        <v>0</v>
      </c>
      <c r="CD175" s="457">
        <f t="shared" si="391"/>
        <v>0</v>
      </c>
      <c r="CE175" s="457">
        <f t="shared" si="392"/>
        <v>0</v>
      </c>
      <c r="CF175" s="457">
        <f t="shared" si="393"/>
        <v>0</v>
      </c>
      <c r="CG175" s="458">
        <f t="shared" si="296"/>
        <v>0</v>
      </c>
      <c r="CH175" s="457">
        <f t="shared" si="394"/>
        <v>0</v>
      </c>
      <c r="CI175" s="457">
        <f t="shared" si="395"/>
        <v>0</v>
      </c>
      <c r="CJ175" s="458">
        <f t="shared" si="396"/>
        <v>0</v>
      </c>
      <c r="CK175" s="458">
        <f t="shared" si="297"/>
        <v>79.575956322558824</v>
      </c>
      <c r="CL175" s="457">
        <f t="shared" si="298"/>
        <v>1041.7240907926198</v>
      </c>
      <c r="CM175" s="504"/>
      <c r="CN175" s="504"/>
    </row>
    <row r="176" spans="1:92" ht="14.25" hidden="1" customHeight="1" x14ac:dyDescent="0.25">
      <c r="A176" s="389" t="str">
        <f>IF(D176="",CONCATENATE("Кабель ",IF(C176="а","А",""),$A$9),CONCATENATE("Кабель ",IF(C176="а","А",""),$A$9," ",D176,"*",F176,IF(G176="ок"," (ож)","")," - ",B176," ",IF(G176="мс"," фас. ",""),$A$2))</f>
        <v>Кабель ВВГ 4*35 - 1 ГОСТ 16442-80</v>
      </c>
      <c r="B176" s="450">
        <v>1</v>
      </c>
      <c r="C176" s="451" t="s">
        <v>163</v>
      </c>
      <c r="D176" s="412">
        <v>4</v>
      </c>
      <c r="E176" s="413" t="s">
        <v>40</v>
      </c>
      <c r="F176" s="423">
        <v>35</v>
      </c>
      <c r="G176" s="414" t="str">
        <f>IF(I176=1,"ок","мк")</f>
        <v>мк</v>
      </c>
      <c r="H176" s="461">
        <v>2.61</v>
      </c>
      <c r="I176" s="476">
        <v>7</v>
      </c>
      <c r="J176" s="477" t="s">
        <v>40</v>
      </c>
      <c r="K176" s="470">
        <f>ROUNDUP(SQRT(F176/I176/PI()*4*1.07),2)</f>
        <v>2.61</v>
      </c>
      <c r="L176" s="501">
        <v>2.2599999999999998</v>
      </c>
      <c r="M176" s="475"/>
      <c r="N176" s="475"/>
      <c r="O176" s="475"/>
      <c r="P176" s="475"/>
      <c r="Q176" s="483">
        <f t="shared" si="398"/>
        <v>0.98000000000000009</v>
      </c>
      <c r="R176" s="484">
        <f>IF(B176=0.66,VLOOKUP(F176,'Данные ТНПА'!$B$8:$C$16,2,0),
IF(B176=1,VLOOKUP(F176,'Данные ТНПА'!$B$17:$C$37,2,0),"ошибка"))</f>
        <v>1.2</v>
      </c>
      <c r="S176" s="485">
        <f t="shared" si="283"/>
        <v>4.22</v>
      </c>
      <c r="T176" s="486"/>
      <c r="U176" s="487"/>
      <c r="V176" s="485">
        <f t="shared" si="284"/>
        <v>4.66</v>
      </c>
      <c r="W176" s="486"/>
      <c r="X176" s="487"/>
      <c r="Y176" s="489">
        <f t="shared" si="285"/>
        <v>1.9</v>
      </c>
      <c r="Z176" s="491">
        <f t="shared" si="286"/>
        <v>11.230600000000001</v>
      </c>
      <c r="AA176" s="237">
        <f t="shared" si="287"/>
        <v>0</v>
      </c>
      <c r="AB176" s="452">
        <f t="shared" si="412"/>
        <v>11.230600000000001</v>
      </c>
      <c r="AC176" s="201">
        <f t="shared" si="288"/>
        <v>0</v>
      </c>
      <c r="AD176" s="203">
        <f t="shared" si="413"/>
        <v>0</v>
      </c>
      <c r="AE176" s="37" t="str">
        <f t="shared" si="289"/>
        <v/>
      </c>
      <c r="AF176" s="202">
        <f t="shared" si="414"/>
        <v>0</v>
      </c>
      <c r="AG176" s="201">
        <f t="shared" si="415"/>
        <v>0</v>
      </c>
      <c r="AH176" s="61">
        <f t="shared" si="290"/>
        <v>11.230600000000001</v>
      </c>
      <c r="AI176" s="443">
        <f t="shared" si="397"/>
        <v>0</v>
      </c>
      <c r="AJ176" s="444">
        <f t="shared" si="353"/>
        <v>0</v>
      </c>
      <c r="AK176" s="445">
        <f t="shared" si="354"/>
        <v>0</v>
      </c>
      <c r="AL176" s="446">
        <f t="shared" si="355"/>
        <v>0</v>
      </c>
      <c r="AM176" s="447">
        <f t="shared" si="356"/>
        <v>0</v>
      </c>
      <c r="AN176" s="24">
        <f t="shared" si="357"/>
        <v>11.230600000000001</v>
      </c>
      <c r="AO176" s="443">
        <f t="shared" si="291"/>
        <v>0</v>
      </c>
      <c r="AP176" s="444">
        <f t="shared" si="358"/>
        <v>0</v>
      </c>
      <c r="AQ176" s="445">
        <f t="shared" si="359"/>
        <v>0</v>
      </c>
      <c r="AR176" s="446">
        <f t="shared" si="360"/>
        <v>0</v>
      </c>
      <c r="AS176" s="447">
        <f t="shared" si="361"/>
        <v>0</v>
      </c>
      <c r="AT176" s="24">
        <f t="shared" si="362"/>
        <v>11.230600000000001</v>
      </c>
      <c r="AU176" s="443">
        <f t="shared" si="292"/>
        <v>0</v>
      </c>
      <c r="AV176" s="444">
        <f t="shared" si="363"/>
        <v>0</v>
      </c>
      <c r="AW176" s="445">
        <f t="shared" si="364"/>
        <v>0</v>
      </c>
      <c r="AX176" s="446">
        <f t="shared" si="365"/>
        <v>0</v>
      </c>
      <c r="AY176" s="447">
        <f t="shared" si="366"/>
        <v>0</v>
      </c>
      <c r="AZ176" s="24">
        <f t="shared" si="367"/>
        <v>11.230600000000001</v>
      </c>
      <c r="BA176" s="43">
        <f>IF(BB176=0,0,
IF(D176=1,
(IF(AND(AH176&gt;'Данные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"ошибка_1"))))))),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"ошибка_2"))))))))</f>
        <v>0</v>
      </c>
      <c r="BB176" s="43">
        <f>IF(OR($AI$9=0,AND(D176&gt;1,F176&gt;10)),0,
IF(D176=1,
(IF(AND(AH176&gt;'Данные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"ошибка_1"))))))),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IF(AND(AH176&gt;'Данные ТНПА'!#REF!,AH176&lt;='Данные ТНПА'!#REF!),'Данные ТНПА'!#REF!,
"ошибка_2"))))))))</f>
        <v>0</v>
      </c>
      <c r="BC176" s="43">
        <f t="shared" si="368"/>
        <v>11.230600000000001</v>
      </c>
      <c r="BD176" s="237">
        <f t="shared" si="369"/>
        <v>0</v>
      </c>
      <c r="BE176" s="43">
        <f t="shared" si="370"/>
        <v>0</v>
      </c>
      <c r="BF176" s="201">
        <f t="shared" si="371"/>
        <v>0</v>
      </c>
      <c r="BG176" s="201">
        <f t="shared" si="372"/>
        <v>0</v>
      </c>
      <c r="BH176" s="61">
        <f t="shared" si="403"/>
        <v>11.230600000000001</v>
      </c>
      <c r="BI176" s="237">
        <f t="shared" si="374"/>
        <v>0</v>
      </c>
      <c r="BJ176" s="247">
        <f t="shared" si="375"/>
        <v>0</v>
      </c>
      <c r="BK176" s="431">
        <f t="shared" si="416"/>
        <v>0</v>
      </c>
      <c r="BL176" s="250">
        <f t="shared" si="405"/>
        <v>0</v>
      </c>
      <c r="BM176" s="237">
        <f t="shared" si="378"/>
        <v>0</v>
      </c>
      <c r="BN176" s="452">
        <f t="shared" si="406"/>
        <v>11.230600000000001</v>
      </c>
      <c r="BO176" s="237">
        <f t="shared" si="380"/>
        <v>0</v>
      </c>
      <c r="BP176" s="432">
        <f t="shared" si="381"/>
        <v>0</v>
      </c>
      <c r="BQ176" s="22" t="str">
        <f t="shared" si="417"/>
        <v/>
      </c>
      <c r="BR176" s="250">
        <f t="shared" si="418"/>
        <v>0</v>
      </c>
      <c r="BS176" s="237">
        <f t="shared" si="384"/>
        <v>0</v>
      </c>
      <c r="BT176" s="452">
        <f t="shared" si="419"/>
        <v>11.230600000000001</v>
      </c>
      <c r="BU176" s="492">
        <f t="shared" si="410"/>
        <v>1.1749999999999998</v>
      </c>
      <c r="BV176" s="493">
        <f>IF(BT176="","",
IF(AND(BT176&gt;'Данные ТНПА'!$K$8,BT176&lt;='Данные ТНПА'!$L$8),'Данные ТНПА'!$N$8,
IF(AND(BT176&gt;'Данные ТНПА'!$K$9,BT176&lt;='Данные ТНПА'!$L$9),'Данные ТНПА'!$N$9,
IF(AND(BT176&gt;'Данные ТНПА'!$K$10,BT176&lt;='Данные ТНПА'!$L$10),'Данные ТНПА'!$N$10,
IF(AND(BT176&gt;'Данные ТНПА'!$K$11,BT176&lt;='Данные ТНПА'!$L$11),'Данные ТНПА'!$N$11,
IF(AND(BT176&gt;'Данные ТНПА'!$K$12,BT176&lt;='Данные ТНПА'!$L$12),'Данные ТНПА'!$N$12,
IF(AND(BT176&gt;'Данные ТНПА'!$K$13,BT176&lt;='Данные ТНПА'!$L$13),'Данные ТНПА'!$N$13,
IF(AND(BT176&gt;'Данные ТНПА'!$K$14,BT176&lt;='Данные ТНПА'!$L$14),'Данные ТНПА'!$N$14))))))))</f>
        <v>1.5</v>
      </c>
      <c r="BW176" s="493">
        <f t="shared" si="387"/>
        <v>14.230600000000001</v>
      </c>
      <c r="BX176" s="457">
        <f t="shared" si="293"/>
        <v>0</v>
      </c>
      <c r="BY176" s="457">
        <f t="shared" si="294"/>
        <v>1253.3122000000001</v>
      </c>
      <c r="BZ176" s="457">
        <f t="shared" si="295"/>
        <v>77.445138885087289</v>
      </c>
      <c r="CA176" s="457" t="e">
        <f t="shared" si="420"/>
        <v>#REF!</v>
      </c>
      <c r="CB176" s="458">
        <f t="shared" si="389"/>
        <v>0</v>
      </c>
      <c r="CC176" s="457">
        <f t="shared" si="390"/>
        <v>0</v>
      </c>
      <c r="CD176" s="457">
        <f t="shared" si="391"/>
        <v>0</v>
      </c>
      <c r="CE176" s="457">
        <f t="shared" si="392"/>
        <v>0</v>
      </c>
      <c r="CF176" s="457">
        <f t="shared" si="393"/>
        <v>0</v>
      </c>
      <c r="CG176" s="458">
        <f t="shared" si="296"/>
        <v>0</v>
      </c>
      <c r="CH176" s="457">
        <f t="shared" si="394"/>
        <v>0</v>
      </c>
      <c r="CI176" s="457">
        <f t="shared" si="395"/>
        <v>0</v>
      </c>
      <c r="CJ176" s="458">
        <f t="shared" si="396"/>
        <v>0</v>
      </c>
      <c r="CK176" s="458">
        <f t="shared" si="297"/>
        <v>87.347681007765843</v>
      </c>
      <c r="CL176" s="457">
        <f t="shared" si="298"/>
        <v>1418.1050198928533</v>
      </c>
      <c r="CM176" s="504"/>
      <c r="CN176" s="504"/>
    </row>
    <row r="177" spans="1:92" ht="14.25" hidden="1" customHeight="1" x14ac:dyDescent="0.25">
      <c r="A177" s="389" t="str">
        <f>IF(D177="",CONCATENATE("Кабель ",IF(C177="а","А",""),$A$9),CONCATENATE("Кабель ",IF(C177="а","А",""),$A$9," ",D177,"*",F177,IF(G177="ок"," (ож)","")," - ",B177," ",IF(G177="мс"," фас. ",""),$A$2))</f>
        <v>Кабель ВВГ 4*50 - 1 ГОСТ 16442-80</v>
      </c>
      <c r="B177" s="450">
        <v>1</v>
      </c>
      <c r="C177" s="451" t="s">
        <v>163</v>
      </c>
      <c r="D177" s="412">
        <v>4</v>
      </c>
      <c r="E177" s="413" t="s">
        <v>40</v>
      </c>
      <c r="F177" s="423">
        <v>50</v>
      </c>
      <c r="G177" s="414" t="str">
        <f>IF(I177=1,"ок","мк")</f>
        <v>мк</v>
      </c>
      <c r="H177" s="461">
        <v>3.1199999999999997</v>
      </c>
      <c r="I177" s="476">
        <v>7</v>
      </c>
      <c r="J177" s="477" t="s">
        <v>40</v>
      </c>
      <c r="K177" s="470">
        <f>ROUNDUP(SQRT(F177/I177/PI()*4*1.07),2)</f>
        <v>3.1199999999999997</v>
      </c>
      <c r="L177" s="501">
        <v>2.7699999999999996</v>
      </c>
      <c r="M177" s="475"/>
      <c r="N177" s="475"/>
      <c r="O177" s="475"/>
      <c r="P177" s="475"/>
      <c r="Q177" s="483">
        <f t="shared" si="398"/>
        <v>1.1599999999999999</v>
      </c>
      <c r="R177" s="484">
        <f>IF(B177=0.66,VLOOKUP(F177,'Данные ТНПА'!$B$8:$C$16,2,0),
IF(B177=1,VLOOKUP(F177,'Данные ТНПА'!$B$17:$C$37,2,0),"ошибка"))</f>
        <v>1.4</v>
      </c>
      <c r="S177" s="485">
        <f t="shared" si="283"/>
        <v>5.09</v>
      </c>
      <c r="T177" s="486"/>
      <c r="U177" s="487"/>
      <c r="V177" s="485">
        <f t="shared" si="284"/>
        <v>5.5699999999999994</v>
      </c>
      <c r="W177" s="486"/>
      <c r="X177" s="487"/>
      <c r="Y177" s="489">
        <f t="shared" si="285"/>
        <v>2.2999999999999998</v>
      </c>
      <c r="Z177" s="491">
        <f t="shared" si="286"/>
        <v>13.4237</v>
      </c>
      <c r="AA177" s="237">
        <f t="shared" si="287"/>
        <v>0</v>
      </c>
      <c r="AB177" s="452">
        <f t="shared" si="412"/>
        <v>13.4237</v>
      </c>
      <c r="AC177" s="201">
        <f t="shared" si="288"/>
        <v>0</v>
      </c>
      <c r="AD177" s="203">
        <f t="shared" si="413"/>
        <v>0</v>
      </c>
      <c r="AE177" s="37" t="str">
        <f t="shared" si="289"/>
        <v/>
      </c>
      <c r="AF177" s="202">
        <f t="shared" si="414"/>
        <v>0</v>
      </c>
      <c r="AG177" s="201">
        <f t="shared" si="415"/>
        <v>0</v>
      </c>
      <c r="AH177" s="61">
        <f t="shared" si="290"/>
        <v>13.4237</v>
      </c>
      <c r="AI177" s="443">
        <f t="shared" si="397"/>
        <v>0</v>
      </c>
      <c r="AJ177" s="444">
        <f t="shared" si="353"/>
        <v>0</v>
      </c>
      <c r="AK177" s="445">
        <f t="shared" si="354"/>
        <v>0</v>
      </c>
      <c r="AL177" s="446">
        <f t="shared" si="355"/>
        <v>0</v>
      </c>
      <c r="AM177" s="447">
        <f t="shared" si="356"/>
        <v>0</v>
      </c>
      <c r="AN177" s="24">
        <f t="shared" si="357"/>
        <v>13.4237</v>
      </c>
      <c r="AO177" s="443">
        <f t="shared" si="291"/>
        <v>0</v>
      </c>
      <c r="AP177" s="444">
        <f t="shared" si="358"/>
        <v>0</v>
      </c>
      <c r="AQ177" s="445">
        <f t="shared" si="359"/>
        <v>0</v>
      </c>
      <c r="AR177" s="446">
        <f t="shared" si="360"/>
        <v>0</v>
      </c>
      <c r="AS177" s="447">
        <f t="shared" si="361"/>
        <v>0</v>
      </c>
      <c r="AT177" s="24">
        <f t="shared" si="362"/>
        <v>13.4237</v>
      </c>
      <c r="AU177" s="443">
        <f t="shared" si="292"/>
        <v>0</v>
      </c>
      <c r="AV177" s="444">
        <f t="shared" si="363"/>
        <v>0</v>
      </c>
      <c r="AW177" s="445">
        <f t="shared" si="364"/>
        <v>0</v>
      </c>
      <c r="AX177" s="446">
        <f t="shared" si="365"/>
        <v>0</v>
      </c>
      <c r="AY177" s="447">
        <f t="shared" si="366"/>
        <v>0</v>
      </c>
      <c r="AZ177" s="24">
        <f t="shared" si="367"/>
        <v>13.4237</v>
      </c>
      <c r="BA177" s="43">
        <f>IF(BB177=0,0,
IF(D177=1,
(IF(AND(AH177&gt;'Данные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"ошибка_1"))))))),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"ошибка_2"))))))))</f>
        <v>0</v>
      </c>
      <c r="BB177" s="43">
        <f>IF(OR($AI$9=0,AND(D177&gt;1,F177&gt;10)),0,
IF(D177=1,
(IF(AND(AH177&gt;'Данные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"ошибка_1"))))))),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IF(AND(AH177&gt;'Данные ТНПА'!#REF!,AH177&lt;='Данные ТНПА'!#REF!),'Данные ТНПА'!#REF!,
"ошибка_2"))))))))</f>
        <v>0</v>
      </c>
      <c r="BC177" s="43">
        <f t="shared" si="368"/>
        <v>13.4237</v>
      </c>
      <c r="BD177" s="237">
        <f t="shared" si="369"/>
        <v>0</v>
      </c>
      <c r="BE177" s="43">
        <f t="shared" si="370"/>
        <v>0</v>
      </c>
      <c r="BF177" s="201">
        <f t="shared" si="371"/>
        <v>0</v>
      </c>
      <c r="BG177" s="201">
        <f t="shared" si="372"/>
        <v>0</v>
      </c>
      <c r="BH177" s="61">
        <f t="shared" si="403"/>
        <v>13.4237</v>
      </c>
      <c r="BI177" s="237">
        <f t="shared" si="374"/>
        <v>0</v>
      </c>
      <c r="BJ177" s="247">
        <f t="shared" si="375"/>
        <v>0</v>
      </c>
      <c r="BK177" s="431">
        <f t="shared" si="416"/>
        <v>0</v>
      </c>
      <c r="BL177" s="250">
        <f t="shared" si="405"/>
        <v>0</v>
      </c>
      <c r="BM177" s="237">
        <f t="shared" si="378"/>
        <v>0</v>
      </c>
      <c r="BN177" s="452">
        <f t="shared" si="406"/>
        <v>13.4237</v>
      </c>
      <c r="BO177" s="237">
        <f t="shared" si="380"/>
        <v>0</v>
      </c>
      <c r="BP177" s="432">
        <f t="shared" si="381"/>
        <v>0</v>
      </c>
      <c r="BQ177" s="22" t="str">
        <f t="shared" si="417"/>
        <v/>
      </c>
      <c r="BR177" s="250">
        <f t="shared" si="418"/>
        <v>0</v>
      </c>
      <c r="BS177" s="237">
        <f t="shared" si="384"/>
        <v>0</v>
      </c>
      <c r="BT177" s="452">
        <f t="shared" si="419"/>
        <v>13.4237</v>
      </c>
      <c r="BU177" s="492">
        <f t="shared" si="410"/>
        <v>1.1749999999999998</v>
      </c>
      <c r="BV177" s="493">
        <f>IF(BT177="","",
IF(AND(BT177&gt;'Данные ТНПА'!$K$8,BT177&lt;='Данные ТНПА'!$L$8),'Данные ТНПА'!$N$8,
IF(AND(BT177&gt;'Данные ТНПА'!$K$9,BT177&lt;='Данные ТНПА'!$L$9),'Данные ТНПА'!$N$9,
IF(AND(BT177&gt;'Данные ТНПА'!$K$10,BT177&lt;='Данные ТНПА'!$L$10),'Данные ТНПА'!$N$10,
IF(AND(BT177&gt;'Данные ТНПА'!$K$11,BT177&lt;='Данные ТНПА'!$L$11),'Данные ТНПА'!$N$11,
IF(AND(BT177&gt;'Данные ТНПА'!$K$12,BT177&lt;='Данные ТНПА'!$L$12),'Данные ТНПА'!$N$12,
IF(AND(BT177&gt;'Данные ТНПА'!$K$13,BT177&lt;='Данные ТНПА'!$L$13),'Данные ТНПА'!$N$13,
IF(AND(BT177&gt;'Данные ТНПА'!$K$14,BT177&lt;='Данные ТНПА'!$L$14),'Данные ТНПА'!$N$14))))))))</f>
        <v>1.5</v>
      </c>
      <c r="BW177" s="493">
        <f t="shared" si="387"/>
        <v>16.4237</v>
      </c>
      <c r="BX177" s="457">
        <f t="shared" si="293"/>
        <v>0</v>
      </c>
      <c r="BY177" s="457">
        <f t="shared" si="294"/>
        <v>1790.4459999999999</v>
      </c>
      <c r="BZ177" s="457">
        <f t="shared" si="295"/>
        <v>108.89323718958084</v>
      </c>
      <c r="CA177" s="457" t="e">
        <f t="shared" si="420"/>
        <v>#REF!</v>
      </c>
      <c r="CB177" s="458">
        <f t="shared" si="389"/>
        <v>0</v>
      </c>
      <c r="CC177" s="457">
        <f t="shared" si="390"/>
        <v>0</v>
      </c>
      <c r="CD177" s="457">
        <f t="shared" si="391"/>
        <v>0</v>
      </c>
      <c r="CE177" s="457">
        <f t="shared" si="392"/>
        <v>0</v>
      </c>
      <c r="CF177" s="457">
        <f t="shared" si="393"/>
        <v>0</v>
      </c>
      <c r="CG177" s="458">
        <f t="shared" si="296"/>
        <v>0</v>
      </c>
      <c r="CH177" s="457">
        <f t="shared" si="394"/>
        <v>0</v>
      </c>
      <c r="CI177" s="457">
        <f t="shared" si="395"/>
        <v>0</v>
      </c>
      <c r="CJ177" s="458">
        <f t="shared" si="396"/>
        <v>0</v>
      </c>
      <c r="CK177" s="458">
        <f t="shared" si="297"/>
        <v>102.39506284508154</v>
      </c>
      <c r="CL177" s="457">
        <f t="shared" si="298"/>
        <v>2001.7343000346623</v>
      </c>
      <c r="CM177" s="504"/>
      <c r="CN177" s="504"/>
    </row>
    <row r="178" spans="1:92" ht="14.25" hidden="1" customHeight="1" x14ac:dyDescent="0.25">
      <c r="A178" s="389" t="str">
        <f>IF(D178="",CONCATENATE("Кабель ",IF(C178="а","А",""),$A$9),CONCATENATE("Кабель ",IF(C178="а","А",""),$A$9," ",D178,"*",F178,IF(G178="ок"," (ож)","")," - ",B178," ",IF(G178="мс"," фас. ",""),$A$2))</f>
        <v>Кабель ВВГ 4*1,5 (ож) - 1 ГОСТ 16442-80</v>
      </c>
      <c r="B178" s="450">
        <v>1</v>
      </c>
      <c r="C178" s="451" t="s">
        <v>163</v>
      </c>
      <c r="D178" s="412">
        <v>4</v>
      </c>
      <c r="E178" s="413" t="s">
        <v>40</v>
      </c>
      <c r="F178" s="423">
        <v>1.5</v>
      </c>
      <c r="G178" s="414" t="str">
        <f>IF(I178=1,"ок","мк")</f>
        <v>ок</v>
      </c>
      <c r="H178" s="461">
        <v>1.39</v>
      </c>
      <c r="I178" s="497">
        <v>1</v>
      </c>
      <c r="J178" s="498" t="s">
        <v>40</v>
      </c>
      <c r="K178" s="496">
        <f>ROUNDUP(SQRT(F178/PI()*4),2)</f>
        <v>1.39</v>
      </c>
      <c r="L178" s="501">
        <v>3.57</v>
      </c>
      <c r="M178" s="475"/>
      <c r="N178" s="475"/>
      <c r="O178" s="475"/>
      <c r="P178" s="475"/>
      <c r="Q178" s="483">
        <f t="shared" si="398"/>
        <v>0.62000000000000011</v>
      </c>
      <c r="R178" s="484">
        <f>IF(B178=0.66,VLOOKUP(F178,'Данные ТНПА'!$B$8:$C$16,2,0),
IF(B178=1,VLOOKUP(F178,'Данные ТНПА'!$B$17:$C$37,2,0),"ошибка"))</f>
        <v>0.8</v>
      </c>
      <c r="S178" s="485">
        <f t="shared" si="283"/>
        <v>2.63</v>
      </c>
      <c r="T178" s="486"/>
      <c r="U178" s="487"/>
      <c r="V178" s="485">
        <f t="shared" si="284"/>
        <v>2.99</v>
      </c>
      <c r="W178" s="486"/>
      <c r="X178" s="487"/>
      <c r="Y178" s="489">
        <f t="shared" si="285"/>
        <v>0</v>
      </c>
      <c r="Z178" s="491">
        <f t="shared" si="286"/>
        <v>7.2059000000000006</v>
      </c>
      <c r="AA178" s="237">
        <f t="shared" si="287"/>
        <v>0</v>
      </c>
      <c r="AB178" s="452">
        <f t="shared" si="412"/>
        <v>7.2059000000000006</v>
      </c>
      <c r="AC178" s="201">
        <f t="shared" si="288"/>
        <v>0</v>
      </c>
      <c r="AD178" s="203">
        <f t="shared" si="413"/>
        <v>0</v>
      </c>
      <c r="AE178" s="37" t="str">
        <f t="shared" si="289"/>
        <v/>
      </c>
      <c r="AF178" s="202">
        <f t="shared" si="414"/>
        <v>0</v>
      </c>
      <c r="AG178" s="201">
        <f t="shared" si="415"/>
        <v>0</v>
      </c>
      <c r="AH178" s="61">
        <f t="shared" si="290"/>
        <v>7.2059000000000006</v>
      </c>
      <c r="AI178" s="443">
        <f t="shared" si="397"/>
        <v>0</v>
      </c>
      <c r="AJ178" s="444">
        <f t="shared" si="353"/>
        <v>0</v>
      </c>
      <c r="AK178" s="445">
        <f t="shared" si="354"/>
        <v>0</v>
      </c>
      <c r="AL178" s="446">
        <f t="shared" si="355"/>
        <v>0</v>
      </c>
      <c r="AM178" s="447">
        <f t="shared" si="356"/>
        <v>0</v>
      </c>
      <c r="AN178" s="24">
        <f t="shared" si="357"/>
        <v>7.2059000000000006</v>
      </c>
      <c r="AO178" s="443">
        <f t="shared" si="291"/>
        <v>0</v>
      </c>
      <c r="AP178" s="444">
        <f t="shared" si="358"/>
        <v>0</v>
      </c>
      <c r="AQ178" s="445">
        <f t="shared" si="359"/>
        <v>0</v>
      </c>
      <c r="AR178" s="446">
        <f t="shared" si="360"/>
        <v>0</v>
      </c>
      <c r="AS178" s="447">
        <f t="shared" si="361"/>
        <v>0</v>
      </c>
      <c r="AT178" s="24">
        <f t="shared" si="362"/>
        <v>7.2059000000000006</v>
      </c>
      <c r="AU178" s="443">
        <f t="shared" si="292"/>
        <v>0</v>
      </c>
      <c r="AV178" s="444">
        <f t="shared" si="363"/>
        <v>0</v>
      </c>
      <c r="AW178" s="445">
        <f t="shared" si="364"/>
        <v>0</v>
      </c>
      <c r="AX178" s="446">
        <f t="shared" si="365"/>
        <v>0</v>
      </c>
      <c r="AY178" s="447">
        <f t="shared" si="366"/>
        <v>0</v>
      </c>
      <c r="AZ178" s="24">
        <f t="shared" si="367"/>
        <v>7.2059000000000006</v>
      </c>
      <c r="BA178" s="43">
        <f>IF(BB178=0,0,
IF(D178=1,
(IF(AND(AH178&gt;'Данные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"ошибка_1"))))))),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"ошибка_2"))))))))</f>
        <v>0</v>
      </c>
      <c r="BB178" s="43">
        <f>IF(OR($AI$9=0,AND(D178&gt;1,F178&gt;10)),0,
IF(D178=1,
(IF(AND(AH178&gt;'Данные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"ошибка_1"))))))),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IF(AND(AH178&gt;'Данные ТНПА'!#REF!,AH178&lt;='Данные ТНПА'!#REF!),'Данные ТНПА'!#REF!,
"ошибка_2"))))))))</f>
        <v>0</v>
      </c>
      <c r="BC178" s="43">
        <f t="shared" si="368"/>
        <v>7.2059000000000006</v>
      </c>
      <c r="BD178" s="237">
        <f t="shared" si="369"/>
        <v>0</v>
      </c>
      <c r="BE178" s="43">
        <f t="shared" si="370"/>
        <v>0</v>
      </c>
      <c r="BF178" s="201">
        <f t="shared" si="371"/>
        <v>0</v>
      </c>
      <c r="BG178" s="201">
        <f t="shared" si="372"/>
        <v>0</v>
      </c>
      <c r="BH178" s="61">
        <f t="shared" si="403"/>
        <v>7.2059000000000006</v>
      </c>
      <c r="BI178" s="237">
        <f t="shared" si="374"/>
        <v>0</v>
      </c>
      <c r="BJ178" s="247">
        <f t="shared" si="375"/>
        <v>0</v>
      </c>
      <c r="BK178" s="431">
        <f t="shared" si="416"/>
        <v>0</v>
      </c>
      <c r="BL178" s="250">
        <f t="shared" si="405"/>
        <v>0</v>
      </c>
      <c r="BM178" s="237">
        <f t="shared" si="378"/>
        <v>0</v>
      </c>
      <c r="BN178" s="452">
        <f t="shared" si="406"/>
        <v>7.2059000000000006</v>
      </c>
      <c r="BO178" s="237">
        <f t="shared" si="380"/>
        <v>0</v>
      </c>
      <c r="BP178" s="432">
        <f t="shared" si="381"/>
        <v>0</v>
      </c>
      <c r="BQ178" s="22" t="str">
        <f t="shared" si="417"/>
        <v/>
      </c>
      <c r="BR178" s="250">
        <f t="shared" si="418"/>
        <v>0</v>
      </c>
      <c r="BS178" s="237">
        <f t="shared" si="384"/>
        <v>0</v>
      </c>
      <c r="BT178" s="452">
        <f t="shared" si="419"/>
        <v>7.2059000000000006</v>
      </c>
      <c r="BU178" s="492">
        <f t="shared" si="410"/>
        <v>1.1749999999999998</v>
      </c>
      <c r="BV178" s="493">
        <f>IF(BT178="","",
IF(AND(BT178&gt;'Данные ТНПА'!$K$8,BT178&lt;='Данные ТНПА'!$L$8),'Данные ТНПА'!$N$8,
IF(AND(BT178&gt;'Данные ТНПА'!$K$9,BT178&lt;='Данные ТНПА'!$L$9),'Данные ТНПА'!$N$9,
IF(AND(BT178&gt;'Данные ТНПА'!$K$10,BT178&lt;='Данные ТНПА'!$L$10),'Данные ТНПА'!$N$10,
IF(AND(BT178&gt;'Данные ТНПА'!$K$11,BT178&lt;='Данные ТНПА'!$L$11),'Данные ТНПА'!$N$11,
IF(AND(BT178&gt;'Данные ТНПА'!$K$12,BT178&lt;='Данные ТНПА'!$L$12),'Данные ТНПА'!$N$12,
IF(AND(BT178&gt;'Данные ТНПА'!$K$13,BT178&lt;='Данные ТНПА'!$L$13),'Данные ТНПА'!$N$13,
IF(AND(BT178&gt;'Данные ТНПА'!$K$14,BT178&lt;='Данные ТНПА'!$L$14),'Данные ТНПА'!$N$14))))))))</f>
        <v>1.5</v>
      </c>
      <c r="BW178" s="493">
        <f t="shared" si="387"/>
        <v>10.2059</v>
      </c>
      <c r="BX178" s="457">
        <f t="shared" si="293"/>
        <v>0</v>
      </c>
      <c r="BY178" s="457">
        <f t="shared" si="294"/>
        <v>53.713380000000001</v>
      </c>
      <c r="BZ178" s="457">
        <f t="shared" si="295"/>
        <v>29.708329682666175</v>
      </c>
      <c r="CA178" s="457" t="e">
        <f t="shared" si="420"/>
        <v>#REF!</v>
      </c>
      <c r="CB178" s="458">
        <f t="shared" si="389"/>
        <v>0</v>
      </c>
      <c r="CC178" s="457">
        <f t="shared" si="390"/>
        <v>0</v>
      </c>
      <c r="CD178" s="457">
        <f t="shared" si="391"/>
        <v>0</v>
      </c>
      <c r="CE178" s="457">
        <f t="shared" si="392"/>
        <v>0</v>
      </c>
      <c r="CF178" s="457">
        <f t="shared" si="393"/>
        <v>0</v>
      </c>
      <c r="CG178" s="458">
        <f t="shared" si="296"/>
        <v>0</v>
      </c>
      <c r="CH178" s="457">
        <f t="shared" si="394"/>
        <v>0</v>
      </c>
      <c r="CI178" s="457">
        <f t="shared" si="395"/>
        <v>0</v>
      </c>
      <c r="CJ178" s="458">
        <f t="shared" si="396"/>
        <v>0</v>
      </c>
      <c r="CK178" s="458">
        <f t="shared" si="297"/>
        <v>59.733254998626037</v>
      </c>
      <c r="CL178" s="457">
        <f t="shared" si="298"/>
        <v>143.1549646812922</v>
      </c>
      <c r="CM178" s="504"/>
      <c r="CN178" s="504"/>
    </row>
    <row r="179" spans="1:92" ht="14.25" hidden="1" customHeight="1" x14ac:dyDescent="0.25">
      <c r="A179" s="389" t="str">
        <f>IF(D179="",CONCATENATE("Кабель ",IF(C179="а","А",""),$A$9),CONCATENATE("Кабель ",IF(C179="а","А",""),$A$9," ",D179,"*",F179,IF(G179="ок"," (ож)","")," - ",B179," ",IF(G179="мс"," фас. ",""),$A$2))</f>
        <v>Кабель ВВГ 4*2,5 (ож) - 1 ГОСТ 16442-80</v>
      </c>
      <c r="B179" s="450">
        <v>1</v>
      </c>
      <c r="C179" s="451" t="s">
        <v>163</v>
      </c>
      <c r="D179" s="412">
        <v>4</v>
      </c>
      <c r="E179" s="413" t="s">
        <v>40</v>
      </c>
      <c r="F179" s="423">
        <v>2.5</v>
      </c>
      <c r="G179" s="414" t="str">
        <f>IF(I179=1,"ок","мк")</f>
        <v>ок</v>
      </c>
      <c r="H179" s="461">
        <v>1.79</v>
      </c>
      <c r="I179" s="497">
        <v>1</v>
      </c>
      <c r="J179" s="498" t="s">
        <v>40</v>
      </c>
      <c r="K179" s="496">
        <f>ROUNDUP(SQRT(F179/PI()*4),2)</f>
        <v>1.79</v>
      </c>
      <c r="L179" s="501">
        <v>4.5199999999999996</v>
      </c>
      <c r="M179" s="475"/>
      <c r="N179" s="475"/>
      <c r="O179" s="475"/>
      <c r="P179" s="475"/>
      <c r="Q179" s="483">
        <f t="shared" si="398"/>
        <v>0.62000000000000011</v>
      </c>
      <c r="R179" s="484">
        <f>IF(B179=0.66,VLOOKUP(F179,'Данные ТНПА'!$B$8:$C$16,2,0),
IF(B179=1,VLOOKUP(F179,'Данные ТНПА'!$B$17:$C$37,2,0),"ошибка"))</f>
        <v>0.8</v>
      </c>
      <c r="S179" s="485">
        <f t="shared" si="283"/>
        <v>3.0300000000000002</v>
      </c>
      <c r="T179" s="486"/>
      <c r="U179" s="487"/>
      <c r="V179" s="485">
        <f t="shared" si="284"/>
        <v>3.39</v>
      </c>
      <c r="W179" s="486"/>
      <c r="X179" s="487"/>
      <c r="Y179" s="489">
        <f t="shared" si="285"/>
        <v>0</v>
      </c>
      <c r="Z179" s="491">
        <f t="shared" si="286"/>
        <v>8.1699000000000002</v>
      </c>
      <c r="AA179" s="237">
        <f t="shared" si="287"/>
        <v>0</v>
      </c>
      <c r="AB179" s="452">
        <f t="shared" si="412"/>
        <v>8.1699000000000002</v>
      </c>
      <c r="AC179" s="201">
        <f t="shared" si="288"/>
        <v>0</v>
      </c>
      <c r="AD179" s="203">
        <f t="shared" si="413"/>
        <v>0</v>
      </c>
      <c r="AE179" s="37" t="str">
        <f t="shared" si="289"/>
        <v/>
      </c>
      <c r="AF179" s="202">
        <f t="shared" si="414"/>
        <v>0</v>
      </c>
      <c r="AG179" s="201">
        <f t="shared" si="415"/>
        <v>0</v>
      </c>
      <c r="AH179" s="61">
        <f t="shared" si="290"/>
        <v>8.1699000000000002</v>
      </c>
      <c r="AI179" s="443">
        <f t="shared" si="397"/>
        <v>0</v>
      </c>
      <c r="AJ179" s="444">
        <f t="shared" si="353"/>
        <v>0</v>
      </c>
      <c r="AK179" s="445">
        <f t="shared" si="354"/>
        <v>0</v>
      </c>
      <c r="AL179" s="446">
        <f t="shared" si="355"/>
        <v>0</v>
      </c>
      <c r="AM179" s="447">
        <f t="shared" si="356"/>
        <v>0</v>
      </c>
      <c r="AN179" s="24">
        <f t="shared" si="357"/>
        <v>8.1699000000000002</v>
      </c>
      <c r="AO179" s="443">
        <f t="shared" si="291"/>
        <v>0</v>
      </c>
      <c r="AP179" s="444">
        <f t="shared" si="358"/>
        <v>0</v>
      </c>
      <c r="AQ179" s="445">
        <f t="shared" si="359"/>
        <v>0</v>
      </c>
      <c r="AR179" s="446">
        <f t="shared" si="360"/>
        <v>0</v>
      </c>
      <c r="AS179" s="447">
        <f t="shared" si="361"/>
        <v>0</v>
      </c>
      <c r="AT179" s="24">
        <f t="shared" si="362"/>
        <v>8.1699000000000002</v>
      </c>
      <c r="AU179" s="443">
        <f t="shared" si="292"/>
        <v>0</v>
      </c>
      <c r="AV179" s="444">
        <f t="shared" si="363"/>
        <v>0</v>
      </c>
      <c r="AW179" s="445">
        <f t="shared" si="364"/>
        <v>0</v>
      </c>
      <c r="AX179" s="446">
        <f t="shared" si="365"/>
        <v>0</v>
      </c>
      <c r="AY179" s="447">
        <f t="shared" si="366"/>
        <v>0</v>
      </c>
      <c r="AZ179" s="24">
        <f t="shared" si="367"/>
        <v>8.1699000000000002</v>
      </c>
      <c r="BA179" s="43">
        <f>IF(BB179=0,0,
IF(D179=1,
(IF(AND(AH179&gt;'Данные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"ошибка_1"))))))),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"ошибка_2"))))))))</f>
        <v>0</v>
      </c>
      <c r="BB179" s="43">
        <f>IF(OR($AI$9=0,AND(D179&gt;1,F179&gt;10)),0,
IF(D179=1,
(IF(AND(AH179&gt;'Данные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"ошибка_1"))))))),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IF(AND(AH179&gt;'Данные ТНПА'!#REF!,AH179&lt;='Данные ТНПА'!#REF!),'Данные ТНПА'!#REF!,
"ошибка_2"))))))))</f>
        <v>0</v>
      </c>
      <c r="BC179" s="43">
        <f t="shared" si="368"/>
        <v>8.1699000000000002</v>
      </c>
      <c r="BD179" s="237">
        <f t="shared" si="369"/>
        <v>0</v>
      </c>
      <c r="BE179" s="43">
        <f t="shared" si="370"/>
        <v>0</v>
      </c>
      <c r="BF179" s="201">
        <f t="shared" si="371"/>
        <v>0</v>
      </c>
      <c r="BG179" s="201">
        <f t="shared" si="372"/>
        <v>0</v>
      </c>
      <c r="BH179" s="61">
        <f t="shared" si="403"/>
        <v>8.1699000000000002</v>
      </c>
      <c r="BI179" s="237">
        <f t="shared" si="374"/>
        <v>0</v>
      </c>
      <c r="BJ179" s="247">
        <f t="shared" si="375"/>
        <v>0</v>
      </c>
      <c r="BK179" s="431">
        <f t="shared" si="416"/>
        <v>0</v>
      </c>
      <c r="BL179" s="250">
        <f t="shared" si="405"/>
        <v>0</v>
      </c>
      <c r="BM179" s="237">
        <f t="shared" si="378"/>
        <v>0</v>
      </c>
      <c r="BN179" s="452">
        <f t="shared" si="406"/>
        <v>8.1699000000000002</v>
      </c>
      <c r="BO179" s="237">
        <f t="shared" si="380"/>
        <v>0</v>
      </c>
      <c r="BP179" s="432">
        <f t="shared" si="381"/>
        <v>0</v>
      </c>
      <c r="BQ179" s="22" t="str">
        <f t="shared" si="417"/>
        <v/>
      </c>
      <c r="BR179" s="250">
        <f t="shared" si="418"/>
        <v>0</v>
      </c>
      <c r="BS179" s="237">
        <f t="shared" si="384"/>
        <v>0</v>
      </c>
      <c r="BT179" s="452">
        <f t="shared" si="419"/>
        <v>8.1699000000000002</v>
      </c>
      <c r="BU179" s="492">
        <f t="shared" si="410"/>
        <v>1.1749999999999998</v>
      </c>
      <c r="BV179" s="493">
        <f>IF(BT179="","",
IF(AND(BT179&gt;'Данные ТНПА'!$K$8,BT179&lt;='Данные ТНПА'!$L$8),'Данные ТНПА'!$N$8,
IF(AND(BT179&gt;'Данные ТНПА'!$K$9,BT179&lt;='Данные ТНПА'!$L$9),'Данные ТНПА'!$N$9,
IF(AND(BT179&gt;'Данные ТНПА'!$K$10,BT179&lt;='Данные ТНПА'!$L$10),'Данные ТНПА'!$N$10,
IF(AND(BT179&gt;'Данные ТНПА'!$K$11,BT179&lt;='Данные ТНПА'!$L$11),'Данные ТНПА'!$N$11,
IF(AND(BT179&gt;'Данные ТНПА'!$K$12,BT179&lt;='Данные ТНПА'!$L$12),'Данные ТНПА'!$N$12,
IF(AND(BT179&gt;'Данные ТНПА'!$K$13,BT179&lt;='Данные ТНПА'!$L$13),'Данные ТНПА'!$N$13,
IF(AND(BT179&gt;'Данные ТНПА'!$K$14,BT179&lt;='Данные ТНПА'!$L$14),'Данные ТНПА'!$N$14))))))))</f>
        <v>1.5</v>
      </c>
      <c r="BW179" s="493">
        <f t="shared" si="387"/>
        <v>11.1699</v>
      </c>
      <c r="BX179" s="457">
        <f t="shared" si="293"/>
        <v>0</v>
      </c>
      <c r="BY179" s="457">
        <f t="shared" si="294"/>
        <v>89.522300000000001</v>
      </c>
      <c r="BZ179" s="457">
        <f t="shared" si="295"/>
        <v>35.134508620139442</v>
      </c>
      <c r="CA179" s="457" t="e">
        <f t="shared" si="420"/>
        <v>#REF!</v>
      </c>
      <c r="CB179" s="458">
        <f t="shared" si="389"/>
        <v>0</v>
      </c>
      <c r="CC179" s="457">
        <f t="shared" si="390"/>
        <v>0</v>
      </c>
      <c r="CD179" s="457">
        <f t="shared" si="391"/>
        <v>0</v>
      </c>
      <c r="CE179" s="457">
        <f t="shared" si="392"/>
        <v>0</v>
      </c>
      <c r="CF179" s="457">
        <f t="shared" si="393"/>
        <v>0</v>
      </c>
      <c r="CG179" s="458">
        <f t="shared" si="296"/>
        <v>0</v>
      </c>
      <c r="CH179" s="457">
        <f t="shared" si="394"/>
        <v>0</v>
      </c>
      <c r="CI179" s="457">
        <f t="shared" si="395"/>
        <v>0</v>
      </c>
      <c r="CJ179" s="458">
        <f t="shared" si="396"/>
        <v>0</v>
      </c>
      <c r="CK179" s="458">
        <f t="shared" si="297"/>
        <v>66.347488773270314</v>
      </c>
      <c r="CL179" s="457">
        <f t="shared" si="298"/>
        <v>191.00429739340976</v>
      </c>
      <c r="CM179" s="504"/>
      <c r="CN179" s="504"/>
    </row>
    <row r="180" spans="1:92" ht="14.25" hidden="1" customHeight="1" x14ac:dyDescent="0.25">
      <c r="A180" s="389" t="str">
        <f>IF(D180="",CONCATENATE("Кабель ",IF(C180="а","А",""),$A$9),CONCATENATE("Кабель ",IF(C180="а","А",""),$A$9," ",D180,"*",F180,IF(G180="ок"," (ож)","")," - ",B180," ",IF(G180="мс"," фас. ",""),$A$2))</f>
        <v>Кабель ВВГ 4*4 (ож) - 1 ГОСТ 16442-80</v>
      </c>
      <c r="B180" s="450">
        <v>1</v>
      </c>
      <c r="C180" s="451" t="s">
        <v>163</v>
      </c>
      <c r="D180" s="412">
        <v>4</v>
      </c>
      <c r="E180" s="413" t="s">
        <v>40</v>
      </c>
      <c r="F180" s="423">
        <v>4</v>
      </c>
      <c r="G180" s="414" t="str">
        <f>IF(I180=1,"ок","мк")</f>
        <v>ок</v>
      </c>
      <c r="H180" s="461">
        <v>2.2599999999999998</v>
      </c>
      <c r="I180" s="497">
        <v>1</v>
      </c>
      <c r="J180" s="498" t="s">
        <v>40</v>
      </c>
      <c r="K180" s="496">
        <f>ROUNDUP(SQRT(F180/PI()*4),2)</f>
        <v>2.2599999999999998</v>
      </c>
      <c r="L180" s="501">
        <v>4.79</v>
      </c>
      <c r="M180" s="475"/>
      <c r="N180" s="475"/>
      <c r="O180" s="475"/>
      <c r="P180" s="475"/>
      <c r="Q180" s="483">
        <f t="shared" si="398"/>
        <v>0.8</v>
      </c>
      <c r="R180" s="484">
        <f>IF(B180=0.66,VLOOKUP(F180,'Данные ТНПА'!$B$8:$C$16,2,0),
IF(B180=1,VLOOKUP(F180,'Данные ТНПА'!$B$17:$C$37,2,0),"ошибка"))</f>
        <v>1</v>
      </c>
      <c r="S180" s="485">
        <f t="shared" si="283"/>
        <v>3.86</v>
      </c>
      <c r="T180" s="486"/>
      <c r="U180" s="487"/>
      <c r="V180" s="485">
        <f t="shared" si="284"/>
        <v>4.26</v>
      </c>
      <c r="W180" s="486"/>
      <c r="X180" s="487"/>
      <c r="Y180" s="489">
        <f t="shared" si="285"/>
        <v>0</v>
      </c>
      <c r="Z180" s="491">
        <f t="shared" si="286"/>
        <v>10.2666</v>
      </c>
      <c r="AA180" s="237">
        <f t="shared" si="287"/>
        <v>0</v>
      </c>
      <c r="AB180" s="452">
        <f t="shared" si="412"/>
        <v>10.2666</v>
      </c>
      <c r="AC180" s="201">
        <f t="shared" si="288"/>
        <v>0</v>
      </c>
      <c r="AD180" s="203">
        <f t="shared" si="413"/>
        <v>0</v>
      </c>
      <c r="AE180" s="37" t="str">
        <f t="shared" si="289"/>
        <v/>
      </c>
      <c r="AF180" s="202">
        <f t="shared" si="414"/>
        <v>0</v>
      </c>
      <c r="AG180" s="201">
        <f t="shared" si="415"/>
        <v>0</v>
      </c>
      <c r="AH180" s="61">
        <f t="shared" si="290"/>
        <v>10.2666</v>
      </c>
      <c r="AI180" s="443">
        <f t="shared" si="397"/>
        <v>0</v>
      </c>
      <c r="AJ180" s="444">
        <f t="shared" si="353"/>
        <v>0</v>
      </c>
      <c r="AK180" s="445">
        <f t="shared" si="354"/>
        <v>0</v>
      </c>
      <c r="AL180" s="446">
        <f t="shared" si="355"/>
        <v>0</v>
      </c>
      <c r="AM180" s="447">
        <f t="shared" si="356"/>
        <v>0</v>
      </c>
      <c r="AN180" s="24">
        <f t="shared" si="357"/>
        <v>10.2666</v>
      </c>
      <c r="AO180" s="443">
        <f t="shared" si="291"/>
        <v>0</v>
      </c>
      <c r="AP180" s="444">
        <f t="shared" si="358"/>
        <v>0</v>
      </c>
      <c r="AQ180" s="445">
        <f t="shared" si="359"/>
        <v>0</v>
      </c>
      <c r="AR180" s="446">
        <f t="shared" si="360"/>
        <v>0</v>
      </c>
      <c r="AS180" s="447">
        <f t="shared" si="361"/>
        <v>0</v>
      </c>
      <c r="AT180" s="24">
        <f t="shared" si="362"/>
        <v>10.2666</v>
      </c>
      <c r="AU180" s="443">
        <f t="shared" si="292"/>
        <v>0</v>
      </c>
      <c r="AV180" s="444">
        <f t="shared" si="363"/>
        <v>0</v>
      </c>
      <c r="AW180" s="445">
        <f t="shared" si="364"/>
        <v>0</v>
      </c>
      <c r="AX180" s="446">
        <f t="shared" si="365"/>
        <v>0</v>
      </c>
      <c r="AY180" s="447">
        <f t="shared" si="366"/>
        <v>0</v>
      </c>
      <c r="AZ180" s="24">
        <f t="shared" si="367"/>
        <v>10.2666</v>
      </c>
      <c r="BA180" s="43">
        <f>IF(BB180=0,0,
IF(D180=1,
(IF(AND(AH180&gt;'Данные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"ошибка_1"))))))),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"ошибка_2"))))))))</f>
        <v>0</v>
      </c>
      <c r="BB180" s="43">
        <f>IF(OR($AI$9=0,AND(D180&gt;1,F180&gt;10)),0,
IF(D180=1,
(IF(AND(AH180&gt;'Данные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"ошибка_1"))))))),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IF(AND(AH180&gt;'Данные ТНПА'!#REF!,AH180&lt;='Данные ТНПА'!#REF!),'Данные ТНПА'!#REF!,
"ошибка_2"))))))))</f>
        <v>0</v>
      </c>
      <c r="BC180" s="43">
        <f t="shared" si="368"/>
        <v>10.2666</v>
      </c>
      <c r="BD180" s="237">
        <f t="shared" si="369"/>
        <v>0</v>
      </c>
      <c r="BE180" s="43">
        <f t="shared" si="370"/>
        <v>0</v>
      </c>
      <c r="BF180" s="201">
        <f t="shared" si="371"/>
        <v>0</v>
      </c>
      <c r="BG180" s="201">
        <f t="shared" si="372"/>
        <v>0</v>
      </c>
      <c r="BH180" s="61">
        <f t="shared" si="403"/>
        <v>10.2666</v>
      </c>
      <c r="BI180" s="237">
        <f t="shared" si="374"/>
        <v>0</v>
      </c>
      <c r="BJ180" s="247">
        <f t="shared" si="375"/>
        <v>0</v>
      </c>
      <c r="BK180" s="431">
        <f t="shared" si="416"/>
        <v>0</v>
      </c>
      <c r="BL180" s="250">
        <f t="shared" ref="BL180:BL231" si="421">IF(BK180="","",
IF(BJ180&lt;&gt;0,
IF(AND(BC180&gt;7,BC180&lt;=10),15,
IF(AND(BC180&gt;10,BC180&lt;=13),20,
IF(AND(BC180&gt;13,BC180&lt;=21),30,
IF(AND(BC180&gt;21,BC180&lt;=31),40,
IF(AND(BC180&gt;31,BC180&lt;=70),50,
IF(AND(BC180&gt;70,BC180&lt;=80),60,
"ошибка")))))),0))</f>
        <v>0</v>
      </c>
      <c r="BM180" s="237">
        <f t="shared" si="378"/>
        <v>0</v>
      </c>
      <c r="BN180" s="452">
        <f t="shared" si="406"/>
        <v>10.2666</v>
      </c>
      <c r="BO180" s="237">
        <f t="shared" si="380"/>
        <v>0</v>
      </c>
      <c r="BP180" s="432">
        <f t="shared" si="381"/>
        <v>0</v>
      </c>
      <c r="BQ180" s="22" t="str">
        <f t="shared" si="417"/>
        <v/>
      </c>
      <c r="BR180" s="250">
        <f t="shared" si="418"/>
        <v>0</v>
      </c>
      <c r="BS180" s="237">
        <f t="shared" si="384"/>
        <v>0</v>
      </c>
      <c r="BT180" s="452">
        <f t="shared" si="419"/>
        <v>10.2666</v>
      </c>
      <c r="BU180" s="492">
        <f t="shared" si="410"/>
        <v>1.1749999999999998</v>
      </c>
      <c r="BV180" s="493">
        <f>IF(BT180="","",
IF(AND(BT180&gt;'Данные ТНПА'!$K$8,BT180&lt;='Данные ТНПА'!$L$8),'Данные ТНПА'!$N$8,
IF(AND(BT180&gt;'Данные ТНПА'!$K$9,BT180&lt;='Данные ТНПА'!$L$9),'Данные ТНПА'!$N$9,
IF(AND(BT180&gt;'Данные ТНПА'!$K$10,BT180&lt;='Данные ТНПА'!$L$10),'Данные ТНПА'!$N$10,
IF(AND(BT180&gt;'Данные ТНПА'!$K$11,BT180&lt;='Данные ТНПА'!$L$11),'Данные ТНПА'!$N$11,
IF(AND(BT180&gt;'Данные ТНПА'!$K$12,BT180&lt;='Данные ТНПА'!$L$12),'Данные ТНПА'!$N$12,
IF(AND(BT180&gt;'Данные ТНПА'!$K$13,BT180&lt;='Данные ТНПА'!$L$13),'Данные ТНПА'!$N$13,
IF(AND(BT180&gt;'Данные ТНПА'!$K$14,BT180&lt;='Данные ТНПА'!$L$14),'Данные ТНПА'!$N$14))))))))</f>
        <v>1.5</v>
      </c>
      <c r="BW180" s="493">
        <f t="shared" si="387"/>
        <v>13.2666</v>
      </c>
      <c r="BX180" s="457">
        <f t="shared" si="293"/>
        <v>0</v>
      </c>
      <c r="BY180" s="457">
        <f t="shared" si="294"/>
        <v>143.23568</v>
      </c>
      <c r="BZ180" s="457">
        <f t="shared" si="295"/>
        <v>55.279197925508967</v>
      </c>
      <c r="CA180" s="457" t="e">
        <f t="shared" si="420"/>
        <v>#REF!</v>
      </c>
      <c r="CB180" s="458">
        <f t="shared" si="389"/>
        <v>0</v>
      </c>
      <c r="CC180" s="457">
        <f t="shared" si="390"/>
        <v>0</v>
      </c>
      <c r="CD180" s="457">
        <f t="shared" si="391"/>
        <v>0</v>
      </c>
      <c r="CE180" s="457">
        <f t="shared" si="392"/>
        <v>0</v>
      </c>
      <c r="CF180" s="457">
        <f t="shared" si="393"/>
        <v>0</v>
      </c>
      <c r="CG180" s="458">
        <f t="shared" si="296"/>
        <v>0</v>
      </c>
      <c r="CH180" s="457">
        <f t="shared" si="394"/>
        <v>0</v>
      </c>
      <c r="CI180" s="457">
        <f t="shared" si="395"/>
        <v>0</v>
      </c>
      <c r="CJ180" s="458">
        <f t="shared" si="396"/>
        <v>0</v>
      </c>
      <c r="CK180" s="458">
        <f t="shared" si="297"/>
        <v>80.733447233121566</v>
      </c>
      <c r="CL180" s="457">
        <f t="shared" si="298"/>
        <v>279.24832515863056</v>
      </c>
      <c r="CM180" s="504"/>
      <c r="CN180" s="504"/>
    </row>
    <row r="181" spans="1:92" ht="14.25" hidden="1" customHeight="1" x14ac:dyDescent="0.25">
      <c r="A181" s="389" t="str">
        <f>IF(D181="",CONCATENATE("Кабель ",IF(C181="а","А",""),$A$9),CONCATENATE("Кабель ",IF(C181="а","А",""),$A$9," ",D181,"*",F181,IF(G181="ок"," (ож)","")," - ",B181," ",IF(G181="мс"," фас. ",""),$A$2))</f>
        <v>Кабель ВВГ 4*6 (ож) - 1 ГОСТ 16442-80</v>
      </c>
      <c r="B181" s="450">
        <v>1</v>
      </c>
      <c r="C181" s="451" t="s">
        <v>163</v>
      </c>
      <c r="D181" s="412">
        <v>4</v>
      </c>
      <c r="E181" s="413" t="s">
        <v>40</v>
      </c>
      <c r="F181" s="423">
        <v>6</v>
      </c>
      <c r="G181" s="414" t="str">
        <f>IF(I181=1,"ок","мк")</f>
        <v>ок</v>
      </c>
      <c r="H181" s="461">
        <v>2.7699999999999996</v>
      </c>
      <c r="I181" s="497">
        <v>1</v>
      </c>
      <c r="J181" s="498" t="s">
        <v>40</v>
      </c>
      <c r="K181" s="496">
        <f>ROUNDUP(SQRT(F181/PI()*4),2)</f>
        <v>2.7699999999999996</v>
      </c>
      <c r="L181" s="501">
        <v>5.6499999999999995</v>
      </c>
      <c r="M181" s="475"/>
      <c r="N181" s="475"/>
      <c r="O181" s="475"/>
      <c r="P181" s="475"/>
      <c r="Q181" s="483">
        <f t="shared" si="398"/>
        <v>0.8</v>
      </c>
      <c r="R181" s="484">
        <f>IF(B181=0.66,VLOOKUP(F181,'Данные ТНПА'!$B$8:$C$16,2,0),
IF(B181=1,VLOOKUP(F181,'Данные ТНПА'!$B$17:$C$37,2,0),"ошибка"))</f>
        <v>1</v>
      </c>
      <c r="S181" s="485">
        <f t="shared" si="283"/>
        <v>4.3699999999999992</v>
      </c>
      <c r="T181" s="486"/>
      <c r="U181" s="487"/>
      <c r="V181" s="485">
        <f t="shared" si="284"/>
        <v>4.7699999999999996</v>
      </c>
      <c r="W181" s="486"/>
      <c r="X181" s="487"/>
      <c r="Y181" s="489">
        <f t="shared" si="285"/>
        <v>0</v>
      </c>
      <c r="Z181" s="491">
        <f t="shared" si="286"/>
        <v>11.495699999999999</v>
      </c>
      <c r="AA181" s="237">
        <f t="shared" si="287"/>
        <v>0</v>
      </c>
      <c r="AB181" s="452">
        <f t="shared" si="412"/>
        <v>11.495699999999999</v>
      </c>
      <c r="AC181" s="201">
        <f t="shared" si="288"/>
        <v>0</v>
      </c>
      <c r="AD181" s="203">
        <f t="shared" si="413"/>
        <v>0</v>
      </c>
      <c r="AE181" s="37" t="str">
        <f t="shared" si="289"/>
        <v/>
      </c>
      <c r="AF181" s="202">
        <f t="shared" si="414"/>
        <v>0</v>
      </c>
      <c r="AG181" s="201">
        <f t="shared" si="415"/>
        <v>0</v>
      </c>
      <c r="AH181" s="61">
        <f t="shared" si="290"/>
        <v>11.495699999999999</v>
      </c>
      <c r="AI181" s="443">
        <f t="shared" si="397"/>
        <v>0</v>
      </c>
      <c r="AJ181" s="444">
        <f t="shared" si="353"/>
        <v>0</v>
      </c>
      <c r="AK181" s="445">
        <f t="shared" si="354"/>
        <v>0</v>
      </c>
      <c r="AL181" s="446">
        <f t="shared" si="355"/>
        <v>0</v>
      </c>
      <c r="AM181" s="447">
        <f t="shared" si="356"/>
        <v>0</v>
      </c>
      <c r="AN181" s="24">
        <f t="shared" si="357"/>
        <v>11.495699999999999</v>
      </c>
      <c r="AO181" s="443">
        <f t="shared" si="291"/>
        <v>0</v>
      </c>
      <c r="AP181" s="444">
        <f t="shared" si="358"/>
        <v>0</v>
      </c>
      <c r="AQ181" s="445">
        <f t="shared" si="359"/>
        <v>0</v>
      </c>
      <c r="AR181" s="446">
        <f t="shared" si="360"/>
        <v>0</v>
      </c>
      <c r="AS181" s="447">
        <f t="shared" si="361"/>
        <v>0</v>
      </c>
      <c r="AT181" s="24">
        <f t="shared" si="362"/>
        <v>11.495699999999999</v>
      </c>
      <c r="AU181" s="443">
        <f t="shared" si="292"/>
        <v>0</v>
      </c>
      <c r="AV181" s="444">
        <f t="shared" si="363"/>
        <v>0</v>
      </c>
      <c r="AW181" s="445">
        <f t="shared" si="364"/>
        <v>0</v>
      </c>
      <c r="AX181" s="446">
        <f t="shared" si="365"/>
        <v>0</v>
      </c>
      <c r="AY181" s="447">
        <f t="shared" si="366"/>
        <v>0</v>
      </c>
      <c r="AZ181" s="24">
        <f t="shared" si="367"/>
        <v>11.495699999999999</v>
      </c>
      <c r="BA181" s="43">
        <f>IF(BB181=0,0,
IF(D181=1,
(IF(AND(AH181&gt;'Данные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"ошибка_1"))))))),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"ошибка_2"))))))))</f>
        <v>0</v>
      </c>
      <c r="BB181" s="43">
        <f>IF(OR($AI$9=0,AND(D181&gt;1,F181&gt;10)),0,
IF(D181=1,
(IF(AND(AH181&gt;'Данные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"ошибка_1"))))))),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IF(AND(AH181&gt;'Данные ТНПА'!#REF!,AH181&lt;='Данные ТНПА'!#REF!),'Данные ТНПА'!#REF!,
"ошибка_2"))))))))</f>
        <v>0</v>
      </c>
      <c r="BC181" s="43">
        <f t="shared" si="368"/>
        <v>11.495699999999999</v>
      </c>
      <c r="BD181" s="237">
        <f t="shared" ref="BD181:BD197" si="422">IF(BC181="","",
IF(BC181=0,0,$BD$9))</f>
        <v>0</v>
      </c>
      <c r="BE181" s="43">
        <f t="shared" ref="BE181:BE197" si="423">IF(BC181="","",
IF(BC181=0,0,$BE$9))</f>
        <v>0</v>
      </c>
      <c r="BF181" s="201">
        <f t="shared" ref="BF181:BF197" si="424">IF(BC181="","",
IF($BD$9=0,0,
IF(BC181&lt;=13,20,
IF(AND(BC181&gt;13,BC181&lt;=18),30,
IF(AND(BC181&gt;18,BC181&lt;=23),40,
IF(AND(BC181&gt;23,BC181&lt;=30),50,
60))))))</f>
        <v>0</v>
      </c>
      <c r="BG181" s="201">
        <f t="shared" ref="BG181:BG197" si="425">IF(BC181="","",$BG$9)</f>
        <v>0</v>
      </c>
      <c r="BH181" s="61">
        <f t="shared" si="403"/>
        <v>11.495699999999999</v>
      </c>
      <c r="BI181" s="237">
        <f t="shared" ref="BI181:BI197" si="426">IF(BC181="","",$BI$9)</f>
        <v>0</v>
      </c>
      <c r="BJ181" s="247">
        <f t="shared" ref="BJ181:BJ197" si="427">IF(BC181="","",$BJ$9)</f>
        <v>0</v>
      </c>
      <c r="BK181" s="431">
        <f t="shared" si="416"/>
        <v>0</v>
      </c>
      <c r="BL181" s="250">
        <f t="shared" si="421"/>
        <v>0</v>
      </c>
      <c r="BM181" s="237">
        <f t="shared" ref="BM181:BM197" si="428">IF(BL181="","",$BM$9)</f>
        <v>0</v>
      </c>
      <c r="BN181" s="452">
        <f t="shared" si="406"/>
        <v>11.495699999999999</v>
      </c>
      <c r="BO181" s="237">
        <f t="shared" ref="BO181:BO197" si="429">IF(BN181="","",$BO$9)</f>
        <v>0</v>
      </c>
      <c r="BP181" s="432">
        <f t="shared" ref="BP181:BP197" si="430">IF(BO181="","",IF(BO181&gt;0,$BP$9,0))</f>
        <v>0</v>
      </c>
      <c r="BQ181" s="22" t="str">
        <f t="shared" si="417"/>
        <v/>
      </c>
      <c r="BR181" s="250">
        <f t="shared" si="418"/>
        <v>0</v>
      </c>
      <c r="BS181" s="237">
        <f t="shared" ref="BS181:BS197" si="431">IF(BO181="","",IF(BO181=0,0,$BS$9))</f>
        <v>0</v>
      </c>
      <c r="BT181" s="452">
        <f t="shared" si="419"/>
        <v>11.495699999999999</v>
      </c>
      <c r="BU181" s="492">
        <f t="shared" si="410"/>
        <v>1.1749999999999998</v>
      </c>
      <c r="BV181" s="493">
        <f>IF(BT181="","",
IF(AND(BT181&gt;'Данные ТНПА'!$K$8,BT181&lt;='Данные ТНПА'!$L$8),'Данные ТНПА'!$N$8,
IF(AND(BT181&gt;'Данные ТНПА'!$K$9,BT181&lt;='Данные ТНПА'!$L$9),'Данные ТНПА'!$N$9,
IF(AND(BT181&gt;'Данные ТНПА'!$K$10,BT181&lt;='Данные ТНПА'!$L$10),'Данные ТНПА'!$N$10,
IF(AND(BT181&gt;'Данные ТНПА'!$K$11,BT181&lt;='Данные ТНПА'!$L$11),'Данные ТНПА'!$N$11,
IF(AND(BT181&gt;'Данные ТНПА'!$K$12,BT181&lt;='Данные ТНПА'!$L$12),'Данные ТНПА'!$N$12,
IF(AND(BT181&gt;'Данные ТНПА'!$K$13,BT181&lt;='Данные ТНПА'!$L$13),'Данные ТНПА'!$N$13,
IF(AND(BT181&gt;'Данные ТНПА'!$K$14,BT181&lt;='Данные ТНПА'!$L$14),'Данные ТНПА'!$N$14))))))))</f>
        <v>1.5</v>
      </c>
      <c r="BW181" s="493">
        <f t="shared" si="387"/>
        <v>14.495699999999999</v>
      </c>
      <c r="BX181" s="457">
        <f t="shared" si="293"/>
        <v>0</v>
      </c>
      <c r="BY181" s="457">
        <f t="shared" si="294"/>
        <v>214.85352</v>
      </c>
      <c r="BZ181" s="457">
        <f t="shared" si="295"/>
        <v>63.927170607106994</v>
      </c>
      <c r="CA181" s="457" t="e">
        <f t="shared" si="420"/>
        <v>#REF!</v>
      </c>
      <c r="CB181" s="458">
        <f t="shared" ref="CB181:CB197" si="432">IF(AA181="","",
IF(AA181=2,SQRT((Z181*PI()/50)^2+1)*$CB$9*AA181,0))</f>
        <v>0</v>
      </c>
      <c r="CC181" s="457">
        <f t="shared" si="390"/>
        <v>0</v>
      </c>
      <c r="CD181" s="457">
        <f t="shared" si="391"/>
        <v>0</v>
      </c>
      <c r="CE181" s="457">
        <f t="shared" si="392"/>
        <v>0</v>
      </c>
      <c r="CF181" s="457">
        <f t="shared" si="393"/>
        <v>0</v>
      </c>
      <c r="CG181" s="458">
        <f t="shared" si="296"/>
        <v>0</v>
      </c>
      <c r="CH181" s="457">
        <f t="shared" ref="CH181:CH197" si="433">IF(BE181="","",
IF(BD181=0,0,
PI()*(BC181+BD181*BE181)*BD181*BE181*$CH$9*ROUND(100/(100-BG181),2)))</f>
        <v>0</v>
      </c>
      <c r="CI181" s="457">
        <f t="shared" ref="CI181:CI197" si="434">IF(BH181="","",
PI()*(BH181+BI181*BJ181)*BI181*BJ181*$CI$9*ROUND(100/(100+BM181),2))</f>
        <v>0</v>
      </c>
      <c r="CJ181" s="458">
        <f t="shared" ref="CJ181:CJ197" si="435">IF(BO181="","",PI()*(BN181+BO181*BP181)*BO181*BP181*$CJ$9*ROUND(100/(100-BS181),2))</f>
        <v>0</v>
      </c>
      <c r="CK181" s="458">
        <f t="shared" si="297"/>
        <v>89.166595295793016</v>
      </c>
      <c r="CL181" s="457">
        <f t="shared" si="298"/>
        <v>367.94728590289998</v>
      </c>
      <c r="CM181" s="504"/>
      <c r="CN181" s="504"/>
    </row>
    <row r="182" spans="1:92" ht="14.25" hidden="1" customHeight="1" x14ac:dyDescent="0.25">
      <c r="A182" s="389" t="str">
        <f>IF(D182="",CONCATENATE("Кабель ",IF(C182="а","А",""),$A$9),CONCATENATE("Кабель ",IF(C182="а","А",""),$A$9," ",D182,"*",F182,IF(G182="ок"," (ож)","")," - ",B182," ",IF(G182="мс"," фас. ",""),$A$2))</f>
        <v>Кабель ВВГ 4*10 (ож) - 1 ГОСТ 16442-80</v>
      </c>
      <c r="B182" s="450">
        <v>1</v>
      </c>
      <c r="C182" s="451" t="s">
        <v>163</v>
      </c>
      <c r="D182" s="412">
        <v>4</v>
      </c>
      <c r="E182" s="413" t="s">
        <v>40</v>
      </c>
      <c r="F182" s="423">
        <v>10</v>
      </c>
      <c r="G182" s="414" t="str">
        <f>IF(I182=1,"ок","мк")</f>
        <v>ок</v>
      </c>
      <c r="H182" s="461">
        <v>3.57</v>
      </c>
      <c r="I182" s="497">
        <v>1</v>
      </c>
      <c r="J182" s="498" t="s">
        <v>40</v>
      </c>
      <c r="K182" s="496">
        <f>ROUNDUP(SQRT(F182/PI()*4),2)</f>
        <v>3.57</v>
      </c>
      <c r="L182" s="501">
        <v>5.99</v>
      </c>
      <c r="M182" s="475"/>
      <c r="N182" s="475"/>
      <c r="O182" s="475"/>
      <c r="P182" s="475"/>
      <c r="Q182" s="483">
        <f t="shared" si="398"/>
        <v>0.8</v>
      </c>
      <c r="R182" s="484">
        <f>IF(B182=0.66,VLOOKUP(F182,'Данные ТНПА'!$B$8:$C$16,2,0),
IF(B182=1,VLOOKUP(F182,'Данные ТНПА'!$B$17:$C$37,2,0),"ошибка"))</f>
        <v>1</v>
      </c>
      <c r="S182" s="485">
        <f t="shared" si="283"/>
        <v>5.17</v>
      </c>
      <c r="T182" s="486"/>
      <c r="U182" s="487"/>
      <c r="V182" s="485">
        <f t="shared" si="284"/>
        <v>5.57</v>
      </c>
      <c r="W182" s="486"/>
      <c r="X182" s="487"/>
      <c r="Y182" s="489">
        <f t="shared" si="285"/>
        <v>0</v>
      </c>
      <c r="Z182" s="491">
        <f t="shared" si="286"/>
        <v>13.423700000000002</v>
      </c>
      <c r="AA182" s="237">
        <f t="shared" si="287"/>
        <v>0</v>
      </c>
      <c r="AB182" s="452">
        <f t="shared" si="412"/>
        <v>13.423700000000002</v>
      </c>
      <c r="AC182" s="201">
        <f t="shared" si="288"/>
        <v>0</v>
      </c>
      <c r="AD182" s="203">
        <f t="shared" si="413"/>
        <v>0</v>
      </c>
      <c r="AE182" s="37" t="str">
        <f t="shared" si="289"/>
        <v/>
      </c>
      <c r="AF182" s="202">
        <f t="shared" si="414"/>
        <v>0</v>
      </c>
      <c r="AG182" s="201">
        <f t="shared" si="415"/>
        <v>0</v>
      </c>
      <c r="AH182" s="61">
        <f t="shared" si="290"/>
        <v>13.423700000000002</v>
      </c>
      <c r="AI182" s="443">
        <f t="shared" si="397"/>
        <v>0</v>
      </c>
      <c r="AJ182" s="444">
        <f t="shared" si="353"/>
        <v>0</v>
      </c>
      <c r="AK182" s="445">
        <f t="shared" si="354"/>
        <v>0</v>
      </c>
      <c r="AL182" s="446">
        <f t="shared" si="355"/>
        <v>0</v>
      </c>
      <c r="AM182" s="447">
        <f t="shared" si="356"/>
        <v>0</v>
      </c>
      <c r="AN182" s="24">
        <f t="shared" si="357"/>
        <v>13.423700000000002</v>
      </c>
      <c r="AO182" s="443">
        <f t="shared" si="291"/>
        <v>0</v>
      </c>
      <c r="AP182" s="444">
        <f t="shared" si="358"/>
        <v>0</v>
      </c>
      <c r="AQ182" s="445">
        <f t="shared" si="359"/>
        <v>0</v>
      </c>
      <c r="AR182" s="446">
        <f t="shared" si="360"/>
        <v>0</v>
      </c>
      <c r="AS182" s="447">
        <f t="shared" si="361"/>
        <v>0</v>
      </c>
      <c r="AT182" s="24">
        <f t="shared" si="362"/>
        <v>13.423700000000002</v>
      </c>
      <c r="AU182" s="443">
        <f t="shared" si="292"/>
        <v>0</v>
      </c>
      <c r="AV182" s="444">
        <f t="shared" si="363"/>
        <v>0</v>
      </c>
      <c r="AW182" s="445">
        <f t="shared" si="364"/>
        <v>0</v>
      </c>
      <c r="AX182" s="446">
        <f t="shared" si="365"/>
        <v>0</v>
      </c>
      <c r="AY182" s="447">
        <f t="shared" si="366"/>
        <v>0</v>
      </c>
      <c r="AZ182" s="24">
        <f t="shared" si="367"/>
        <v>13.423700000000002</v>
      </c>
      <c r="BA182" s="43">
        <f>IF(BB182=0,0,
IF(D182=1,
(IF(AND(AH182&gt;'Данные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"ошибка_1"))))))),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"ошибка_2"))))))))</f>
        <v>0</v>
      </c>
      <c r="BB182" s="43">
        <f>IF(OR($AI$9=0,AND(D182&gt;1,F182&gt;10)),0,
IF(D182=1,
(IF(AND(AH182&gt;'Данные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"ошибка_1"))))))),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IF(AND(AH182&gt;'Данные ТНПА'!#REF!,AH182&lt;='Данные ТНПА'!#REF!),'Данные ТНПА'!#REF!,
"ошибка_2"))))))))</f>
        <v>0</v>
      </c>
      <c r="BC182" s="43">
        <f t="shared" si="368"/>
        <v>13.423700000000002</v>
      </c>
      <c r="BD182" s="237">
        <f t="shared" si="422"/>
        <v>0</v>
      </c>
      <c r="BE182" s="43">
        <f t="shared" si="423"/>
        <v>0</v>
      </c>
      <c r="BF182" s="201">
        <f t="shared" si="424"/>
        <v>0</v>
      </c>
      <c r="BG182" s="201">
        <f t="shared" si="425"/>
        <v>0</v>
      </c>
      <c r="BH182" s="61">
        <f t="shared" si="403"/>
        <v>13.423700000000002</v>
      </c>
      <c r="BI182" s="237">
        <f t="shared" si="426"/>
        <v>0</v>
      </c>
      <c r="BJ182" s="247">
        <f t="shared" si="427"/>
        <v>0</v>
      </c>
      <c r="BK182" s="431">
        <f t="shared" si="416"/>
        <v>0</v>
      </c>
      <c r="BL182" s="250">
        <f t="shared" si="421"/>
        <v>0</v>
      </c>
      <c r="BM182" s="237">
        <f t="shared" si="428"/>
        <v>0</v>
      </c>
      <c r="BN182" s="452">
        <f t="shared" si="406"/>
        <v>13.423700000000002</v>
      </c>
      <c r="BO182" s="237">
        <f t="shared" si="429"/>
        <v>0</v>
      </c>
      <c r="BP182" s="432">
        <f t="shared" si="430"/>
        <v>0</v>
      </c>
      <c r="BQ182" s="22" t="str">
        <f t="shared" si="417"/>
        <v/>
      </c>
      <c r="BR182" s="250">
        <f t="shared" si="418"/>
        <v>0</v>
      </c>
      <c r="BS182" s="237">
        <f t="shared" si="431"/>
        <v>0</v>
      </c>
      <c r="BT182" s="452">
        <f t="shared" si="419"/>
        <v>13.423700000000002</v>
      </c>
      <c r="BU182" s="492">
        <f t="shared" si="410"/>
        <v>1.1749999999999998</v>
      </c>
      <c r="BV182" s="493">
        <f>IF(BT182="","",
IF(AND(BT182&gt;'Данные ТНПА'!$K$8,BT182&lt;='Данные ТНПА'!$L$8),'Данные ТНПА'!$N$8,
IF(AND(BT182&gt;'Данные ТНПА'!$K$9,BT182&lt;='Данные ТНПА'!$L$9),'Данные ТНПА'!$N$9,
IF(AND(BT182&gt;'Данные ТНПА'!$K$10,BT182&lt;='Данные ТНПА'!$L$10),'Данные ТНПА'!$N$10,
IF(AND(BT182&gt;'Данные ТНПА'!$K$11,BT182&lt;='Данные ТНПА'!$L$11),'Данные ТНПА'!$N$11,
IF(AND(BT182&gt;'Данные ТНПА'!$K$12,BT182&lt;='Данные ТНПА'!$L$12),'Данные ТНПА'!$N$12,
IF(AND(BT182&gt;'Данные ТНПА'!$K$13,BT182&lt;='Данные ТНПА'!$L$13),'Данные ТНПА'!$N$13,
IF(AND(BT182&gt;'Данные ТНПА'!$K$14,BT182&lt;='Данные ТНПА'!$L$14),'Данные ТНПА'!$N$14))))))))</f>
        <v>1.5</v>
      </c>
      <c r="BW182" s="493">
        <f t="shared" si="387"/>
        <v>16.423700000000004</v>
      </c>
      <c r="BX182" s="457">
        <f t="shared" si="293"/>
        <v>0</v>
      </c>
      <c r="BY182" s="457">
        <f t="shared" si="294"/>
        <v>358.08920000000001</v>
      </c>
      <c r="BZ182" s="457">
        <f t="shared" si="295"/>
        <v>77.492617950790191</v>
      </c>
      <c r="CA182" s="457" t="e">
        <f t="shared" si="420"/>
        <v>#REF!</v>
      </c>
      <c r="CB182" s="458">
        <f t="shared" si="432"/>
        <v>0</v>
      </c>
      <c r="CC182" s="457">
        <f t="shared" si="390"/>
        <v>0</v>
      </c>
      <c r="CD182" s="457">
        <f t="shared" si="391"/>
        <v>0</v>
      </c>
      <c r="CE182" s="457">
        <f t="shared" si="392"/>
        <v>0</v>
      </c>
      <c r="CF182" s="457">
        <f t="shared" si="393"/>
        <v>0</v>
      </c>
      <c r="CG182" s="458">
        <f t="shared" si="296"/>
        <v>0</v>
      </c>
      <c r="CH182" s="457">
        <f t="shared" si="433"/>
        <v>0</v>
      </c>
      <c r="CI182" s="457">
        <f t="shared" si="434"/>
        <v>0</v>
      </c>
      <c r="CJ182" s="458">
        <f t="shared" si="435"/>
        <v>0</v>
      </c>
      <c r="CK182" s="458">
        <f t="shared" si="297"/>
        <v>102.39506284508154</v>
      </c>
      <c r="CL182" s="457">
        <f t="shared" si="298"/>
        <v>537.97688079587169</v>
      </c>
      <c r="CM182" s="504"/>
      <c r="CN182" s="504"/>
    </row>
    <row r="183" spans="1:92" ht="14.25" hidden="1" customHeight="1" x14ac:dyDescent="0.25">
      <c r="A183" s="389" t="str">
        <f>IF(D183="",CONCATENATE("Кабель ",IF(C183="а","А",""),$A$9),CONCATENATE("Кабель ",IF(C183="а","А",""),$A$9," ",D183,"*",F183,IF(G183="ок"," (ож)","")," - ",B183," ",IF(G183="мс"," фас. ",""),$A$2))</f>
        <v>Кабель ВВГ 4*16 (ож) - 1 ГОСТ 16442-80</v>
      </c>
      <c r="B183" s="450">
        <v>1</v>
      </c>
      <c r="C183" s="451" t="s">
        <v>163</v>
      </c>
      <c r="D183" s="412">
        <v>4</v>
      </c>
      <c r="E183" s="413" t="s">
        <v>40</v>
      </c>
      <c r="F183" s="423">
        <v>16</v>
      </c>
      <c r="G183" s="414" t="str">
        <f>IF(I183=1,"ок","мк")</f>
        <v>ок</v>
      </c>
      <c r="H183" s="461">
        <v>4.5199999999999996</v>
      </c>
      <c r="I183" s="497">
        <v>1</v>
      </c>
      <c r="J183" s="498" t="s">
        <v>40</v>
      </c>
      <c r="K183" s="496">
        <f>ROUNDUP(SQRT(F183/PI()*4),2)</f>
        <v>4.5199999999999996</v>
      </c>
      <c r="L183" s="501">
        <v>6.68</v>
      </c>
      <c r="M183" s="475"/>
      <c r="N183" s="475"/>
      <c r="O183" s="475"/>
      <c r="P183" s="475"/>
      <c r="Q183" s="483">
        <f t="shared" si="398"/>
        <v>0.8</v>
      </c>
      <c r="R183" s="484">
        <f>IF(B183=0.66,VLOOKUP(F183,'Данные ТНПА'!$B$8:$C$16,2,0),
IF(B183=1,VLOOKUP(F183,'Данные ТНПА'!$B$17:$C$37,2,0),"ошибка"))</f>
        <v>1</v>
      </c>
      <c r="S183" s="485">
        <f t="shared" si="283"/>
        <v>6.1199999999999992</v>
      </c>
      <c r="T183" s="486"/>
      <c r="U183" s="487"/>
      <c r="V183" s="485">
        <f t="shared" si="284"/>
        <v>6.52</v>
      </c>
      <c r="W183" s="486"/>
      <c r="X183" s="487"/>
      <c r="Y183" s="489">
        <f t="shared" si="285"/>
        <v>0</v>
      </c>
      <c r="Z183" s="491">
        <f t="shared" si="286"/>
        <v>15.713200000000001</v>
      </c>
      <c r="AA183" s="237">
        <f t="shared" si="287"/>
        <v>0</v>
      </c>
      <c r="AB183" s="452">
        <f t="shared" si="412"/>
        <v>15.713200000000001</v>
      </c>
      <c r="AC183" s="201">
        <f t="shared" si="288"/>
        <v>0</v>
      </c>
      <c r="AD183" s="203">
        <f t="shared" si="413"/>
        <v>0</v>
      </c>
      <c r="AE183" s="37" t="str">
        <f t="shared" si="289"/>
        <v/>
      </c>
      <c r="AF183" s="202">
        <f t="shared" si="414"/>
        <v>0</v>
      </c>
      <c r="AG183" s="201">
        <f t="shared" si="415"/>
        <v>0</v>
      </c>
      <c r="AH183" s="61">
        <f t="shared" si="290"/>
        <v>15.713200000000001</v>
      </c>
      <c r="AI183" s="443">
        <f t="shared" si="397"/>
        <v>0</v>
      </c>
      <c r="AJ183" s="444">
        <f t="shared" si="353"/>
        <v>0</v>
      </c>
      <c r="AK183" s="445">
        <f t="shared" si="354"/>
        <v>0</v>
      </c>
      <c r="AL183" s="446">
        <f t="shared" si="355"/>
        <v>0</v>
      </c>
      <c r="AM183" s="447">
        <f t="shared" si="356"/>
        <v>0</v>
      </c>
      <c r="AN183" s="24">
        <f t="shared" si="357"/>
        <v>15.713200000000001</v>
      </c>
      <c r="AO183" s="443">
        <f t="shared" si="291"/>
        <v>0</v>
      </c>
      <c r="AP183" s="444">
        <f t="shared" si="358"/>
        <v>0</v>
      </c>
      <c r="AQ183" s="445">
        <f t="shared" si="359"/>
        <v>0</v>
      </c>
      <c r="AR183" s="446">
        <f t="shared" si="360"/>
        <v>0</v>
      </c>
      <c r="AS183" s="447">
        <f t="shared" si="361"/>
        <v>0</v>
      </c>
      <c r="AT183" s="24">
        <f t="shared" si="362"/>
        <v>15.713200000000001</v>
      </c>
      <c r="AU183" s="443">
        <f t="shared" si="292"/>
        <v>0</v>
      </c>
      <c r="AV183" s="444">
        <f t="shared" si="363"/>
        <v>0</v>
      </c>
      <c r="AW183" s="445">
        <f t="shared" si="364"/>
        <v>0</v>
      </c>
      <c r="AX183" s="446">
        <f t="shared" si="365"/>
        <v>0</v>
      </c>
      <c r="AY183" s="447">
        <f t="shared" si="366"/>
        <v>0</v>
      </c>
      <c r="AZ183" s="24">
        <f t="shared" si="367"/>
        <v>15.713200000000001</v>
      </c>
      <c r="BA183" s="43">
        <f>IF(BB183=0,0,
IF(D183=1,
(IF(AND(AH183&gt;'Данные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"ошибка_1"))))))),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"ошибка_2"))))))))</f>
        <v>0</v>
      </c>
      <c r="BB183" s="43">
        <f>IF(OR($AI$9=0,AND(D183&gt;1,F183&gt;10)),0,
IF(D183=1,
(IF(AND(AH183&gt;'Данные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"ошибка_1"))))))),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IF(AND(AH183&gt;'Данные ТНПА'!#REF!,AH183&lt;='Данные ТНПА'!#REF!),'Данные ТНПА'!#REF!,
"ошибка_2"))))))))</f>
        <v>0</v>
      </c>
      <c r="BC183" s="43">
        <f t="shared" si="368"/>
        <v>15.713200000000001</v>
      </c>
      <c r="BD183" s="237">
        <f t="shared" si="422"/>
        <v>0</v>
      </c>
      <c r="BE183" s="43">
        <f t="shared" si="423"/>
        <v>0</v>
      </c>
      <c r="BF183" s="201">
        <f t="shared" si="424"/>
        <v>0</v>
      </c>
      <c r="BG183" s="201">
        <f t="shared" si="425"/>
        <v>0</v>
      </c>
      <c r="BH183" s="61">
        <f t="shared" si="403"/>
        <v>15.713200000000001</v>
      </c>
      <c r="BI183" s="237">
        <f t="shared" si="426"/>
        <v>0</v>
      </c>
      <c r="BJ183" s="247">
        <f t="shared" si="427"/>
        <v>0</v>
      </c>
      <c r="BK183" s="431">
        <f t="shared" si="416"/>
        <v>0</v>
      </c>
      <c r="BL183" s="250">
        <f t="shared" si="421"/>
        <v>0</v>
      </c>
      <c r="BM183" s="237">
        <f t="shared" si="428"/>
        <v>0</v>
      </c>
      <c r="BN183" s="452">
        <f t="shared" si="406"/>
        <v>15.713200000000001</v>
      </c>
      <c r="BO183" s="237">
        <f t="shared" si="429"/>
        <v>0</v>
      </c>
      <c r="BP183" s="432">
        <f t="shared" si="430"/>
        <v>0</v>
      </c>
      <c r="BQ183" s="22" t="str">
        <f t="shared" si="417"/>
        <v/>
      </c>
      <c r="BR183" s="250">
        <f t="shared" si="418"/>
        <v>0</v>
      </c>
      <c r="BS183" s="237">
        <f t="shared" si="431"/>
        <v>0</v>
      </c>
      <c r="BT183" s="452">
        <f t="shared" si="419"/>
        <v>15.713200000000001</v>
      </c>
      <c r="BU183" s="492">
        <f t="shared" si="410"/>
        <v>1.3449999999999998</v>
      </c>
      <c r="BV183" s="493">
        <f>IF(BT183="","",
IF(AND(BT183&gt;'Данные ТНПА'!$K$8,BT183&lt;='Данные ТНПА'!$L$8),'Данные ТНПА'!$N$8,
IF(AND(BT183&gt;'Данные ТНПА'!$K$9,BT183&lt;='Данные ТНПА'!$L$9),'Данные ТНПА'!$N$9,
IF(AND(BT183&gt;'Данные ТНПА'!$K$10,BT183&lt;='Данные ТНПА'!$L$10),'Данные ТНПА'!$N$10,
IF(AND(BT183&gt;'Данные ТНПА'!$K$11,BT183&lt;='Данные ТНПА'!$L$11),'Данные ТНПА'!$N$11,
IF(AND(BT183&gt;'Данные ТНПА'!$K$12,BT183&lt;='Данные ТНПА'!$L$12),'Данные ТНПА'!$N$12,
IF(AND(BT183&gt;'Данные ТНПА'!$K$13,BT183&lt;='Данные ТНПА'!$L$13),'Данные ТНПА'!$N$13,
IF(AND(BT183&gt;'Данные ТНПА'!$K$14,BT183&lt;='Данные ТНПА'!$L$14),'Данные ТНПА'!$N$14))))))))</f>
        <v>1.7</v>
      </c>
      <c r="BW183" s="493">
        <f t="shared" si="387"/>
        <v>19.113199999999999</v>
      </c>
      <c r="BX183" s="457">
        <f t="shared" si="293"/>
        <v>0</v>
      </c>
      <c r="BY183" s="457">
        <f t="shared" si="294"/>
        <v>572.94272000000001</v>
      </c>
      <c r="BZ183" s="457">
        <f t="shared" si="295"/>
        <v>93.601586671413955</v>
      </c>
      <c r="CA183" s="457" t="e">
        <f t="shared" si="420"/>
        <v>#REF!</v>
      </c>
      <c r="CB183" s="458">
        <f t="shared" si="432"/>
        <v>0</v>
      </c>
      <c r="CC183" s="457">
        <f t="shared" si="390"/>
        <v>0</v>
      </c>
      <c r="CD183" s="457">
        <f t="shared" si="391"/>
        <v>0</v>
      </c>
      <c r="CE183" s="457">
        <f t="shared" si="392"/>
        <v>0</v>
      </c>
      <c r="CF183" s="457">
        <f t="shared" si="393"/>
        <v>0</v>
      </c>
      <c r="CG183" s="458">
        <f t="shared" si="296"/>
        <v>0</v>
      </c>
      <c r="CH183" s="457">
        <f t="shared" si="433"/>
        <v>0</v>
      </c>
      <c r="CI183" s="457">
        <f t="shared" si="434"/>
        <v>0</v>
      </c>
      <c r="CJ183" s="458">
        <f t="shared" si="435"/>
        <v>0</v>
      </c>
      <c r="CK183" s="458">
        <f t="shared" si="297"/>
        <v>135.4062644950763</v>
      </c>
      <c r="CL183" s="457">
        <f t="shared" si="298"/>
        <v>801.95057116649036</v>
      </c>
      <c r="CM183" s="504"/>
      <c r="CN183" s="504"/>
    </row>
    <row r="184" spans="1:92" ht="14.25" hidden="1" customHeight="1" x14ac:dyDescent="0.25">
      <c r="A184" s="389" t="str">
        <f>IF(D184="",CONCATENATE("Кабель ",IF(C184="а","А",""),$A$9),CONCATENATE("Кабель ",IF(C184="а","А",""),$A$9," ",D184,"*",F184,IF(G184="ок"," (ож)","")," - ",B184," ",IF(G184="мс"," фас. ",""),$A$2))</f>
        <v>Кабель ВВГ 4*25 (ож) - 1 ГОСТ 16442-80</v>
      </c>
      <c r="B184" s="449">
        <v>1</v>
      </c>
      <c r="C184" s="415" t="s">
        <v>163</v>
      </c>
      <c r="D184" s="412">
        <v>4</v>
      </c>
      <c r="E184" s="413" t="s">
        <v>40</v>
      </c>
      <c r="F184" s="423">
        <v>25</v>
      </c>
      <c r="G184" s="414" t="str">
        <f>IF(I184=1,"ок","мк")</f>
        <v>ок</v>
      </c>
      <c r="H184" s="461">
        <v>5.6499999999999995</v>
      </c>
      <c r="I184" s="497">
        <v>1</v>
      </c>
      <c r="J184" s="498" t="s">
        <v>40</v>
      </c>
      <c r="K184" s="496">
        <f>ROUNDUP(SQRT(F184/PI()*4),2)</f>
        <v>5.6499999999999995</v>
      </c>
      <c r="L184" s="501">
        <v>7.1000000000000005</v>
      </c>
      <c r="M184" s="475"/>
      <c r="N184" s="475"/>
      <c r="O184" s="475"/>
      <c r="P184" s="475"/>
      <c r="Q184" s="483">
        <f t="shared" si="398"/>
        <v>0.98000000000000009</v>
      </c>
      <c r="R184" s="484">
        <f>IF(B184=0.66,VLOOKUP(F184,'Данные ТНПА'!$B$8:$C$16,2,0),
IF(B184=1,VLOOKUP(F184,'Данные ТНПА'!$B$17:$C$37,2,0),"ошибка"))</f>
        <v>1.2</v>
      </c>
      <c r="S184" s="485">
        <f t="shared" si="283"/>
        <v>7.6099999999999994</v>
      </c>
      <c r="T184" s="486"/>
      <c r="U184" s="487"/>
      <c r="V184" s="485">
        <f t="shared" si="284"/>
        <v>8.0499999999999989</v>
      </c>
      <c r="W184" s="486"/>
      <c r="X184" s="487"/>
      <c r="Y184" s="489">
        <f t="shared" si="285"/>
        <v>3.3</v>
      </c>
      <c r="Z184" s="491">
        <f t="shared" si="286"/>
        <v>19.400499999999997</v>
      </c>
      <c r="AA184" s="237">
        <f t="shared" si="287"/>
        <v>0</v>
      </c>
      <c r="AB184" s="452">
        <f t="shared" si="412"/>
        <v>19.400499999999997</v>
      </c>
      <c r="AC184" s="201">
        <f t="shared" si="288"/>
        <v>0</v>
      </c>
      <c r="AD184" s="203">
        <f t="shared" si="413"/>
        <v>0</v>
      </c>
      <c r="AE184" s="37" t="str">
        <f t="shared" si="289"/>
        <v/>
      </c>
      <c r="AF184" s="202">
        <f t="shared" si="414"/>
        <v>0</v>
      </c>
      <c r="AG184" s="201">
        <f t="shared" si="415"/>
        <v>0</v>
      </c>
      <c r="AH184" s="61">
        <f t="shared" si="290"/>
        <v>19.400499999999997</v>
      </c>
      <c r="AI184" s="443">
        <f t="shared" si="397"/>
        <v>0</v>
      </c>
      <c r="AJ184" s="444">
        <f t="shared" si="353"/>
        <v>0</v>
      </c>
      <c r="AK184" s="445">
        <f t="shared" si="354"/>
        <v>0</v>
      </c>
      <c r="AL184" s="446">
        <f t="shared" si="355"/>
        <v>0</v>
      </c>
      <c r="AM184" s="447">
        <f t="shared" si="356"/>
        <v>0</v>
      </c>
      <c r="AN184" s="24">
        <f t="shared" si="357"/>
        <v>19.400499999999997</v>
      </c>
      <c r="AO184" s="443">
        <f t="shared" si="291"/>
        <v>0</v>
      </c>
      <c r="AP184" s="444">
        <f t="shared" si="358"/>
        <v>0</v>
      </c>
      <c r="AQ184" s="445">
        <f t="shared" si="359"/>
        <v>0</v>
      </c>
      <c r="AR184" s="446">
        <f t="shared" si="360"/>
        <v>0</v>
      </c>
      <c r="AS184" s="447">
        <f t="shared" si="361"/>
        <v>0</v>
      </c>
      <c r="AT184" s="24">
        <f t="shared" si="362"/>
        <v>19.400499999999997</v>
      </c>
      <c r="AU184" s="443">
        <f t="shared" si="292"/>
        <v>0</v>
      </c>
      <c r="AV184" s="444">
        <f t="shared" si="363"/>
        <v>0</v>
      </c>
      <c r="AW184" s="445">
        <f t="shared" si="364"/>
        <v>0</v>
      </c>
      <c r="AX184" s="446">
        <f t="shared" si="365"/>
        <v>0</v>
      </c>
      <c r="AY184" s="447">
        <f t="shared" si="366"/>
        <v>0</v>
      </c>
      <c r="AZ184" s="24">
        <f t="shared" si="367"/>
        <v>19.400499999999997</v>
      </c>
      <c r="BA184" s="43">
        <f>IF(BB184=0,0,
IF(D184=1,
(IF(AND(AH184&gt;'Данные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"ошибка_1"))))))),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"ошибка_2"))))))))</f>
        <v>0</v>
      </c>
      <c r="BB184" s="43">
        <f>IF(OR($AI$9=0,AND(D184&gt;1,F184&gt;10)),0,
IF(D184=1,
(IF(AND(AH184&gt;'Данные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"ошибка_1"))))))),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IF(AND(AH184&gt;'Данные ТНПА'!#REF!,AH184&lt;='Данные ТНПА'!#REF!),'Данные ТНПА'!#REF!,
"ошибка_2"))))))))</f>
        <v>0</v>
      </c>
      <c r="BC184" s="43">
        <f t="shared" si="368"/>
        <v>19.400499999999997</v>
      </c>
      <c r="BD184" s="237">
        <f t="shared" si="422"/>
        <v>0</v>
      </c>
      <c r="BE184" s="43">
        <f t="shared" si="423"/>
        <v>0</v>
      </c>
      <c r="BF184" s="201">
        <f t="shared" si="424"/>
        <v>0</v>
      </c>
      <c r="BG184" s="201">
        <f t="shared" si="425"/>
        <v>0</v>
      </c>
      <c r="BH184" s="61">
        <f t="shared" si="403"/>
        <v>19.400499999999997</v>
      </c>
      <c r="BI184" s="237">
        <f t="shared" si="426"/>
        <v>0</v>
      </c>
      <c r="BJ184" s="247">
        <f t="shared" si="427"/>
        <v>0</v>
      </c>
      <c r="BK184" s="431">
        <f t="shared" si="416"/>
        <v>0</v>
      </c>
      <c r="BL184" s="250">
        <f t="shared" si="421"/>
        <v>0</v>
      </c>
      <c r="BM184" s="237">
        <f t="shared" si="428"/>
        <v>0</v>
      </c>
      <c r="BN184" s="452">
        <f t="shared" si="406"/>
        <v>19.400499999999997</v>
      </c>
      <c r="BO184" s="237">
        <f t="shared" si="429"/>
        <v>0</v>
      </c>
      <c r="BP184" s="432">
        <f t="shared" si="430"/>
        <v>0</v>
      </c>
      <c r="BQ184" s="22" t="str">
        <f t="shared" si="417"/>
        <v/>
      </c>
      <c r="BR184" s="250">
        <f t="shared" si="418"/>
        <v>0</v>
      </c>
      <c r="BS184" s="237">
        <f t="shared" si="431"/>
        <v>0</v>
      </c>
      <c r="BT184" s="452">
        <f t="shared" si="419"/>
        <v>19.400499999999997</v>
      </c>
      <c r="BU184" s="492">
        <f t="shared" si="410"/>
        <v>1.3449999999999998</v>
      </c>
      <c r="BV184" s="493">
        <f>IF(BT184="","",
IF(AND(BT184&gt;'Данные ТНПА'!$K$8,BT184&lt;='Данные ТНПА'!$L$8),'Данные ТНПА'!$N$8,
IF(AND(BT184&gt;'Данные ТНПА'!$K$9,BT184&lt;='Данные ТНПА'!$L$9),'Данные ТНПА'!$N$9,
IF(AND(BT184&gt;'Данные ТНПА'!$K$10,BT184&lt;='Данные ТНПА'!$L$10),'Данные ТНПА'!$N$10,
IF(AND(BT184&gt;'Данные ТНПА'!$K$11,BT184&lt;='Данные ТНПА'!$L$11),'Данные ТНПА'!$N$11,
IF(AND(BT184&gt;'Данные ТНПА'!$K$12,BT184&lt;='Данные ТНПА'!$L$12),'Данные ТНПА'!$N$12,
IF(AND(BT184&gt;'Данные ТНПА'!$K$13,BT184&lt;='Данные ТНПА'!$L$13),'Данные ТНПА'!$N$13,
IF(AND(BT184&gt;'Данные ТНПА'!$K$14,BT184&lt;='Данные ТНПА'!$L$14),'Данные ТНПА'!$N$14))))))))</f>
        <v>1.7</v>
      </c>
      <c r="BW184" s="493">
        <f t="shared" si="387"/>
        <v>22.800499999999996</v>
      </c>
      <c r="BX184" s="457">
        <f t="shared" si="293"/>
        <v>0</v>
      </c>
      <c r="BY184" s="457">
        <f t="shared" si="294"/>
        <v>895.22299999999996</v>
      </c>
      <c r="BZ184" s="457">
        <f t="shared" si="295"/>
        <v>139.38497145634469</v>
      </c>
      <c r="CA184" s="457" t="e">
        <f t="shared" si="420"/>
        <v>#REF!</v>
      </c>
      <c r="CB184" s="458">
        <f t="shared" si="432"/>
        <v>0</v>
      </c>
      <c r="CC184" s="457">
        <f t="shared" si="390"/>
        <v>0</v>
      </c>
      <c r="CD184" s="457">
        <f t="shared" si="391"/>
        <v>0</v>
      </c>
      <c r="CE184" s="457">
        <f t="shared" si="392"/>
        <v>0</v>
      </c>
      <c r="CF184" s="457">
        <f t="shared" si="393"/>
        <v>0</v>
      </c>
      <c r="CG184" s="458">
        <f t="shared" si="296"/>
        <v>0</v>
      </c>
      <c r="CH184" s="457">
        <f t="shared" si="433"/>
        <v>0</v>
      </c>
      <c r="CI184" s="457">
        <f t="shared" si="434"/>
        <v>0</v>
      </c>
      <c r="CJ184" s="458">
        <f t="shared" si="435"/>
        <v>0</v>
      </c>
      <c r="CK184" s="458">
        <f t="shared" si="297"/>
        <v>164.07896790815917</v>
      </c>
      <c r="CL184" s="457">
        <f t="shared" si="298"/>
        <v>1198.6869393645038</v>
      </c>
      <c r="CM184" s="504"/>
      <c r="CN184" s="504"/>
    </row>
    <row r="185" spans="1:92" ht="14.25" hidden="1" customHeight="1" x14ac:dyDescent="0.25">
      <c r="A185" s="389" t="str">
        <f>IF(D185="",CONCATENATE("Кабель ",IF(C185="а","А",""),$A$9),CONCATENATE("Кабель ",IF(C185="а","А",""),$A$9," ",D185,"*",F185,IF(G185="ок"," (ож)","")," - ",B185," ",IF(G185="мс"," фас. ",""),$A$2))</f>
        <v>Кабель ВВГ 4*35 (ож) - 1 ГОСТ 16442-80</v>
      </c>
      <c r="B185" s="450">
        <v>1</v>
      </c>
      <c r="C185" s="451" t="s">
        <v>163</v>
      </c>
      <c r="D185" s="412">
        <v>4</v>
      </c>
      <c r="E185" s="413" t="s">
        <v>40</v>
      </c>
      <c r="F185" s="423">
        <v>35</v>
      </c>
      <c r="G185" s="414" t="str">
        <f>IF(I185=1,"ок","мк")</f>
        <v>ок</v>
      </c>
      <c r="H185" s="461">
        <v>6.68</v>
      </c>
      <c r="I185" s="497">
        <v>1</v>
      </c>
      <c r="J185" s="498" t="s">
        <v>40</v>
      </c>
      <c r="K185" s="496">
        <f>ROUNDUP(SQRT(F185/PI()*4),2)</f>
        <v>6.68</v>
      </c>
      <c r="L185" s="501">
        <v>8.15</v>
      </c>
      <c r="M185" s="475"/>
      <c r="N185" s="475"/>
      <c r="O185" s="475"/>
      <c r="P185" s="475"/>
      <c r="Q185" s="483">
        <f t="shared" si="398"/>
        <v>0.98000000000000009</v>
      </c>
      <c r="R185" s="484">
        <f>IF(B185=0.66,VLOOKUP(F185,'Данные ТНПА'!$B$8:$C$16,2,0),
IF(B185=1,VLOOKUP(F185,'Данные ТНПА'!$B$17:$C$37,2,0),"ошибка"))</f>
        <v>1.2</v>
      </c>
      <c r="S185" s="485">
        <f t="shared" si="283"/>
        <v>8.64</v>
      </c>
      <c r="T185" s="486"/>
      <c r="U185" s="487"/>
      <c r="V185" s="485">
        <f t="shared" si="284"/>
        <v>9.08</v>
      </c>
      <c r="W185" s="486"/>
      <c r="X185" s="487"/>
      <c r="Y185" s="489">
        <f t="shared" si="285"/>
        <v>3.8</v>
      </c>
      <c r="Z185" s="491">
        <f t="shared" si="286"/>
        <v>21.882800000000003</v>
      </c>
      <c r="AA185" s="237">
        <f t="shared" si="287"/>
        <v>0</v>
      </c>
      <c r="AB185" s="452">
        <f t="shared" si="412"/>
        <v>21.882800000000003</v>
      </c>
      <c r="AC185" s="201">
        <f t="shared" si="288"/>
        <v>0</v>
      </c>
      <c r="AD185" s="203">
        <f t="shared" si="413"/>
        <v>0</v>
      </c>
      <c r="AE185" s="37" t="str">
        <f t="shared" si="289"/>
        <v/>
      </c>
      <c r="AF185" s="202">
        <f t="shared" si="414"/>
        <v>0</v>
      </c>
      <c r="AG185" s="201">
        <f t="shared" si="415"/>
        <v>0</v>
      </c>
      <c r="AH185" s="61">
        <f t="shared" si="290"/>
        <v>21.882800000000003</v>
      </c>
      <c r="AI185" s="443">
        <f t="shared" si="397"/>
        <v>0</v>
      </c>
      <c r="AJ185" s="444">
        <f t="shared" si="353"/>
        <v>0</v>
      </c>
      <c r="AK185" s="445">
        <f t="shared" si="354"/>
        <v>0</v>
      </c>
      <c r="AL185" s="446">
        <f t="shared" si="355"/>
        <v>0</v>
      </c>
      <c r="AM185" s="447">
        <f t="shared" si="356"/>
        <v>0</v>
      </c>
      <c r="AN185" s="24">
        <f t="shared" si="357"/>
        <v>21.882800000000003</v>
      </c>
      <c r="AO185" s="443">
        <f t="shared" si="291"/>
        <v>0</v>
      </c>
      <c r="AP185" s="444">
        <f t="shared" si="358"/>
        <v>0</v>
      </c>
      <c r="AQ185" s="445">
        <f t="shared" si="359"/>
        <v>0</v>
      </c>
      <c r="AR185" s="446">
        <f t="shared" si="360"/>
        <v>0</v>
      </c>
      <c r="AS185" s="447">
        <f t="shared" si="361"/>
        <v>0</v>
      </c>
      <c r="AT185" s="24">
        <f t="shared" si="362"/>
        <v>21.882800000000003</v>
      </c>
      <c r="AU185" s="443">
        <f t="shared" si="292"/>
        <v>0</v>
      </c>
      <c r="AV185" s="444">
        <f t="shared" si="363"/>
        <v>0</v>
      </c>
      <c r="AW185" s="445">
        <f t="shared" si="364"/>
        <v>0</v>
      </c>
      <c r="AX185" s="446">
        <f t="shared" si="365"/>
        <v>0</v>
      </c>
      <c r="AY185" s="447">
        <f t="shared" si="366"/>
        <v>0</v>
      </c>
      <c r="AZ185" s="24">
        <f t="shared" si="367"/>
        <v>21.882800000000003</v>
      </c>
      <c r="BA185" s="43">
        <f>IF(BB185=0,0,
IF(D185=1,
(IF(AND(AH185&gt;'Данные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"ошибка_1"))))))),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"ошибка_2"))))))))</f>
        <v>0</v>
      </c>
      <c r="BB185" s="43">
        <f>IF(OR($AI$9=0,AND(D185&gt;1,F185&gt;10)),0,
IF(D185=1,
(IF(AND(AH185&gt;'Данные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"ошибка_1"))))))),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IF(AND(AH185&gt;'Данные ТНПА'!#REF!,AH185&lt;='Данные ТНПА'!#REF!),'Данные ТНПА'!#REF!,
"ошибка_2"))))))))</f>
        <v>0</v>
      </c>
      <c r="BC185" s="43">
        <f t="shared" si="368"/>
        <v>21.882800000000003</v>
      </c>
      <c r="BD185" s="237">
        <f t="shared" si="422"/>
        <v>0</v>
      </c>
      <c r="BE185" s="43">
        <f t="shared" si="423"/>
        <v>0</v>
      </c>
      <c r="BF185" s="201">
        <f t="shared" si="424"/>
        <v>0</v>
      </c>
      <c r="BG185" s="201">
        <f t="shared" si="425"/>
        <v>0</v>
      </c>
      <c r="BH185" s="61">
        <f t="shared" si="403"/>
        <v>21.882800000000003</v>
      </c>
      <c r="BI185" s="237">
        <f t="shared" si="426"/>
        <v>0</v>
      </c>
      <c r="BJ185" s="247">
        <f t="shared" si="427"/>
        <v>0</v>
      </c>
      <c r="BK185" s="431">
        <f t="shared" si="416"/>
        <v>0</v>
      </c>
      <c r="BL185" s="250">
        <f t="shared" si="421"/>
        <v>0</v>
      </c>
      <c r="BM185" s="237">
        <f t="shared" si="428"/>
        <v>0</v>
      </c>
      <c r="BN185" s="452">
        <f t="shared" si="406"/>
        <v>21.882800000000003</v>
      </c>
      <c r="BO185" s="237">
        <f t="shared" si="429"/>
        <v>0</v>
      </c>
      <c r="BP185" s="432">
        <f t="shared" si="430"/>
        <v>0</v>
      </c>
      <c r="BQ185" s="22" t="str">
        <f t="shared" si="417"/>
        <v/>
      </c>
      <c r="BR185" s="250">
        <f t="shared" si="418"/>
        <v>0</v>
      </c>
      <c r="BS185" s="237">
        <f t="shared" si="431"/>
        <v>0</v>
      </c>
      <c r="BT185" s="452">
        <f t="shared" si="419"/>
        <v>21.882800000000003</v>
      </c>
      <c r="BU185" s="492">
        <f t="shared" si="410"/>
        <v>1.5149999999999999</v>
      </c>
      <c r="BV185" s="493">
        <f>IF(BT185="","",
IF(AND(BT185&gt;'Данные ТНПА'!$K$8,BT185&lt;='Данные ТНПА'!$L$8),'Данные ТНПА'!$N$8,
IF(AND(BT185&gt;'Данные ТНПА'!$K$9,BT185&lt;='Данные ТНПА'!$L$9),'Данные ТНПА'!$N$9,
IF(AND(BT185&gt;'Данные ТНПА'!$K$10,BT185&lt;='Данные ТНПА'!$L$10),'Данные ТНПА'!$N$10,
IF(AND(BT185&gt;'Данные ТНПА'!$K$11,BT185&lt;='Данные ТНПА'!$L$11),'Данные ТНПА'!$N$11,
IF(AND(BT185&gt;'Данные ТНПА'!$K$12,BT185&lt;='Данные ТНПА'!$L$12),'Данные ТНПА'!$N$12,
IF(AND(BT185&gt;'Данные ТНПА'!$K$13,BT185&lt;='Данные ТНПА'!$L$13),'Данные ТНПА'!$N$13,
IF(AND(BT185&gt;'Данные ТНПА'!$K$14,BT185&lt;='Данные ТНПА'!$L$14),'Данные ТНПА'!$N$14))))))))</f>
        <v>1.9</v>
      </c>
      <c r="BW185" s="493">
        <f t="shared" si="387"/>
        <v>25.682800000000004</v>
      </c>
      <c r="BX185" s="457">
        <f t="shared" si="293"/>
        <v>0</v>
      </c>
      <c r="BY185" s="457">
        <f t="shared" si="294"/>
        <v>1253.3122000000001</v>
      </c>
      <c r="BZ185" s="457">
        <f t="shared" si="295"/>
        <v>160.34358760233519</v>
      </c>
      <c r="CA185" s="457" t="e">
        <f t="shared" si="420"/>
        <v>#REF!</v>
      </c>
      <c r="CB185" s="458">
        <f t="shared" si="432"/>
        <v>0</v>
      </c>
      <c r="CC185" s="457">
        <f t="shared" si="390"/>
        <v>0</v>
      </c>
      <c r="CD185" s="457">
        <f t="shared" si="391"/>
        <v>0</v>
      </c>
      <c r="CE185" s="457">
        <f t="shared" si="392"/>
        <v>0</v>
      </c>
      <c r="CF185" s="457">
        <f t="shared" si="393"/>
        <v>0</v>
      </c>
      <c r="CG185" s="458">
        <f t="shared" si="296"/>
        <v>0</v>
      </c>
      <c r="CH185" s="457">
        <f t="shared" si="433"/>
        <v>0</v>
      </c>
      <c r="CI185" s="457">
        <f t="shared" si="434"/>
        <v>0</v>
      </c>
      <c r="CJ185" s="458">
        <f t="shared" si="435"/>
        <v>0</v>
      </c>
      <c r="CK185" s="458">
        <f t="shared" si="297"/>
        <v>206.6939821090306</v>
      </c>
      <c r="CL185" s="457">
        <f t="shared" si="298"/>
        <v>1620.349769711366</v>
      </c>
      <c r="CM185" s="504"/>
      <c r="CN185" s="504"/>
    </row>
    <row r="186" spans="1:92" ht="14.25" hidden="1" customHeight="1" x14ac:dyDescent="0.25">
      <c r="A186" s="389" t="str">
        <f>IF(D186="",CONCATENATE("Кабель ",IF(C186="а","А",""),$A$9),CONCATENATE("Кабель ",IF(C186="а","А",""),$A$9," ",D186,"*",F186,IF(G186="ок"," (ож)","")," - ",B186," ",IF(G186="мс"," фас. ",""),$A$2))</f>
        <v>Кабель ВВГ 5*16 - 1 ГОСТ 16442-80</v>
      </c>
      <c r="B186" s="449">
        <v>1</v>
      </c>
      <c r="C186" s="415" t="s">
        <v>163</v>
      </c>
      <c r="D186" s="412">
        <v>5</v>
      </c>
      <c r="E186" s="413" t="s">
        <v>40</v>
      </c>
      <c r="F186" s="423">
        <v>16</v>
      </c>
      <c r="G186" s="414" t="str">
        <f>IF(I186=1,"ок","мк")</f>
        <v>мк</v>
      </c>
      <c r="H186" s="461">
        <v>1.77</v>
      </c>
      <c r="I186" s="476">
        <v>7</v>
      </c>
      <c r="J186" s="477" t="s">
        <v>40</v>
      </c>
      <c r="K186" s="470">
        <f>ROUNDUP(SQRT(F186/I186/PI()*4*1.07),2)</f>
        <v>1.77</v>
      </c>
      <c r="L186" s="501">
        <v>1.39</v>
      </c>
      <c r="M186" s="475"/>
      <c r="N186" s="475"/>
      <c r="O186" s="475"/>
      <c r="P186" s="475"/>
      <c r="Q186" s="483">
        <f>0.9*R186-0.1</f>
        <v>0.8</v>
      </c>
      <c r="R186" s="484">
        <f>IF(B186=0.66,VLOOKUP(F186,'Данные ТНПА'!$B$8:$C$16,2,0),
IF(B186=1,VLOOKUP(F186,'Данные ТНПА'!$B$17:$C$37,2,0),"ошибка"))</f>
        <v>1</v>
      </c>
      <c r="S186" s="485">
        <f t="shared" si="283"/>
        <v>2.99</v>
      </c>
      <c r="T186" s="486"/>
      <c r="U186" s="487"/>
      <c r="V186" s="485">
        <f t="shared" si="284"/>
        <v>3.3899999999999997</v>
      </c>
      <c r="W186" s="486"/>
      <c r="X186" s="487"/>
      <c r="Y186" s="489">
        <f t="shared" si="285"/>
        <v>2.4</v>
      </c>
      <c r="Z186" s="491">
        <f t="shared" si="286"/>
        <v>9.1530000000000005</v>
      </c>
      <c r="AA186" s="237">
        <f t="shared" si="287"/>
        <v>0</v>
      </c>
      <c r="AB186" s="452">
        <f t="shared" si="412"/>
        <v>9.1530000000000005</v>
      </c>
      <c r="AC186" s="201">
        <f t="shared" si="288"/>
        <v>0</v>
      </c>
      <c r="AD186" s="203">
        <f t="shared" si="413"/>
        <v>0</v>
      </c>
      <c r="AE186" s="37" t="str">
        <f t="shared" si="289"/>
        <v/>
      </c>
      <c r="AF186" s="202">
        <f t="shared" si="414"/>
        <v>0</v>
      </c>
      <c r="AG186" s="201">
        <f t="shared" si="415"/>
        <v>0</v>
      </c>
      <c r="AH186" s="61">
        <f t="shared" si="290"/>
        <v>9.1530000000000005</v>
      </c>
      <c r="AI186" s="443">
        <f t="shared" si="397"/>
        <v>0</v>
      </c>
      <c r="AJ186" s="444">
        <f t="shared" si="353"/>
        <v>0</v>
      </c>
      <c r="AK186" s="445">
        <f t="shared" si="354"/>
        <v>0</v>
      </c>
      <c r="AL186" s="446">
        <f t="shared" si="355"/>
        <v>0</v>
      </c>
      <c r="AM186" s="447">
        <f t="shared" si="356"/>
        <v>0</v>
      </c>
      <c r="AN186" s="24">
        <f t="shared" si="357"/>
        <v>9.1530000000000005</v>
      </c>
      <c r="AO186" s="443">
        <f t="shared" si="291"/>
        <v>0</v>
      </c>
      <c r="AP186" s="444">
        <f t="shared" si="358"/>
        <v>0</v>
      </c>
      <c r="AQ186" s="445">
        <f t="shared" si="359"/>
        <v>0</v>
      </c>
      <c r="AR186" s="446">
        <f t="shared" si="360"/>
        <v>0</v>
      </c>
      <c r="AS186" s="447">
        <f t="shared" si="361"/>
        <v>0</v>
      </c>
      <c r="AT186" s="24">
        <f t="shared" si="362"/>
        <v>9.1530000000000005</v>
      </c>
      <c r="AU186" s="443">
        <f t="shared" si="292"/>
        <v>0</v>
      </c>
      <c r="AV186" s="444">
        <f t="shared" si="363"/>
        <v>0</v>
      </c>
      <c r="AW186" s="445">
        <f t="shared" si="364"/>
        <v>0</v>
      </c>
      <c r="AX186" s="446">
        <f t="shared" si="365"/>
        <v>0</v>
      </c>
      <c r="AY186" s="447">
        <f t="shared" si="366"/>
        <v>0</v>
      </c>
      <c r="AZ186" s="24">
        <f t="shared" si="367"/>
        <v>9.1530000000000005</v>
      </c>
      <c r="BA186" s="43">
        <f>IF(BB186=0,0,
IF(D186=1,
(IF(AND(AH186&gt;'Данные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"ошибка_1"))))))),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"ошибка_2"))))))))</f>
        <v>0</v>
      </c>
      <c r="BB186" s="43">
        <f>IF(OR($AI$9=0,AND(D186&gt;1,F186&gt;10)),0,
IF(D186=1,
(IF(AND(AH186&gt;'Данные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"ошибка_1"))))))),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IF(AND(AH186&gt;'Данные ТНПА'!#REF!,AH186&lt;='Данные ТНПА'!#REF!),'Данные ТНПА'!#REF!,
"ошибка_2"))))))))</f>
        <v>0</v>
      </c>
      <c r="BC186" s="43">
        <f t="shared" si="368"/>
        <v>9.1530000000000005</v>
      </c>
      <c r="BD186" s="237">
        <f t="shared" si="422"/>
        <v>0</v>
      </c>
      <c r="BE186" s="43">
        <f t="shared" si="423"/>
        <v>0</v>
      </c>
      <c r="BF186" s="201">
        <f t="shared" si="424"/>
        <v>0</v>
      </c>
      <c r="BG186" s="201">
        <f t="shared" si="425"/>
        <v>0</v>
      </c>
      <c r="BH186" s="61">
        <f t="shared" si="403"/>
        <v>9.1530000000000005</v>
      </c>
      <c r="BI186" s="237">
        <f t="shared" si="426"/>
        <v>0</v>
      </c>
      <c r="BJ186" s="247">
        <f t="shared" si="427"/>
        <v>0</v>
      </c>
      <c r="BK186" s="431">
        <f t="shared" si="416"/>
        <v>0</v>
      </c>
      <c r="BL186" s="250">
        <f t="shared" si="421"/>
        <v>0</v>
      </c>
      <c r="BM186" s="237">
        <f t="shared" si="428"/>
        <v>0</v>
      </c>
      <c r="BN186" s="452">
        <f t="shared" si="406"/>
        <v>9.1530000000000005</v>
      </c>
      <c r="BO186" s="237">
        <f t="shared" si="429"/>
        <v>0</v>
      </c>
      <c r="BP186" s="432">
        <f t="shared" si="430"/>
        <v>0</v>
      </c>
      <c r="BQ186" s="22" t="str">
        <f t="shared" si="417"/>
        <v/>
      </c>
      <c r="BR186" s="250">
        <f t="shared" si="418"/>
        <v>0</v>
      </c>
      <c r="BS186" s="237">
        <f t="shared" si="431"/>
        <v>0</v>
      </c>
      <c r="BT186" s="452">
        <f t="shared" si="419"/>
        <v>9.1530000000000005</v>
      </c>
      <c r="BU186" s="492">
        <f t="shared" si="410"/>
        <v>1.1749999999999998</v>
      </c>
      <c r="BV186" s="493">
        <f>IF(BT186="","",
IF(AND(BT186&gt;'Данные ТНПА'!$K$8,BT186&lt;='Данные ТНПА'!$L$8),'Данные ТНПА'!$N$8,
IF(AND(BT186&gt;'Данные ТНПА'!$K$9,BT186&lt;='Данные ТНПА'!$L$9),'Данные ТНПА'!$N$9,
IF(AND(BT186&gt;'Данные ТНПА'!$K$10,BT186&lt;='Данные ТНПА'!$L$10),'Данные ТНПА'!$N$10,
IF(AND(BT186&gt;'Данные ТНПА'!$K$11,BT186&lt;='Данные ТНПА'!$L$11),'Данные ТНПА'!$N$11,
IF(AND(BT186&gt;'Данные ТНПА'!$K$12,BT186&lt;='Данные ТНПА'!$L$12),'Данные ТНПА'!$N$12,
IF(AND(BT186&gt;'Данные ТНПА'!$K$13,BT186&lt;='Данные ТНПА'!$L$13),'Данные ТНПА'!$N$13,
IF(AND(BT186&gt;'Данные ТНПА'!$K$14,BT186&lt;='Данные ТНПА'!$L$14),'Данные ТНПА'!$N$14))))))))</f>
        <v>1.5</v>
      </c>
      <c r="BW186" s="493">
        <f t="shared" si="387"/>
        <v>12.153</v>
      </c>
      <c r="BX186" s="457">
        <f t="shared" si="293"/>
        <v>0</v>
      </c>
      <c r="BY186" s="457">
        <f t="shared" si="294"/>
        <v>716.17840000000001</v>
      </c>
      <c r="BZ186" s="457">
        <f t="shared" si="295"/>
        <v>55.724314166473569</v>
      </c>
      <c r="CA186" s="457" t="e">
        <f t="shared" ref="CA186:CA197" si="436">PI()*POWER(Y186,2)/4*$CA$9</f>
        <v>#REF!</v>
      </c>
      <c r="CB186" s="458">
        <f t="shared" si="432"/>
        <v>0</v>
      </c>
      <c r="CC186" s="457">
        <f t="shared" si="390"/>
        <v>0</v>
      </c>
      <c r="CD186" s="457">
        <f t="shared" si="391"/>
        <v>0</v>
      </c>
      <c r="CE186" s="457">
        <f t="shared" si="392"/>
        <v>0</v>
      </c>
      <c r="CF186" s="457">
        <f t="shared" si="393"/>
        <v>0</v>
      </c>
      <c r="CG186" s="458">
        <f t="shared" si="296"/>
        <v>0</v>
      </c>
      <c r="CH186" s="457">
        <f t="shared" si="433"/>
        <v>0</v>
      </c>
      <c r="CI186" s="457">
        <f t="shared" si="434"/>
        <v>0</v>
      </c>
      <c r="CJ186" s="458">
        <f t="shared" si="435"/>
        <v>0</v>
      </c>
      <c r="CK186" s="458">
        <f t="shared" si="297"/>
        <v>73.092772200503475</v>
      </c>
      <c r="CL186" s="457">
        <f t="shared" si="298"/>
        <v>844.99548636697705</v>
      </c>
      <c r="CM186" s="504"/>
      <c r="CN186" s="504"/>
    </row>
    <row r="187" spans="1:92" ht="14.25" hidden="1" customHeight="1" x14ac:dyDescent="0.25">
      <c r="A187" s="389" t="str">
        <f>IF(D187="",CONCATENATE("Кабель ",IF(C187="а","А",""),$A$9),CONCATENATE("Кабель ",IF(C187="а","А",""),$A$9," ",D187,"*",F187,IF(G187="ок"," (ож)","")," - ",B187," ",IF(G187="мс"," фас. ",""),$A$2))</f>
        <v>Кабель ВВГ 5*25 - 1 ГОСТ 16442-80</v>
      </c>
      <c r="B187" s="450">
        <v>1</v>
      </c>
      <c r="C187" s="451" t="s">
        <v>163</v>
      </c>
      <c r="D187" s="412">
        <v>5</v>
      </c>
      <c r="E187" s="413" t="s">
        <v>40</v>
      </c>
      <c r="F187" s="423">
        <v>25</v>
      </c>
      <c r="G187" s="414" t="str">
        <f>IF(I187=1,"ок","мк")</f>
        <v>мк</v>
      </c>
      <c r="H187" s="461">
        <v>2.21</v>
      </c>
      <c r="I187" s="476">
        <v>7</v>
      </c>
      <c r="J187" s="477" t="s">
        <v>40</v>
      </c>
      <c r="K187" s="470">
        <f>ROUNDUP(SQRT(F187/I187/PI()*4*1.07),2)</f>
        <v>2.21</v>
      </c>
      <c r="L187" s="501">
        <v>1.79</v>
      </c>
      <c r="M187" s="475"/>
      <c r="N187" s="475"/>
      <c r="O187" s="475"/>
      <c r="P187" s="475"/>
      <c r="Q187" s="483">
        <f t="shared" ref="Q187:Q197" si="437">0.9*R187-0.1</f>
        <v>0.98000000000000009</v>
      </c>
      <c r="R187" s="484">
        <f>IF(B187=0.66,VLOOKUP(F187,'Данные ТНПА'!$B$8:$C$16,2,0),
IF(B187=1,VLOOKUP(F187,'Данные ТНПА'!$B$17:$C$37,2,0),"ошибка"))</f>
        <v>1.2</v>
      </c>
      <c r="S187" s="485">
        <f t="shared" si="283"/>
        <v>3.75</v>
      </c>
      <c r="T187" s="486"/>
      <c r="U187" s="487"/>
      <c r="V187" s="485">
        <f t="shared" si="284"/>
        <v>4.1899999999999995</v>
      </c>
      <c r="W187" s="486"/>
      <c r="X187" s="487"/>
      <c r="Y187" s="489">
        <f t="shared" si="285"/>
        <v>2.9</v>
      </c>
      <c r="Z187" s="491">
        <f t="shared" si="286"/>
        <v>11.312999999999999</v>
      </c>
      <c r="AA187" s="237">
        <f t="shared" si="287"/>
        <v>0</v>
      </c>
      <c r="AB187" s="452">
        <f t="shared" si="412"/>
        <v>11.312999999999999</v>
      </c>
      <c r="AC187" s="201">
        <f t="shared" si="288"/>
        <v>0</v>
      </c>
      <c r="AD187" s="203">
        <f t="shared" si="413"/>
        <v>0</v>
      </c>
      <c r="AE187" s="37" t="str">
        <f t="shared" si="289"/>
        <v/>
      </c>
      <c r="AF187" s="202">
        <f t="shared" si="414"/>
        <v>0</v>
      </c>
      <c r="AG187" s="201">
        <f t="shared" si="415"/>
        <v>0</v>
      </c>
      <c r="AH187" s="61">
        <f t="shared" si="290"/>
        <v>11.312999999999999</v>
      </c>
      <c r="AI187" s="443">
        <f t="shared" si="397"/>
        <v>0</v>
      </c>
      <c r="AJ187" s="444">
        <f t="shared" si="353"/>
        <v>0</v>
      </c>
      <c r="AK187" s="445">
        <f t="shared" si="354"/>
        <v>0</v>
      </c>
      <c r="AL187" s="446">
        <f t="shared" si="355"/>
        <v>0</v>
      </c>
      <c r="AM187" s="447">
        <f t="shared" si="356"/>
        <v>0</v>
      </c>
      <c r="AN187" s="24">
        <f t="shared" si="357"/>
        <v>11.312999999999999</v>
      </c>
      <c r="AO187" s="443">
        <f t="shared" si="291"/>
        <v>0</v>
      </c>
      <c r="AP187" s="444">
        <f t="shared" si="358"/>
        <v>0</v>
      </c>
      <c r="AQ187" s="445">
        <f t="shared" si="359"/>
        <v>0</v>
      </c>
      <c r="AR187" s="446">
        <f t="shared" si="360"/>
        <v>0</v>
      </c>
      <c r="AS187" s="447">
        <f t="shared" si="361"/>
        <v>0</v>
      </c>
      <c r="AT187" s="24">
        <f t="shared" si="362"/>
        <v>11.312999999999999</v>
      </c>
      <c r="AU187" s="443">
        <f t="shared" si="292"/>
        <v>0</v>
      </c>
      <c r="AV187" s="444">
        <f t="shared" si="363"/>
        <v>0</v>
      </c>
      <c r="AW187" s="445">
        <f t="shared" si="364"/>
        <v>0</v>
      </c>
      <c r="AX187" s="446">
        <f t="shared" si="365"/>
        <v>0</v>
      </c>
      <c r="AY187" s="447">
        <f t="shared" si="366"/>
        <v>0</v>
      </c>
      <c r="AZ187" s="24">
        <f t="shared" si="367"/>
        <v>11.312999999999999</v>
      </c>
      <c r="BA187" s="43">
        <f>IF(BB187=0,0,
IF(D187=1,
(IF(AND(AH187&gt;'Данные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"ошибка_1"))))))),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"ошибка_2"))))))))</f>
        <v>0</v>
      </c>
      <c r="BB187" s="43">
        <f>IF(OR($AI$9=0,AND(D187&gt;1,F187&gt;10)),0,
IF(D187=1,
(IF(AND(AH187&gt;'Данные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"ошибка_1"))))))),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IF(AND(AH187&gt;'Данные ТНПА'!#REF!,AH187&lt;='Данные ТНПА'!#REF!),'Данные ТНПА'!#REF!,
"ошибка_2"))))))))</f>
        <v>0</v>
      </c>
      <c r="BC187" s="43">
        <f t="shared" si="368"/>
        <v>11.312999999999999</v>
      </c>
      <c r="BD187" s="237">
        <f t="shared" si="422"/>
        <v>0</v>
      </c>
      <c r="BE187" s="43">
        <f t="shared" si="423"/>
        <v>0</v>
      </c>
      <c r="BF187" s="201">
        <f t="shared" si="424"/>
        <v>0</v>
      </c>
      <c r="BG187" s="201">
        <f t="shared" si="425"/>
        <v>0</v>
      </c>
      <c r="BH187" s="61">
        <f t="shared" si="403"/>
        <v>11.312999999999999</v>
      </c>
      <c r="BI187" s="237">
        <f t="shared" si="426"/>
        <v>0</v>
      </c>
      <c r="BJ187" s="247">
        <f t="shared" si="427"/>
        <v>0</v>
      </c>
      <c r="BK187" s="431">
        <f t="shared" si="416"/>
        <v>0</v>
      </c>
      <c r="BL187" s="250">
        <f t="shared" si="421"/>
        <v>0</v>
      </c>
      <c r="BM187" s="237">
        <f t="shared" si="428"/>
        <v>0</v>
      </c>
      <c r="BN187" s="452">
        <f t="shared" si="406"/>
        <v>11.312999999999999</v>
      </c>
      <c r="BO187" s="237">
        <f t="shared" si="429"/>
        <v>0</v>
      </c>
      <c r="BP187" s="432">
        <f t="shared" si="430"/>
        <v>0</v>
      </c>
      <c r="BQ187" s="22" t="str">
        <f t="shared" si="417"/>
        <v/>
      </c>
      <c r="BR187" s="250">
        <f t="shared" si="418"/>
        <v>0</v>
      </c>
      <c r="BS187" s="237">
        <f t="shared" si="431"/>
        <v>0</v>
      </c>
      <c r="BT187" s="452">
        <f t="shared" si="419"/>
        <v>11.312999999999999</v>
      </c>
      <c r="BU187" s="492">
        <f t="shared" si="410"/>
        <v>1.1749999999999998</v>
      </c>
      <c r="BV187" s="493">
        <f>IF(BT187="","",
IF(AND(BT187&gt;'Данные ТНПА'!$K$8,BT187&lt;='Данные ТНПА'!$L$8),'Данные ТНПА'!$N$8,
IF(AND(BT187&gt;'Данные ТНПА'!$K$9,BT187&lt;='Данные ТНПА'!$L$9),'Данные ТНПА'!$N$9,
IF(AND(BT187&gt;'Данные ТНПА'!$K$10,BT187&lt;='Данные ТНПА'!$L$10),'Данные ТНПА'!$N$10,
IF(AND(BT187&gt;'Данные ТНПА'!$K$11,BT187&lt;='Данные ТНПА'!$L$11),'Данные ТНПА'!$N$11,
IF(AND(BT187&gt;'Данные ТНПА'!$K$12,BT187&lt;='Данные ТНПА'!$L$12),'Данные ТНПА'!$N$12,
IF(AND(BT187&gt;'Данные ТНПА'!$K$13,BT187&lt;='Данные ТНПА'!$L$13),'Данные ТНПА'!$N$13,
IF(AND(BT187&gt;'Данные ТНПА'!$K$14,BT187&lt;='Данные ТНПА'!$L$14),'Данные ТНПА'!$N$14))))))))</f>
        <v>1.5</v>
      </c>
      <c r="BW187" s="493">
        <f t="shared" si="387"/>
        <v>14.312999999999999</v>
      </c>
      <c r="BX187" s="457">
        <f t="shared" si="293"/>
        <v>0</v>
      </c>
      <c r="BY187" s="457">
        <f t="shared" si="294"/>
        <v>1119.0287499999999</v>
      </c>
      <c r="BZ187" s="457">
        <f t="shared" si="295"/>
        <v>83.656418087576256</v>
      </c>
      <c r="CA187" s="457" t="e">
        <f t="shared" si="436"/>
        <v>#REF!</v>
      </c>
      <c r="CB187" s="458">
        <f t="shared" si="432"/>
        <v>0</v>
      </c>
      <c r="CC187" s="457">
        <f t="shared" si="390"/>
        <v>0</v>
      </c>
      <c r="CD187" s="457">
        <f t="shared" si="391"/>
        <v>0</v>
      </c>
      <c r="CE187" s="457">
        <f t="shared" si="392"/>
        <v>0</v>
      </c>
      <c r="CF187" s="457">
        <f t="shared" si="393"/>
        <v>0</v>
      </c>
      <c r="CG187" s="458">
        <f t="shared" si="296"/>
        <v>0</v>
      </c>
      <c r="CH187" s="457">
        <f t="shared" si="433"/>
        <v>0</v>
      </c>
      <c r="CI187" s="457">
        <f t="shared" si="434"/>
        <v>0</v>
      </c>
      <c r="CJ187" s="458">
        <f t="shared" si="435"/>
        <v>0</v>
      </c>
      <c r="CK187" s="458">
        <f t="shared" si="297"/>
        <v>87.9130470482541</v>
      </c>
      <c r="CL187" s="457">
        <f t="shared" si="298"/>
        <v>1290.5982151358303</v>
      </c>
      <c r="CM187" s="504"/>
      <c r="CN187" s="504"/>
    </row>
    <row r="188" spans="1:92" ht="14.25" hidden="1" customHeight="1" x14ac:dyDescent="0.25">
      <c r="A188" s="389" t="str">
        <f>IF(D188="",CONCATENATE("Кабель ",IF(C188="а","А",""),$A$9),CONCATENATE("Кабель ",IF(C188="а","А",""),$A$9," ",D188,"*",F188,IF(G188="ок"," (ож)","")," - ",B188," ",IF(G188="мс"," фас. ",""),$A$2))</f>
        <v>Кабель ВВГ 5*35 - 1 ГОСТ 16442-80</v>
      </c>
      <c r="B188" s="450">
        <v>1</v>
      </c>
      <c r="C188" s="451" t="s">
        <v>163</v>
      </c>
      <c r="D188" s="412">
        <v>5</v>
      </c>
      <c r="E188" s="413" t="s">
        <v>40</v>
      </c>
      <c r="F188" s="423">
        <v>35</v>
      </c>
      <c r="G188" s="414" t="str">
        <f>IF(I188=1,"ок","мк")</f>
        <v>мк</v>
      </c>
      <c r="H188" s="461">
        <v>2.61</v>
      </c>
      <c r="I188" s="476">
        <v>7</v>
      </c>
      <c r="J188" s="477" t="s">
        <v>40</v>
      </c>
      <c r="K188" s="470">
        <f>ROUNDUP(SQRT(F188/I188/PI()*4*1.07),2)</f>
        <v>2.61</v>
      </c>
      <c r="L188" s="501">
        <v>2.2599999999999998</v>
      </c>
      <c r="M188" s="475"/>
      <c r="N188" s="475"/>
      <c r="O188" s="475"/>
      <c r="P188" s="475"/>
      <c r="Q188" s="483">
        <f t="shared" si="437"/>
        <v>0.98000000000000009</v>
      </c>
      <c r="R188" s="484">
        <f>IF(B188=0.66,VLOOKUP(F188,'Данные ТНПА'!$B$8:$C$16,2,0),
IF(B188=1,VLOOKUP(F188,'Данные ТНПА'!$B$17:$C$37,2,0),"ошибка"))</f>
        <v>1.2</v>
      </c>
      <c r="S188" s="485">
        <f t="shared" si="283"/>
        <v>4.22</v>
      </c>
      <c r="T188" s="486"/>
      <c r="U188" s="487"/>
      <c r="V188" s="485">
        <f t="shared" si="284"/>
        <v>4.66</v>
      </c>
      <c r="W188" s="486"/>
      <c r="X188" s="487"/>
      <c r="Y188" s="489">
        <f t="shared" si="285"/>
        <v>3.3</v>
      </c>
      <c r="Z188" s="491">
        <f t="shared" si="286"/>
        <v>12.582000000000001</v>
      </c>
      <c r="AA188" s="237">
        <f t="shared" si="287"/>
        <v>0</v>
      </c>
      <c r="AB188" s="452">
        <f t="shared" si="412"/>
        <v>12.582000000000001</v>
      </c>
      <c r="AC188" s="201">
        <f t="shared" si="288"/>
        <v>0</v>
      </c>
      <c r="AD188" s="203">
        <f t="shared" si="413"/>
        <v>0</v>
      </c>
      <c r="AE188" s="37" t="str">
        <f t="shared" si="289"/>
        <v/>
      </c>
      <c r="AF188" s="202">
        <f t="shared" si="414"/>
        <v>0</v>
      </c>
      <c r="AG188" s="201">
        <f t="shared" si="415"/>
        <v>0</v>
      </c>
      <c r="AH188" s="61">
        <f t="shared" si="290"/>
        <v>12.582000000000001</v>
      </c>
      <c r="AI188" s="443">
        <f t="shared" si="397"/>
        <v>0</v>
      </c>
      <c r="AJ188" s="444">
        <f t="shared" si="353"/>
        <v>0</v>
      </c>
      <c r="AK188" s="445">
        <f t="shared" si="354"/>
        <v>0</v>
      </c>
      <c r="AL188" s="446">
        <f t="shared" si="355"/>
        <v>0</v>
      </c>
      <c r="AM188" s="447">
        <f t="shared" si="356"/>
        <v>0</v>
      </c>
      <c r="AN188" s="24">
        <f t="shared" si="357"/>
        <v>12.582000000000001</v>
      </c>
      <c r="AO188" s="443">
        <f t="shared" si="291"/>
        <v>0</v>
      </c>
      <c r="AP188" s="444">
        <f t="shared" si="358"/>
        <v>0</v>
      </c>
      <c r="AQ188" s="445">
        <f t="shared" si="359"/>
        <v>0</v>
      </c>
      <c r="AR188" s="446">
        <f t="shared" si="360"/>
        <v>0</v>
      </c>
      <c r="AS188" s="447">
        <f t="shared" si="361"/>
        <v>0</v>
      </c>
      <c r="AT188" s="24">
        <f t="shared" si="362"/>
        <v>12.582000000000001</v>
      </c>
      <c r="AU188" s="443">
        <f t="shared" si="292"/>
        <v>0</v>
      </c>
      <c r="AV188" s="444">
        <f t="shared" si="363"/>
        <v>0</v>
      </c>
      <c r="AW188" s="445">
        <f t="shared" si="364"/>
        <v>0</v>
      </c>
      <c r="AX188" s="446">
        <f t="shared" si="365"/>
        <v>0</v>
      </c>
      <c r="AY188" s="447">
        <f t="shared" si="366"/>
        <v>0</v>
      </c>
      <c r="AZ188" s="24">
        <f t="shared" si="367"/>
        <v>12.582000000000001</v>
      </c>
      <c r="BA188" s="43">
        <f>IF(BB188=0,0,
IF(D188=1,
(IF(AND(AH188&gt;'Данные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"ошибка_1"))))))),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"ошибка_2"))))))))</f>
        <v>0</v>
      </c>
      <c r="BB188" s="43">
        <f>IF(OR($AI$9=0,AND(D188&gt;1,F188&gt;10)),0,
IF(D188=1,
(IF(AND(AH188&gt;'Данные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"ошибка_1"))))))),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IF(AND(AH188&gt;'Данные ТНПА'!#REF!,AH188&lt;='Данные ТНПА'!#REF!),'Данные ТНПА'!#REF!,
"ошибка_2"))))))))</f>
        <v>0</v>
      </c>
      <c r="BC188" s="43">
        <f t="shared" si="368"/>
        <v>12.582000000000001</v>
      </c>
      <c r="BD188" s="237">
        <f t="shared" si="422"/>
        <v>0</v>
      </c>
      <c r="BE188" s="43">
        <f t="shared" si="423"/>
        <v>0</v>
      </c>
      <c r="BF188" s="201">
        <f t="shared" si="424"/>
        <v>0</v>
      </c>
      <c r="BG188" s="201">
        <f t="shared" si="425"/>
        <v>0</v>
      </c>
      <c r="BH188" s="61">
        <f t="shared" si="403"/>
        <v>12.582000000000001</v>
      </c>
      <c r="BI188" s="237">
        <f t="shared" si="426"/>
        <v>0</v>
      </c>
      <c r="BJ188" s="247">
        <f t="shared" si="427"/>
        <v>0</v>
      </c>
      <c r="BK188" s="431">
        <f t="shared" si="416"/>
        <v>0</v>
      </c>
      <c r="BL188" s="250">
        <f t="shared" si="421"/>
        <v>0</v>
      </c>
      <c r="BM188" s="237">
        <f t="shared" si="428"/>
        <v>0</v>
      </c>
      <c r="BN188" s="452">
        <f t="shared" si="406"/>
        <v>12.582000000000001</v>
      </c>
      <c r="BO188" s="237">
        <f t="shared" si="429"/>
        <v>0</v>
      </c>
      <c r="BP188" s="432">
        <f t="shared" si="430"/>
        <v>0</v>
      </c>
      <c r="BQ188" s="22" t="str">
        <f t="shared" si="417"/>
        <v/>
      </c>
      <c r="BR188" s="250">
        <f t="shared" si="418"/>
        <v>0</v>
      </c>
      <c r="BS188" s="237">
        <f t="shared" si="431"/>
        <v>0</v>
      </c>
      <c r="BT188" s="452">
        <f t="shared" si="419"/>
        <v>12.582000000000001</v>
      </c>
      <c r="BU188" s="492">
        <f t="shared" si="410"/>
        <v>1.1749999999999998</v>
      </c>
      <c r="BV188" s="493">
        <f>IF(BT188="","",
IF(AND(BT188&gt;'Данные ТНПА'!$K$8,BT188&lt;='Данные ТНПА'!$L$8),'Данные ТНПА'!$N$8,
IF(AND(BT188&gt;'Данные ТНПА'!$K$9,BT188&lt;='Данные ТНПА'!$L$9),'Данные ТНПА'!$N$9,
IF(AND(BT188&gt;'Данные ТНПА'!$K$10,BT188&lt;='Данные ТНПА'!$L$10),'Данные ТНПА'!$N$10,
IF(AND(BT188&gt;'Данные ТНПА'!$K$11,BT188&lt;='Данные ТНПА'!$L$11),'Данные ТНПА'!$N$11,
IF(AND(BT188&gt;'Данные ТНПА'!$K$12,BT188&lt;='Данные ТНПА'!$L$12),'Данные ТНПА'!$N$12,
IF(AND(BT188&gt;'Данные ТНПА'!$K$13,BT188&lt;='Данные ТНПА'!$L$13),'Данные ТНПА'!$N$13,
IF(AND(BT188&gt;'Данные ТНПА'!$K$14,BT188&lt;='Данные ТНПА'!$L$14),'Данные ТНПА'!$N$14))))))))</f>
        <v>1.5</v>
      </c>
      <c r="BW188" s="493">
        <f t="shared" si="387"/>
        <v>15.582000000000001</v>
      </c>
      <c r="BX188" s="457">
        <f t="shared" si="293"/>
        <v>0</v>
      </c>
      <c r="BY188" s="457">
        <f t="shared" si="294"/>
        <v>1566.6402500000002</v>
      </c>
      <c r="BZ188" s="457">
        <f t="shared" si="295"/>
        <v>96.806423606359118</v>
      </c>
      <c r="CA188" s="457" t="e">
        <f t="shared" si="436"/>
        <v>#REF!</v>
      </c>
      <c r="CB188" s="458">
        <f t="shared" si="432"/>
        <v>0</v>
      </c>
      <c r="CC188" s="457">
        <f t="shared" si="390"/>
        <v>0</v>
      </c>
      <c r="CD188" s="457">
        <f t="shared" si="391"/>
        <v>0</v>
      </c>
      <c r="CE188" s="457">
        <f t="shared" si="392"/>
        <v>0</v>
      </c>
      <c r="CF188" s="457">
        <f t="shared" si="393"/>
        <v>0</v>
      </c>
      <c r="CG188" s="458">
        <f t="shared" si="296"/>
        <v>0</v>
      </c>
      <c r="CH188" s="457">
        <f t="shared" si="433"/>
        <v>0</v>
      </c>
      <c r="CI188" s="457">
        <f t="shared" si="434"/>
        <v>0</v>
      </c>
      <c r="CJ188" s="458">
        <f t="shared" si="435"/>
        <v>0</v>
      </c>
      <c r="CK188" s="458">
        <f t="shared" si="297"/>
        <v>96.619958521307595</v>
      </c>
      <c r="CL188" s="457">
        <f t="shared" si="298"/>
        <v>1760.0666321276669</v>
      </c>
      <c r="CM188" s="504"/>
      <c r="CN188" s="504"/>
    </row>
    <row r="189" spans="1:92" ht="14.25" hidden="1" customHeight="1" x14ac:dyDescent="0.25">
      <c r="A189" s="389" t="str">
        <f>IF(D189="",CONCATENATE("Кабель ",IF(C189="а","А",""),$A$9),CONCATENATE("Кабель ",IF(C189="а","А",""),$A$9," ",D189,"*",F189,IF(G189="ок"," (ож)","")," - ",B189," ",IF(G189="мс"," фас. ",""),$A$2))</f>
        <v>Кабель ВВГ 5*50 - 1 ГОСТ 16442-80</v>
      </c>
      <c r="B189" s="450">
        <v>1</v>
      </c>
      <c r="C189" s="451" t="s">
        <v>163</v>
      </c>
      <c r="D189" s="412">
        <v>5</v>
      </c>
      <c r="E189" s="413" t="s">
        <v>40</v>
      </c>
      <c r="F189" s="423">
        <v>50</v>
      </c>
      <c r="G189" s="414" t="str">
        <f>IF(I189=1,"ок","мк")</f>
        <v>мк</v>
      </c>
      <c r="H189" s="461">
        <v>3.1199999999999997</v>
      </c>
      <c r="I189" s="476">
        <v>7</v>
      </c>
      <c r="J189" s="477" t="s">
        <v>40</v>
      </c>
      <c r="K189" s="470">
        <f>ROUNDUP(SQRT(F189/I189/PI()*4*1.07),2)</f>
        <v>3.1199999999999997</v>
      </c>
      <c r="L189" s="501">
        <v>2.7699999999999996</v>
      </c>
      <c r="M189" s="475"/>
      <c r="N189" s="475"/>
      <c r="O189" s="475"/>
      <c r="P189" s="475"/>
      <c r="Q189" s="483">
        <f t="shared" si="437"/>
        <v>1.1599999999999999</v>
      </c>
      <c r="R189" s="484">
        <f>IF(B189=0.66,VLOOKUP(F189,'Данные ТНПА'!$B$8:$C$16,2,0),
IF(B189=1,VLOOKUP(F189,'Данные ТНПА'!$B$17:$C$37,2,0),"ошибка"))</f>
        <v>1.4</v>
      </c>
      <c r="S189" s="485">
        <f t="shared" si="283"/>
        <v>5.09</v>
      </c>
      <c r="T189" s="486"/>
      <c r="U189" s="487"/>
      <c r="V189" s="485">
        <f t="shared" si="284"/>
        <v>5.5699999999999994</v>
      </c>
      <c r="W189" s="486"/>
      <c r="X189" s="487"/>
      <c r="Y189" s="489">
        <f t="shared" si="285"/>
        <v>3.9</v>
      </c>
      <c r="Z189" s="491">
        <f t="shared" si="286"/>
        <v>15.039</v>
      </c>
      <c r="AA189" s="237">
        <f t="shared" si="287"/>
        <v>0</v>
      </c>
      <c r="AB189" s="452">
        <f t="shared" si="412"/>
        <v>15.039</v>
      </c>
      <c r="AC189" s="201">
        <f t="shared" si="288"/>
        <v>0</v>
      </c>
      <c r="AD189" s="203">
        <f t="shared" si="413"/>
        <v>0</v>
      </c>
      <c r="AE189" s="37" t="str">
        <f t="shared" si="289"/>
        <v/>
      </c>
      <c r="AF189" s="202">
        <f t="shared" si="414"/>
        <v>0</v>
      </c>
      <c r="AG189" s="201">
        <f t="shared" si="415"/>
        <v>0</v>
      </c>
      <c r="AH189" s="61">
        <f t="shared" si="290"/>
        <v>15.039</v>
      </c>
      <c r="AI189" s="443">
        <f t="shared" si="397"/>
        <v>0</v>
      </c>
      <c r="AJ189" s="444">
        <f t="shared" si="353"/>
        <v>0</v>
      </c>
      <c r="AK189" s="445">
        <f t="shared" si="354"/>
        <v>0</v>
      </c>
      <c r="AL189" s="446">
        <f t="shared" si="355"/>
        <v>0</v>
      </c>
      <c r="AM189" s="447">
        <f t="shared" si="356"/>
        <v>0</v>
      </c>
      <c r="AN189" s="24">
        <f t="shared" si="357"/>
        <v>15.039</v>
      </c>
      <c r="AO189" s="443">
        <f t="shared" si="291"/>
        <v>0</v>
      </c>
      <c r="AP189" s="444">
        <f t="shared" si="358"/>
        <v>0</v>
      </c>
      <c r="AQ189" s="445">
        <f t="shared" si="359"/>
        <v>0</v>
      </c>
      <c r="AR189" s="446">
        <f t="shared" si="360"/>
        <v>0</v>
      </c>
      <c r="AS189" s="447">
        <f t="shared" si="361"/>
        <v>0</v>
      </c>
      <c r="AT189" s="24">
        <f t="shared" si="362"/>
        <v>15.039</v>
      </c>
      <c r="AU189" s="443">
        <f t="shared" si="292"/>
        <v>0</v>
      </c>
      <c r="AV189" s="444">
        <f t="shared" si="363"/>
        <v>0</v>
      </c>
      <c r="AW189" s="445">
        <f t="shared" si="364"/>
        <v>0</v>
      </c>
      <c r="AX189" s="446">
        <f t="shared" si="365"/>
        <v>0</v>
      </c>
      <c r="AY189" s="447">
        <f t="shared" si="366"/>
        <v>0</v>
      </c>
      <c r="AZ189" s="24">
        <f t="shared" si="367"/>
        <v>15.039</v>
      </c>
      <c r="BA189" s="43">
        <f>IF(BB189=0,0,
IF(D189=1,
(IF(AND(AH189&gt;'Данные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"ошибка_1"))))))),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"ошибка_2"))))))))</f>
        <v>0</v>
      </c>
      <c r="BB189" s="43">
        <f>IF(OR($AI$9=0,AND(D189&gt;1,F189&gt;10)),0,
IF(D189=1,
(IF(AND(AH189&gt;'Данные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"ошибка_1"))))))),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IF(AND(AH189&gt;'Данные ТНПА'!#REF!,AH189&lt;='Данные ТНПА'!#REF!),'Данные ТНПА'!#REF!,
"ошибка_2"))))))))</f>
        <v>0</v>
      </c>
      <c r="BC189" s="43">
        <f t="shared" si="368"/>
        <v>15.039</v>
      </c>
      <c r="BD189" s="237">
        <f t="shared" si="422"/>
        <v>0</v>
      </c>
      <c r="BE189" s="43">
        <f t="shared" si="423"/>
        <v>0</v>
      </c>
      <c r="BF189" s="201">
        <f t="shared" si="424"/>
        <v>0</v>
      </c>
      <c r="BG189" s="201">
        <f t="shared" si="425"/>
        <v>0</v>
      </c>
      <c r="BH189" s="61">
        <f t="shared" si="403"/>
        <v>15.039</v>
      </c>
      <c r="BI189" s="237">
        <f t="shared" si="426"/>
        <v>0</v>
      </c>
      <c r="BJ189" s="247">
        <f t="shared" si="427"/>
        <v>0</v>
      </c>
      <c r="BK189" s="431">
        <f t="shared" si="416"/>
        <v>0</v>
      </c>
      <c r="BL189" s="250">
        <f t="shared" si="421"/>
        <v>0</v>
      </c>
      <c r="BM189" s="237">
        <f t="shared" si="428"/>
        <v>0</v>
      </c>
      <c r="BN189" s="452">
        <f t="shared" si="406"/>
        <v>15.039</v>
      </c>
      <c r="BO189" s="237">
        <f t="shared" si="429"/>
        <v>0</v>
      </c>
      <c r="BP189" s="432">
        <f t="shared" si="430"/>
        <v>0</v>
      </c>
      <c r="BQ189" s="22" t="str">
        <f t="shared" si="417"/>
        <v/>
      </c>
      <c r="BR189" s="250">
        <f t="shared" si="418"/>
        <v>0</v>
      </c>
      <c r="BS189" s="237">
        <f t="shared" si="431"/>
        <v>0</v>
      </c>
      <c r="BT189" s="452">
        <f t="shared" si="419"/>
        <v>15.039</v>
      </c>
      <c r="BU189" s="492">
        <f t="shared" si="410"/>
        <v>1.3449999999999998</v>
      </c>
      <c r="BV189" s="493">
        <f>IF(BT189="","",
IF(AND(BT189&gt;'Данные ТНПА'!$K$8,BT189&lt;='Данные ТНПА'!$L$8),'Данные ТНПА'!$N$8,
IF(AND(BT189&gt;'Данные ТНПА'!$K$9,BT189&lt;='Данные ТНПА'!$L$9),'Данные ТНПА'!$N$9,
IF(AND(BT189&gt;'Данные ТНПА'!$K$10,BT189&lt;='Данные ТНПА'!$L$10),'Данные ТНПА'!$N$10,
IF(AND(BT189&gt;'Данные ТНПА'!$K$11,BT189&lt;='Данные ТНПА'!$L$11),'Данные ТНПА'!$N$11,
IF(AND(BT189&gt;'Данные ТНПА'!$K$12,BT189&lt;='Данные ТНПА'!$L$12),'Данные ТНПА'!$N$12,
IF(AND(BT189&gt;'Данные ТНПА'!$K$13,BT189&lt;='Данные ТНПА'!$L$13),'Данные ТНПА'!$N$13,
IF(AND(BT189&gt;'Данные ТНПА'!$K$14,BT189&lt;='Данные ТНПА'!$L$14),'Данные ТНПА'!$N$14))))))))</f>
        <v>1.7</v>
      </c>
      <c r="BW189" s="493">
        <f t="shared" si="387"/>
        <v>18.439</v>
      </c>
      <c r="BX189" s="457">
        <f t="shared" si="293"/>
        <v>0</v>
      </c>
      <c r="BY189" s="457">
        <f t="shared" si="294"/>
        <v>2238.0574999999999</v>
      </c>
      <c r="BZ189" s="457">
        <f t="shared" si="295"/>
        <v>136.11654648697606</v>
      </c>
      <c r="CA189" s="457" t="e">
        <f t="shared" si="436"/>
        <v>#REF!</v>
      </c>
      <c r="CB189" s="458">
        <f t="shared" si="432"/>
        <v>0</v>
      </c>
      <c r="CC189" s="457">
        <f t="shared" si="390"/>
        <v>0</v>
      </c>
      <c r="CD189" s="457">
        <f t="shared" si="391"/>
        <v>0</v>
      </c>
      <c r="CE189" s="457">
        <f t="shared" si="392"/>
        <v>0</v>
      </c>
      <c r="CF189" s="457">
        <f t="shared" si="393"/>
        <v>0</v>
      </c>
      <c r="CG189" s="458">
        <f t="shared" si="296"/>
        <v>0</v>
      </c>
      <c r="CH189" s="457">
        <f t="shared" si="433"/>
        <v>0</v>
      </c>
      <c r="CI189" s="457">
        <f t="shared" si="434"/>
        <v>0</v>
      </c>
      <c r="CJ189" s="458">
        <f t="shared" si="435"/>
        <v>0</v>
      </c>
      <c r="CK189" s="458">
        <f t="shared" si="297"/>
        <v>130.16363800927357</v>
      </c>
      <c r="CL189" s="457">
        <f t="shared" si="298"/>
        <v>2504.3376844962495</v>
      </c>
      <c r="CM189" s="504"/>
      <c r="CN189" s="504"/>
    </row>
    <row r="190" spans="1:92" ht="14.25" hidden="1" customHeight="1" x14ac:dyDescent="0.25">
      <c r="A190" s="389" t="str">
        <f>IF(D190="",CONCATENATE("Кабель ",IF(C190="а","А",""),$A$9),CONCATENATE("Кабель ",IF(C190="а","А",""),$A$9," ",D190,"*",F190,IF(G190="ок"," (ож)","")," - ",B190," ",IF(G190="мс"," фас. ",""),$A$2))</f>
        <v>Кабель ВВГ 5*1,5 (ож) - 1 ГОСТ 16442-80</v>
      </c>
      <c r="B190" s="450">
        <v>1</v>
      </c>
      <c r="C190" s="451" t="s">
        <v>163</v>
      </c>
      <c r="D190" s="412">
        <v>5</v>
      </c>
      <c r="E190" s="413" t="s">
        <v>40</v>
      </c>
      <c r="F190" s="423">
        <v>1.5</v>
      </c>
      <c r="G190" s="414" t="str">
        <f>IF(I190=1,"ок","мк")</f>
        <v>ок</v>
      </c>
      <c r="H190" s="461">
        <v>1.39</v>
      </c>
      <c r="I190" s="497">
        <v>1</v>
      </c>
      <c r="J190" s="498" t="s">
        <v>40</v>
      </c>
      <c r="K190" s="496">
        <f>ROUNDUP(SQRT(F190/PI()*4),2)</f>
        <v>1.39</v>
      </c>
      <c r="L190" s="501">
        <v>3.57</v>
      </c>
      <c r="M190" s="475"/>
      <c r="N190" s="475"/>
      <c r="O190" s="475"/>
      <c r="P190" s="475"/>
      <c r="Q190" s="483">
        <f t="shared" si="437"/>
        <v>0.62000000000000011</v>
      </c>
      <c r="R190" s="484">
        <f>IF(B190=0.66,VLOOKUP(F190,'Данные ТНПА'!$B$8:$C$16,2,0),
IF(B190=1,VLOOKUP(F190,'Данные ТНПА'!$B$17:$C$37,2,0),"ошибка"))</f>
        <v>0.8</v>
      </c>
      <c r="S190" s="485">
        <f t="shared" si="283"/>
        <v>2.63</v>
      </c>
      <c r="T190" s="486"/>
      <c r="U190" s="487"/>
      <c r="V190" s="485">
        <f t="shared" si="284"/>
        <v>2.99</v>
      </c>
      <c r="W190" s="486"/>
      <c r="X190" s="487"/>
      <c r="Y190" s="489">
        <f t="shared" si="285"/>
        <v>2.1</v>
      </c>
      <c r="Z190" s="491">
        <f t="shared" si="286"/>
        <v>8.0730000000000004</v>
      </c>
      <c r="AA190" s="237">
        <f t="shared" si="287"/>
        <v>0</v>
      </c>
      <c r="AB190" s="452">
        <f t="shared" si="412"/>
        <v>8.0730000000000004</v>
      </c>
      <c r="AC190" s="201">
        <f t="shared" si="288"/>
        <v>0</v>
      </c>
      <c r="AD190" s="203">
        <f t="shared" si="413"/>
        <v>0</v>
      </c>
      <c r="AE190" s="37" t="str">
        <f t="shared" si="289"/>
        <v/>
      </c>
      <c r="AF190" s="202">
        <f t="shared" si="414"/>
        <v>0</v>
      </c>
      <c r="AG190" s="201">
        <f t="shared" si="415"/>
        <v>0</v>
      </c>
      <c r="AH190" s="61">
        <f t="shared" si="290"/>
        <v>8.0730000000000004</v>
      </c>
      <c r="AI190" s="443">
        <f t="shared" si="397"/>
        <v>0</v>
      </c>
      <c r="AJ190" s="444">
        <f t="shared" si="353"/>
        <v>0</v>
      </c>
      <c r="AK190" s="445">
        <f t="shared" si="354"/>
        <v>0</v>
      </c>
      <c r="AL190" s="446">
        <f t="shared" si="355"/>
        <v>0</v>
      </c>
      <c r="AM190" s="447">
        <f t="shared" si="356"/>
        <v>0</v>
      </c>
      <c r="AN190" s="24">
        <f t="shared" si="357"/>
        <v>8.0730000000000004</v>
      </c>
      <c r="AO190" s="443">
        <f t="shared" si="291"/>
        <v>0</v>
      </c>
      <c r="AP190" s="444">
        <f t="shared" si="358"/>
        <v>0</v>
      </c>
      <c r="AQ190" s="445">
        <f t="shared" si="359"/>
        <v>0</v>
      </c>
      <c r="AR190" s="446">
        <f t="shared" si="360"/>
        <v>0</v>
      </c>
      <c r="AS190" s="447">
        <f t="shared" si="361"/>
        <v>0</v>
      </c>
      <c r="AT190" s="24">
        <f t="shared" si="362"/>
        <v>8.0730000000000004</v>
      </c>
      <c r="AU190" s="443">
        <f t="shared" si="292"/>
        <v>0</v>
      </c>
      <c r="AV190" s="444">
        <f t="shared" si="363"/>
        <v>0</v>
      </c>
      <c r="AW190" s="445">
        <f t="shared" si="364"/>
        <v>0</v>
      </c>
      <c r="AX190" s="446">
        <f t="shared" si="365"/>
        <v>0</v>
      </c>
      <c r="AY190" s="447">
        <f t="shared" si="366"/>
        <v>0</v>
      </c>
      <c r="AZ190" s="24">
        <f t="shared" si="367"/>
        <v>8.0730000000000004</v>
      </c>
      <c r="BA190" s="43">
        <f>IF(BB190=0,0,
IF(D190=1,
(IF(AND(AH190&gt;'Данные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"ошибка_1"))))))),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"ошибка_2"))))))))</f>
        <v>0</v>
      </c>
      <c r="BB190" s="43">
        <f>IF(OR($AI$9=0,AND(D190&gt;1,F190&gt;10)),0,
IF(D190=1,
(IF(AND(AH190&gt;'Данные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"ошибка_1"))))))),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IF(AND(AH190&gt;'Данные ТНПА'!#REF!,AH190&lt;='Данные ТНПА'!#REF!),'Данные ТНПА'!#REF!,
"ошибка_2"))))))))</f>
        <v>0</v>
      </c>
      <c r="BC190" s="43">
        <f t="shared" si="368"/>
        <v>8.0730000000000004</v>
      </c>
      <c r="BD190" s="237">
        <f t="shared" si="422"/>
        <v>0</v>
      </c>
      <c r="BE190" s="43">
        <f t="shared" si="423"/>
        <v>0</v>
      </c>
      <c r="BF190" s="201">
        <f t="shared" si="424"/>
        <v>0</v>
      </c>
      <c r="BG190" s="201">
        <f t="shared" si="425"/>
        <v>0</v>
      </c>
      <c r="BH190" s="61">
        <f t="shared" si="403"/>
        <v>8.0730000000000004</v>
      </c>
      <c r="BI190" s="237">
        <f t="shared" si="426"/>
        <v>0</v>
      </c>
      <c r="BJ190" s="247">
        <f t="shared" si="427"/>
        <v>0</v>
      </c>
      <c r="BK190" s="431">
        <f t="shared" si="416"/>
        <v>0</v>
      </c>
      <c r="BL190" s="250">
        <f t="shared" si="421"/>
        <v>0</v>
      </c>
      <c r="BM190" s="237">
        <f t="shared" si="428"/>
        <v>0</v>
      </c>
      <c r="BN190" s="452">
        <f t="shared" si="406"/>
        <v>8.0730000000000004</v>
      </c>
      <c r="BO190" s="237">
        <f t="shared" si="429"/>
        <v>0</v>
      </c>
      <c r="BP190" s="432">
        <f t="shared" si="430"/>
        <v>0</v>
      </c>
      <c r="BQ190" s="22" t="str">
        <f t="shared" si="417"/>
        <v/>
      </c>
      <c r="BR190" s="250">
        <f t="shared" si="418"/>
        <v>0</v>
      </c>
      <c r="BS190" s="237">
        <f t="shared" si="431"/>
        <v>0</v>
      </c>
      <c r="BT190" s="452">
        <f t="shared" si="419"/>
        <v>8.0730000000000004</v>
      </c>
      <c r="BU190" s="492">
        <f t="shared" si="410"/>
        <v>1.1749999999999998</v>
      </c>
      <c r="BV190" s="493">
        <f>IF(BT190="","",
IF(AND(BT190&gt;'Данные ТНПА'!$K$8,BT190&lt;='Данные ТНПА'!$L$8),'Данные ТНПА'!$N$8,
IF(AND(BT190&gt;'Данные ТНПА'!$K$9,BT190&lt;='Данные ТНПА'!$L$9),'Данные ТНПА'!$N$9,
IF(AND(BT190&gt;'Данные ТНПА'!$K$10,BT190&lt;='Данные ТНПА'!$L$10),'Данные ТНПА'!$N$10,
IF(AND(BT190&gt;'Данные ТНПА'!$K$11,BT190&lt;='Данные ТНПА'!$L$11),'Данные ТНПА'!$N$11,
IF(AND(BT190&gt;'Данные ТНПА'!$K$12,BT190&lt;='Данные ТНПА'!$L$12),'Данные ТНПА'!$N$12,
IF(AND(BT190&gt;'Данные ТНПА'!$K$13,BT190&lt;='Данные ТНПА'!$L$13),'Данные ТНПА'!$N$13,
IF(AND(BT190&gt;'Данные ТНПА'!$K$14,BT190&lt;='Данные ТНПА'!$L$14),'Данные ТНПА'!$N$14))))))))</f>
        <v>1.5</v>
      </c>
      <c r="BW190" s="493">
        <f t="shared" si="387"/>
        <v>11.073</v>
      </c>
      <c r="BX190" s="457">
        <f t="shared" si="293"/>
        <v>0</v>
      </c>
      <c r="BY190" s="457">
        <f t="shared" si="294"/>
        <v>67.141725000000008</v>
      </c>
      <c r="BZ190" s="457">
        <f t="shared" si="295"/>
        <v>37.135412103332719</v>
      </c>
      <c r="CA190" s="457" t="e">
        <f t="shared" si="436"/>
        <v>#REF!</v>
      </c>
      <c r="CB190" s="458">
        <f t="shared" si="432"/>
        <v>0</v>
      </c>
      <c r="CC190" s="457">
        <f t="shared" si="390"/>
        <v>0</v>
      </c>
      <c r="CD190" s="457">
        <f t="shared" si="391"/>
        <v>0</v>
      </c>
      <c r="CE190" s="457">
        <f t="shared" si="392"/>
        <v>0</v>
      </c>
      <c r="CF190" s="457">
        <f t="shared" si="393"/>
        <v>0</v>
      </c>
      <c r="CG190" s="458">
        <f t="shared" si="296"/>
        <v>0</v>
      </c>
      <c r="CH190" s="457">
        <f t="shared" si="433"/>
        <v>0</v>
      </c>
      <c r="CI190" s="457">
        <f t="shared" si="434"/>
        <v>0</v>
      </c>
      <c r="CJ190" s="458">
        <f t="shared" si="435"/>
        <v>0</v>
      </c>
      <c r="CK190" s="458">
        <f t="shared" si="297"/>
        <v>65.682634776628149</v>
      </c>
      <c r="CL190" s="457">
        <f t="shared" si="298"/>
        <v>169.9597718799609</v>
      </c>
      <c r="CM190" s="504"/>
      <c r="CN190" s="504"/>
    </row>
    <row r="191" spans="1:92" ht="14.25" hidden="1" customHeight="1" x14ac:dyDescent="0.25">
      <c r="A191" s="389" t="str">
        <f>IF(D191="",CONCATENATE("Кабель ",IF(C191="а","А",""),$A$9),CONCATENATE("Кабель ",IF(C191="а","А",""),$A$9," ",D191,"*",F191,IF(G191="ок"," (ож)","")," - ",B191," ",IF(G191="мс"," фас. ",""),$A$2))</f>
        <v>Кабель ВВГ 5*2,5 (ож) - 1 ГОСТ 16442-80</v>
      </c>
      <c r="B191" s="450">
        <v>1</v>
      </c>
      <c r="C191" s="451" t="s">
        <v>163</v>
      </c>
      <c r="D191" s="412">
        <v>5</v>
      </c>
      <c r="E191" s="413" t="s">
        <v>40</v>
      </c>
      <c r="F191" s="423">
        <v>2.5</v>
      </c>
      <c r="G191" s="414" t="str">
        <f>IF(I191=1,"ок","мк")</f>
        <v>ок</v>
      </c>
      <c r="H191" s="461">
        <v>1.79</v>
      </c>
      <c r="I191" s="497">
        <v>1</v>
      </c>
      <c r="J191" s="498" t="s">
        <v>40</v>
      </c>
      <c r="K191" s="496">
        <f>ROUNDUP(SQRT(F191/PI()*4),2)</f>
        <v>1.79</v>
      </c>
      <c r="L191" s="501">
        <v>4.5199999999999996</v>
      </c>
      <c r="M191" s="475"/>
      <c r="N191" s="475"/>
      <c r="O191" s="475"/>
      <c r="P191" s="475"/>
      <c r="Q191" s="483">
        <f t="shared" si="437"/>
        <v>0.62000000000000011</v>
      </c>
      <c r="R191" s="484">
        <f>IF(B191=0.66,VLOOKUP(F191,'Данные ТНПА'!$B$8:$C$16,2,0),
IF(B191=1,VLOOKUP(F191,'Данные ТНПА'!$B$17:$C$37,2,0),"ошибка"))</f>
        <v>0.8</v>
      </c>
      <c r="S191" s="485">
        <f t="shared" si="283"/>
        <v>3.0300000000000002</v>
      </c>
      <c r="T191" s="486"/>
      <c r="U191" s="487"/>
      <c r="V191" s="485">
        <f t="shared" si="284"/>
        <v>3.39</v>
      </c>
      <c r="W191" s="486"/>
      <c r="X191" s="487"/>
      <c r="Y191" s="489">
        <f t="shared" si="285"/>
        <v>2.4</v>
      </c>
      <c r="Z191" s="491">
        <f t="shared" si="286"/>
        <v>9.1530000000000005</v>
      </c>
      <c r="AA191" s="237">
        <f t="shared" si="287"/>
        <v>0</v>
      </c>
      <c r="AB191" s="452">
        <f t="shared" si="412"/>
        <v>9.1530000000000005</v>
      </c>
      <c r="AC191" s="201">
        <f t="shared" si="288"/>
        <v>0</v>
      </c>
      <c r="AD191" s="203">
        <f t="shared" si="413"/>
        <v>0</v>
      </c>
      <c r="AE191" s="37" t="str">
        <f t="shared" si="289"/>
        <v/>
      </c>
      <c r="AF191" s="202">
        <f t="shared" si="414"/>
        <v>0</v>
      </c>
      <c r="AG191" s="201">
        <f t="shared" si="415"/>
        <v>0</v>
      </c>
      <c r="AH191" s="61">
        <f t="shared" si="290"/>
        <v>9.1530000000000005</v>
      </c>
      <c r="AI191" s="443">
        <f t="shared" si="397"/>
        <v>0</v>
      </c>
      <c r="AJ191" s="444">
        <f t="shared" si="353"/>
        <v>0</v>
      </c>
      <c r="AK191" s="445">
        <f t="shared" si="354"/>
        <v>0</v>
      </c>
      <c r="AL191" s="446">
        <f t="shared" si="355"/>
        <v>0</v>
      </c>
      <c r="AM191" s="447">
        <f t="shared" si="356"/>
        <v>0</v>
      </c>
      <c r="AN191" s="24">
        <f t="shared" si="357"/>
        <v>9.1530000000000005</v>
      </c>
      <c r="AO191" s="443">
        <f t="shared" si="291"/>
        <v>0</v>
      </c>
      <c r="AP191" s="444">
        <f t="shared" si="358"/>
        <v>0</v>
      </c>
      <c r="AQ191" s="445">
        <f t="shared" si="359"/>
        <v>0</v>
      </c>
      <c r="AR191" s="446">
        <f t="shared" si="360"/>
        <v>0</v>
      </c>
      <c r="AS191" s="447">
        <f t="shared" si="361"/>
        <v>0</v>
      </c>
      <c r="AT191" s="24">
        <f t="shared" si="362"/>
        <v>9.1530000000000005</v>
      </c>
      <c r="AU191" s="443">
        <f t="shared" si="292"/>
        <v>0</v>
      </c>
      <c r="AV191" s="444">
        <f t="shared" si="363"/>
        <v>0</v>
      </c>
      <c r="AW191" s="445">
        <f t="shared" si="364"/>
        <v>0</v>
      </c>
      <c r="AX191" s="446">
        <f t="shared" si="365"/>
        <v>0</v>
      </c>
      <c r="AY191" s="447">
        <f t="shared" si="366"/>
        <v>0</v>
      </c>
      <c r="AZ191" s="24">
        <f t="shared" si="367"/>
        <v>9.1530000000000005</v>
      </c>
      <c r="BA191" s="43">
        <f>IF(BB191=0,0,
IF(D191=1,
(IF(AND(AH191&gt;'Данные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"ошибка_1"))))))),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"ошибка_2"))))))))</f>
        <v>0</v>
      </c>
      <c r="BB191" s="43">
        <f>IF(OR($AI$9=0,AND(D191&gt;1,F191&gt;10)),0,
IF(D191=1,
(IF(AND(AH191&gt;'Данные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"ошибка_1"))))))),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IF(AND(AH191&gt;'Данные ТНПА'!#REF!,AH191&lt;='Данные ТНПА'!#REF!),'Данные ТНПА'!#REF!,
"ошибка_2"))))))))</f>
        <v>0</v>
      </c>
      <c r="BC191" s="43">
        <f t="shared" si="368"/>
        <v>9.1530000000000005</v>
      </c>
      <c r="BD191" s="237">
        <f t="shared" si="422"/>
        <v>0</v>
      </c>
      <c r="BE191" s="43">
        <f t="shared" si="423"/>
        <v>0</v>
      </c>
      <c r="BF191" s="201">
        <f t="shared" si="424"/>
        <v>0</v>
      </c>
      <c r="BG191" s="201">
        <f t="shared" si="425"/>
        <v>0</v>
      </c>
      <c r="BH191" s="61">
        <f t="shared" si="403"/>
        <v>9.1530000000000005</v>
      </c>
      <c r="BI191" s="237">
        <f t="shared" si="426"/>
        <v>0</v>
      </c>
      <c r="BJ191" s="247">
        <f t="shared" si="427"/>
        <v>0</v>
      </c>
      <c r="BK191" s="431">
        <f t="shared" si="416"/>
        <v>0</v>
      </c>
      <c r="BL191" s="250">
        <f t="shared" si="421"/>
        <v>0</v>
      </c>
      <c r="BM191" s="237">
        <f t="shared" si="428"/>
        <v>0</v>
      </c>
      <c r="BN191" s="452">
        <f t="shared" si="406"/>
        <v>9.1530000000000005</v>
      </c>
      <c r="BO191" s="237">
        <f t="shared" si="429"/>
        <v>0</v>
      </c>
      <c r="BP191" s="432">
        <f t="shared" si="430"/>
        <v>0</v>
      </c>
      <c r="BQ191" s="22" t="str">
        <f t="shared" si="417"/>
        <v/>
      </c>
      <c r="BR191" s="250">
        <f t="shared" si="418"/>
        <v>0</v>
      </c>
      <c r="BS191" s="237">
        <f t="shared" si="431"/>
        <v>0</v>
      </c>
      <c r="BT191" s="452">
        <f t="shared" si="419"/>
        <v>9.1530000000000005</v>
      </c>
      <c r="BU191" s="492">
        <f t="shared" si="410"/>
        <v>1.1749999999999998</v>
      </c>
      <c r="BV191" s="493">
        <f>IF(BT191="","",
IF(AND(BT191&gt;'Данные ТНПА'!$K$8,BT191&lt;='Данные ТНПА'!$L$8),'Данные ТНПА'!$N$8,
IF(AND(BT191&gt;'Данные ТНПА'!$K$9,BT191&lt;='Данные ТНПА'!$L$9),'Данные ТНПА'!$N$9,
IF(AND(BT191&gt;'Данные ТНПА'!$K$10,BT191&lt;='Данные ТНПА'!$L$10),'Данные ТНПА'!$N$10,
IF(AND(BT191&gt;'Данные ТНПА'!$K$11,BT191&lt;='Данные ТНПА'!$L$11),'Данные ТНПА'!$N$11,
IF(AND(BT191&gt;'Данные ТНПА'!$K$12,BT191&lt;='Данные ТНПА'!$L$12),'Данные ТНПА'!$N$12,
IF(AND(BT191&gt;'Данные ТНПА'!$K$13,BT191&lt;='Данные ТНПА'!$L$13),'Данные ТНПА'!$N$13,
IF(AND(BT191&gt;'Данные ТНПА'!$K$14,BT191&lt;='Данные ТНПА'!$L$14),'Данные ТНПА'!$N$14))))))))</f>
        <v>1.5</v>
      </c>
      <c r="BW191" s="493">
        <f t="shared" si="387"/>
        <v>12.153</v>
      </c>
      <c r="BX191" s="457">
        <f t="shared" si="293"/>
        <v>0</v>
      </c>
      <c r="BY191" s="457">
        <f t="shared" si="294"/>
        <v>111.90287499999999</v>
      </c>
      <c r="BZ191" s="457">
        <f t="shared" si="295"/>
        <v>43.918135775174306</v>
      </c>
      <c r="CA191" s="457" t="e">
        <f t="shared" si="436"/>
        <v>#REF!</v>
      </c>
      <c r="CB191" s="458">
        <f t="shared" si="432"/>
        <v>0</v>
      </c>
      <c r="CC191" s="457">
        <f t="shared" si="390"/>
        <v>0</v>
      </c>
      <c r="CD191" s="457">
        <f t="shared" si="391"/>
        <v>0</v>
      </c>
      <c r="CE191" s="457">
        <f t="shared" si="392"/>
        <v>0</v>
      </c>
      <c r="CF191" s="457">
        <f t="shared" si="393"/>
        <v>0</v>
      </c>
      <c r="CG191" s="458">
        <f t="shared" si="296"/>
        <v>0</v>
      </c>
      <c r="CH191" s="457">
        <f t="shared" si="433"/>
        <v>0</v>
      </c>
      <c r="CI191" s="457">
        <f t="shared" si="434"/>
        <v>0</v>
      </c>
      <c r="CJ191" s="458">
        <f t="shared" si="435"/>
        <v>0</v>
      </c>
      <c r="CK191" s="458">
        <f t="shared" si="297"/>
        <v>73.092772200503475</v>
      </c>
      <c r="CL191" s="457">
        <f t="shared" si="298"/>
        <v>228.91378297567778</v>
      </c>
      <c r="CM191" s="504"/>
      <c r="CN191" s="504"/>
    </row>
    <row r="192" spans="1:92" ht="14.25" hidden="1" customHeight="1" x14ac:dyDescent="0.25">
      <c r="A192" s="389" t="str">
        <f>IF(D192="",CONCATENATE("Кабель ",IF(C192="а","А",""),$A$9),CONCATENATE("Кабель ",IF(C192="а","А",""),$A$9," ",D192,"*",F192,IF(G192="ок"," (ож)","")," - ",B192," ",IF(G192="мс"," фас. ",""),$A$2))</f>
        <v>Кабель ВВГ 5*4 (ож) - 1 ГОСТ 16442-80</v>
      </c>
      <c r="B192" s="450">
        <v>1</v>
      </c>
      <c r="C192" s="451" t="s">
        <v>163</v>
      </c>
      <c r="D192" s="412">
        <v>5</v>
      </c>
      <c r="E192" s="413" t="s">
        <v>40</v>
      </c>
      <c r="F192" s="423">
        <v>4</v>
      </c>
      <c r="G192" s="414" t="str">
        <f>IF(I192=1,"ок","мк")</f>
        <v>ок</v>
      </c>
      <c r="H192" s="461">
        <v>2.2599999999999998</v>
      </c>
      <c r="I192" s="497">
        <v>1</v>
      </c>
      <c r="J192" s="498" t="s">
        <v>40</v>
      </c>
      <c r="K192" s="496">
        <f>ROUNDUP(SQRT(F192/PI()*4),2)</f>
        <v>2.2599999999999998</v>
      </c>
      <c r="L192" s="501">
        <v>4.79</v>
      </c>
      <c r="M192" s="475"/>
      <c r="N192" s="475"/>
      <c r="O192" s="475"/>
      <c r="P192" s="475"/>
      <c r="Q192" s="483">
        <f t="shared" si="437"/>
        <v>0.8</v>
      </c>
      <c r="R192" s="484">
        <f>IF(B192=0.66,VLOOKUP(F192,'Данные ТНПА'!$B$8:$C$16,2,0),
IF(B192=1,VLOOKUP(F192,'Данные ТНПА'!$B$17:$C$37,2,0),"ошибка"))</f>
        <v>1</v>
      </c>
      <c r="S192" s="485">
        <f t="shared" si="283"/>
        <v>3.86</v>
      </c>
      <c r="T192" s="486"/>
      <c r="U192" s="487"/>
      <c r="V192" s="485">
        <f t="shared" si="284"/>
        <v>4.26</v>
      </c>
      <c r="W192" s="486"/>
      <c r="X192" s="487"/>
      <c r="Y192" s="489">
        <f t="shared" si="285"/>
        <v>3</v>
      </c>
      <c r="Z192" s="491">
        <f t="shared" si="286"/>
        <v>11.502000000000001</v>
      </c>
      <c r="AA192" s="237">
        <f t="shared" si="287"/>
        <v>0</v>
      </c>
      <c r="AB192" s="452">
        <f t="shared" si="412"/>
        <v>11.502000000000001</v>
      </c>
      <c r="AC192" s="201">
        <f t="shared" si="288"/>
        <v>0</v>
      </c>
      <c r="AD192" s="203">
        <f t="shared" si="413"/>
        <v>0</v>
      </c>
      <c r="AE192" s="37" t="str">
        <f t="shared" si="289"/>
        <v/>
      </c>
      <c r="AF192" s="202">
        <f t="shared" si="414"/>
        <v>0</v>
      </c>
      <c r="AG192" s="201">
        <f t="shared" si="415"/>
        <v>0</v>
      </c>
      <c r="AH192" s="61">
        <f t="shared" si="290"/>
        <v>11.502000000000001</v>
      </c>
      <c r="AI192" s="443">
        <f t="shared" si="397"/>
        <v>0</v>
      </c>
      <c r="AJ192" s="444">
        <f t="shared" si="353"/>
        <v>0</v>
      </c>
      <c r="AK192" s="445">
        <f t="shared" si="354"/>
        <v>0</v>
      </c>
      <c r="AL192" s="446">
        <f t="shared" si="355"/>
        <v>0</v>
      </c>
      <c r="AM192" s="447">
        <f t="shared" si="356"/>
        <v>0</v>
      </c>
      <c r="AN192" s="24">
        <f t="shared" si="357"/>
        <v>11.502000000000001</v>
      </c>
      <c r="AO192" s="443">
        <f t="shared" si="291"/>
        <v>0</v>
      </c>
      <c r="AP192" s="444">
        <f t="shared" si="358"/>
        <v>0</v>
      </c>
      <c r="AQ192" s="445">
        <f t="shared" si="359"/>
        <v>0</v>
      </c>
      <c r="AR192" s="446">
        <f t="shared" si="360"/>
        <v>0</v>
      </c>
      <c r="AS192" s="447">
        <f t="shared" si="361"/>
        <v>0</v>
      </c>
      <c r="AT192" s="24">
        <f t="shared" si="362"/>
        <v>11.502000000000001</v>
      </c>
      <c r="AU192" s="443">
        <f t="shared" si="292"/>
        <v>0</v>
      </c>
      <c r="AV192" s="444">
        <f t="shared" si="363"/>
        <v>0</v>
      </c>
      <c r="AW192" s="445">
        <f t="shared" si="364"/>
        <v>0</v>
      </c>
      <c r="AX192" s="446">
        <f t="shared" si="365"/>
        <v>0</v>
      </c>
      <c r="AY192" s="447">
        <f t="shared" si="366"/>
        <v>0</v>
      </c>
      <c r="AZ192" s="24">
        <f t="shared" si="367"/>
        <v>11.502000000000001</v>
      </c>
      <c r="BA192" s="43">
        <f>IF(BB192=0,0,
IF(D192=1,
(IF(AND(AH192&gt;'Данные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"ошибка_1"))))))),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"ошибка_2"))))))))</f>
        <v>0</v>
      </c>
      <c r="BB192" s="43">
        <f>IF(OR($AI$9=0,AND(D192&gt;1,F192&gt;10)),0,
IF(D192=1,
(IF(AND(AH192&gt;'Данные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"ошибка_1"))))))),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IF(AND(AH192&gt;'Данные ТНПА'!#REF!,AH192&lt;='Данные ТНПА'!#REF!),'Данные ТНПА'!#REF!,
"ошибка_2"))))))))</f>
        <v>0</v>
      </c>
      <c r="BC192" s="43">
        <f t="shared" si="368"/>
        <v>11.502000000000001</v>
      </c>
      <c r="BD192" s="237">
        <f t="shared" si="422"/>
        <v>0</v>
      </c>
      <c r="BE192" s="43">
        <f t="shared" si="423"/>
        <v>0</v>
      </c>
      <c r="BF192" s="201">
        <f t="shared" si="424"/>
        <v>0</v>
      </c>
      <c r="BG192" s="201">
        <f t="shared" si="425"/>
        <v>0</v>
      </c>
      <c r="BH192" s="61">
        <f t="shared" si="403"/>
        <v>11.502000000000001</v>
      </c>
      <c r="BI192" s="237">
        <f t="shared" si="426"/>
        <v>0</v>
      </c>
      <c r="BJ192" s="247">
        <f t="shared" si="427"/>
        <v>0</v>
      </c>
      <c r="BK192" s="431">
        <f t="shared" si="416"/>
        <v>0</v>
      </c>
      <c r="BL192" s="250">
        <f t="shared" si="421"/>
        <v>0</v>
      </c>
      <c r="BM192" s="237">
        <f t="shared" si="428"/>
        <v>0</v>
      </c>
      <c r="BN192" s="452">
        <f t="shared" si="406"/>
        <v>11.502000000000001</v>
      </c>
      <c r="BO192" s="237">
        <f t="shared" si="429"/>
        <v>0</v>
      </c>
      <c r="BP192" s="432">
        <f t="shared" si="430"/>
        <v>0</v>
      </c>
      <c r="BQ192" s="22" t="str">
        <f t="shared" si="417"/>
        <v/>
      </c>
      <c r="BR192" s="250">
        <f t="shared" si="418"/>
        <v>0</v>
      </c>
      <c r="BS192" s="237">
        <f t="shared" si="431"/>
        <v>0</v>
      </c>
      <c r="BT192" s="452">
        <f t="shared" si="419"/>
        <v>11.502000000000001</v>
      </c>
      <c r="BU192" s="492">
        <f t="shared" ref="BU192:BU197" si="438">0.85*BV192-0.1</f>
        <v>1.1749999999999998</v>
      </c>
      <c r="BV192" s="493">
        <f>IF(BT192="","",
IF(AND(BT192&gt;'Данные ТНПА'!$K$8,BT192&lt;='Данные ТНПА'!$L$8),'Данные ТНПА'!$N$8,
IF(AND(BT192&gt;'Данные ТНПА'!$K$9,BT192&lt;='Данные ТНПА'!$L$9),'Данные ТНПА'!$N$9,
IF(AND(BT192&gt;'Данные ТНПА'!$K$10,BT192&lt;='Данные ТНПА'!$L$10),'Данные ТНПА'!$N$10,
IF(AND(BT192&gt;'Данные ТНПА'!$K$11,BT192&lt;='Данные ТНПА'!$L$11),'Данные ТНПА'!$N$11,
IF(AND(BT192&gt;'Данные ТНПА'!$K$12,BT192&lt;='Данные ТНПА'!$L$12),'Данные ТНПА'!$N$12,
IF(AND(BT192&gt;'Данные ТНПА'!$K$13,BT192&lt;='Данные ТНПА'!$L$13),'Данные ТНПА'!$N$13,
IF(AND(BT192&gt;'Данные ТНПА'!$K$14,BT192&lt;='Данные ТНПА'!$L$14),'Данные ТНПА'!$N$14))))))))</f>
        <v>1.5</v>
      </c>
      <c r="BW192" s="493">
        <f t="shared" si="387"/>
        <v>14.502000000000001</v>
      </c>
      <c r="BX192" s="457">
        <f t="shared" si="293"/>
        <v>0</v>
      </c>
      <c r="BY192" s="457">
        <f t="shared" si="294"/>
        <v>179.0446</v>
      </c>
      <c r="BZ192" s="457">
        <f t="shared" si="295"/>
        <v>69.098997406886213</v>
      </c>
      <c r="CA192" s="457" t="e">
        <f t="shared" si="436"/>
        <v>#REF!</v>
      </c>
      <c r="CB192" s="458">
        <f t="shared" si="432"/>
        <v>0</v>
      </c>
      <c r="CC192" s="457">
        <f t="shared" si="390"/>
        <v>0</v>
      </c>
      <c r="CD192" s="457">
        <f t="shared" si="391"/>
        <v>0</v>
      </c>
      <c r="CE192" s="457">
        <f t="shared" si="392"/>
        <v>0</v>
      </c>
      <c r="CF192" s="457">
        <f t="shared" si="393"/>
        <v>0</v>
      </c>
      <c r="CG192" s="458">
        <f t="shared" si="296"/>
        <v>0</v>
      </c>
      <c r="CH192" s="457">
        <f t="shared" si="433"/>
        <v>0</v>
      </c>
      <c r="CI192" s="457">
        <f t="shared" si="434"/>
        <v>0</v>
      </c>
      <c r="CJ192" s="458">
        <f t="shared" si="435"/>
        <v>0</v>
      </c>
      <c r="CK192" s="458">
        <f t="shared" si="297"/>
        <v>89.209821097432282</v>
      </c>
      <c r="CL192" s="457">
        <f t="shared" si="298"/>
        <v>337.35341850431848</v>
      </c>
      <c r="CM192" s="504"/>
      <c r="CN192" s="504"/>
    </row>
    <row r="193" spans="1:92" ht="14.25" hidden="1" customHeight="1" x14ac:dyDescent="0.25">
      <c r="A193" s="389" t="str">
        <f>IF(D193="",CONCATENATE("Кабель ",IF(C193="а","А",""),$A$9),CONCATENATE("Кабель ",IF(C193="а","А",""),$A$9," ",D193,"*",F193,IF(G193="ок"," (ож)","")," - ",B193," ",IF(G193="мс"," фас. ",""),$A$2))</f>
        <v>Кабель ВВГ 5*6 (ож) - 1 ГОСТ 16442-80</v>
      </c>
      <c r="B193" s="450">
        <v>1</v>
      </c>
      <c r="C193" s="451" t="s">
        <v>163</v>
      </c>
      <c r="D193" s="412">
        <v>5</v>
      </c>
      <c r="E193" s="413" t="s">
        <v>40</v>
      </c>
      <c r="F193" s="423">
        <v>6</v>
      </c>
      <c r="G193" s="414" t="str">
        <f>IF(I193=1,"ок","мк")</f>
        <v>ок</v>
      </c>
      <c r="H193" s="461">
        <v>2.7699999999999996</v>
      </c>
      <c r="I193" s="497">
        <v>1</v>
      </c>
      <c r="J193" s="498" t="s">
        <v>40</v>
      </c>
      <c r="K193" s="496">
        <f>ROUNDUP(SQRT(F193/PI()*4),2)</f>
        <v>2.7699999999999996</v>
      </c>
      <c r="L193" s="501">
        <v>5.6499999999999995</v>
      </c>
      <c r="M193" s="475"/>
      <c r="N193" s="475"/>
      <c r="O193" s="475"/>
      <c r="P193" s="475"/>
      <c r="Q193" s="483">
        <f t="shared" si="437"/>
        <v>0.8</v>
      </c>
      <c r="R193" s="484">
        <f>IF(B193=0.66,VLOOKUP(F193,'Данные ТНПА'!$B$8:$C$16,2,0),
IF(B193=1,VLOOKUP(F193,'Данные ТНПА'!$B$17:$C$37,2,0),"ошибка"))</f>
        <v>1</v>
      </c>
      <c r="S193" s="485">
        <f t="shared" si="283"/>
        <v>4.3699999999999992</v>
      </c>
      <c r="T193" s="486"/>
      <c r="U193" s="487"/>
      <c r="V193" s="485">
        <f t="shared" si="284"/>
        <v>4.7699999999999996</v>
      </c>
      <c r="W193" s="486"/>
      <c r="X193" s="487"/>
      <c r="Y193" s="489">
        <f t="shared" si="285"/>
        <v>3.3</v>
      </c>
      <c r="Z193" s="491">
        <f t="shared" si="286"/>
        <v>12.879</v>
      </c>
      <c r="AA193" s="237">
        <f t="shared" si="287"/>
        <v>0</v>
      </c>
      <c r="AB193" s="452">
        <f t="shared" si="412"/>
        <v>12.879</v>
      </c>
      <c r="AC193" s="201">
        <f t="shared" si="288"/>
        <v>0</v>
      </c>
      <c r="AD193" s="203">
        <f t="shared" si="413"/>
        <v>0</v>
      </c>
      <c r="AE193" s="37" t="str">
        <f t="shared" si="289"/>
        <v/>
      </c>
      <c r="AF193" s="202">
        <f t="shared" si="414"/>
        <v>0</v>
      </c>
      <c r="AG193" s="201">
        <f t="shared" si="415"/>
        <v>0</v>
      </c>
      <c r="AH193" s="61">
        <f t="shared" si="290"/>
        <v>12.879</v>
      </c>
      <c r="AI193" s="443">
        <f t="shared" si="397"/>
        <v>0</v>
      </c>
      <c r="AJ193" s="444">
        <f t="shared" si="353"/>
        <v>0</v>
      </c>
      <c r="AK193" s="445">
        <f t="shared" si="354"/>
        <v>0</v>
      </c>
      <c r="AL193" s="446">
        <f t="shared" si="355"/>
        <v>0</v>
      </c>
      <c r="AM193" s="447">
        <f t="shared" si="356"/>
        <v>0</v>
      </c>
      <c r="AN193" s="24">
        <f t="shared" si="357"/>
        <v>12.879</v>
      </c>
      <c r="AO193" s="443">
        <f t="shared" si="291"/>
        <v>0</v>
      </c>
      <c r="AP193" s="444">
        <f t="shared" si="358"/>
        <v>0</v>
      </c>
      <c r="AQ193" s="445">
        <f t="shared" si="359"/>
        <v>0</v>
      </c>
      <c r="AR193" s="446">
        <f t="shared" si="360"/>
        <v>0</v>
      </c>
      <c r="AS193" s="447">
        <f t="shared" si="361"/>
        <v>0</v>
      </c>
      <c r="AT193" s="24">
        <f t="shared" si="362"/>
        <v>12.879</v>
      </c>
      <c r="AU193" s="443">
        <f t="shared" si="292"/>
        <v>0</v>
      </c>
      <c r="AV193" s="444">
        <f t="shared" si="363"/>
        <v>0</v>
      </c>
      <c r="AW193" s="445">
        <f t="shared" si="364"/>
        <v>0</v>
      </c>
      <c r="AX193" s="446">
        <f t="shared" si="365"/>
        <v>0</v>
      </c>
      <c r="AY193" s="447">
        <f t="shared" si="366"/>
        <v>0</v>
      </c>
      <c r="AZ193" s="24">
        <f t="shared" si="367"/>
        <v>12.879</v>
      </c>
      <c r="BA193" s="43">
        <f>IF(BB193=0,0,
IF(D193=1,
(IF(AND(AH193&gt;'Данные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"ошибка_1"))))))),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"ошибка_2"))))))))</f>
        <v>0</v>
      </c>
      <c r="BB193" s="43">
        <f>IF(OR($AI$9=0,AND(D193&gt;1,F193&gt;10)),0,
IF(D193=1,
(IF(AND(AH193&gt;'Данные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"ошибка_1"))))))),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IF(AND(AH193&gt;'Данные ТНПА'!#REF!,AH193&lt;='Данные ТНПА'!#REF!),'Данные ТНПА'!#REF!,
"ошибка_2"))))))))</f>
        <v>0</v>
      </c>
      <c r="BC193" s="43">
        <f t="shared" si="368"/>
        <v>12.879</v>
      </c>
      <c r="BD193" s="237">
        <f t="shared" si="422"/>
        <v>0</v>
      </c>
      <c r="BE193" s="43">
        <f t="shared" si="423"/>
        <v>0</v>
      </c>
      <c r="BF193" s="201">
        <f t="shared" si="424"/>
        <v>0</v>
      </c>
      <c r="BG193" s="201">
        <f t="shared" si="425"/>
        <v>0</v>
      </c>
      <c r="BH193" s="61">
        <f t="shared" si="403"/>
        <v>12.879</v>
      </c>
      <c r="BI193" s="237">
        <f t="shared" si="426"/>
        <v>0</v>
      </c>
      <c r="BJ193" s="247">
        <f t="shared" si="427"/>
        <v>0</v>
      </c>
      <c r="BK193" s="431">
        <f t="shared" si="416"/>
        <v>0</v>
      </c>
      <c r="BL193" s="250">
        <f t="shared" si="421"/>
        <v>0</v>
      </c>
      <c r="BM193" s="237">
        <f t="shared" si="428"/>
        <v>0</v>
      </c>
      <c r="BN193" s="452">
        <f t="shared" si="406"/>
        <v>12.879</v>
      </c>
      <c r="BO193" s="237">
        <f t="shared" si="429"/>
        <v>0</v>
      </c>
      <c r="BP193" s="432">
        <f t="shared" si="430"/>
        <v>0</v>
      </c>
      <c r="BQ193" s="22" t="str">
        <f t="shared" si="417"/>
        <v/>
      </c>
      <c r="BR193" s="250">
        <f t="shared" si="418"/>
        <v>0</v>
      </c>
      <c r="BS193" s="237">
        <f t="shared" si="431"/>
        <v>0</v>
      </c>
      <c r="BT193" s="452">
        <f t="shared" si="419"/>
        <v>12.879</v>
      </c>
      <c r="BU193" s="492">
        <f t="shared" si="438"/>
        <v>1.1749999999999998</v>
      </c>
      <c r="BV193" s="493">
        <f>IF(BT193="","",
IF(AND(BT193&gt;'Данные ТНПА'!$K$8,BT193&lt;='Данные ТНПА'!$L$8),'Данные ТНПА'!$N$8,
IF(AND(BT193&gt;'Данные ТНПА'!$K$9,BT193&lt;='Данные ТНПА'!$L$9),'Данные ТНПА'!$N$9,
IF(AND(BT193&gt;'Данные ТНПА'!$K$10,BT193&lt;='Данные ТНПА'!$L$10),'Данные ТНПА'!$N$10,
IF(AND(BT193&gt;'Данные ТНПА'!$K$11,BT193&lt;='Данные ТНПА'!$L$11),'Данные ТНПА'!$N$11,
IF(AND(BT193&gt;'Данные ТНПА'!$K$12,BT193&lt;='Данные ТНПА'!$L$12),'Данные ТНПА'!$N$12,
IF(AND(BT193&gt;'Данные ТНПА'!$K$13,BT193&lt;='Данные ТНПА'!$L$13),'Данные ТНПА'!$N$13,
IF(AND(BT193&gt;'Данные ТНПА'!$K$14,BT193&lt;='Данные ТНПА'!$L$14),'Данные ТНПА'!$N$14))))))))</f>
        <v>1.5</v>
      </c>
      <c r="BW193" s="493">
        <f t="shared" si="387"/>
        <v>15.879</v>
      </c>
      <c r="BX193" s="457">
        <f t="shared" si="293"/>
        <v>0</v>
      </c>
      <c r="BY193" s="457">
        <f t="shared" si="294"/>
        <v>268.56690000000003</v>
      </c>
      <c r="BZ193" s="457">
        <f t="shared" si="295"/>
        <v>79.908963258883745</v>
      </c>
      <c r="CA193" s="457" t="e">
        <f t="shared" si="436"/>
        <v>#REF!</v>
      </c>
      <c r="CB193" s="458">
        <f t="shared" si="432"/>
        <v>0</v>
      </c>
      <c r="CC193" s="457">
        <f t="shared" si="390"/>
        <v>0</v>
      </c>
      <c r="CD193" s="457">
        <f t="shared" si="391"/>
        <v>0</v>
      </c>
      <c r="CE193" s="457">
        <f t="shared" si="392"/>
        <v>0</v>
      </c>
      <c r="CF193" s="457">
        <f t="shared" si="393"/>
        <v>0</v>
      </c>
      <c r="CG193" s="458">
        <f t="shared" si="296"/>
        <v>0</v>
      </c>
      <c r="CH193" s="457">
        <f t="shared" si="433"/>
        <v>0</v>
      </c>
      <c r="CI193" s="457">
        <f t="shared" si="434"/>
        <v>0</v>
      </c>
      <c r="CJ193" s="458">
        <f t="shared" si="435"/>
        <v>0</v>
      </c>
      <c r="CK193" s="458">
        <f t="shared" si="297"/>
        <v>98.657746312873314</v>
      </c>
      <c r="CL193" s="457">
        <f t="shared" si="298"/>
        <v>447.13360957175712</v>
      </c>
      <c r="CM193" s="504"/>
      <c r="CN193" s="504"/>
    </row>
    <row r="194" spans="1:92" ht="14.25" hidden="1" customHeight="1" x14ac:dyDescent="0.25">
      <c r="A194" s="389" t="str">
        <f>IF(D194="",CONCATENATE("Кабель ",IF(C194="а","А",""),$A$9),CONCATENATE("Кабель ",IF(C194="а","А",""),$A$9," ",D194,"*",F194,IF(G194="ок"," (ож)","")," - ",B194," ",IF(G194="мс"," фас. ",""),$A$2))</f>
        <v>Кабель ВВГ 5*10 (ож) - 1 ГОСТ 16442-80</v>
      </c>
      <c r="B194" s="450">
        <v>1</v>
      </c>
      <c r="C194" s="451" t="s">
        <v>163</v>
      </c>
      <c r="D194" s="412">
        <v>5</v>
      </c>
      <c r="E194" s="413" t="s">
        <v>40</v>
      </c>
      <c r="F194" s="423">
        <v>10</v>
      </c>
      <c r="G194" s="414" t="str">
        <f>IF(I194=1,"ок","мк")</f>
        <v>ок</v>
      </c>
      <c r="H194" s="461">
        <v>3.57</v>
      </c>
      <c r="I194" s="497">
        <v>1</v>
      </c>
      <c r="J194" s="498" t="s">
        <v>40</v>
      </c>
      <c r="K194" s="496">
        <f>ROUNDUP(SQRT(F194/PI()*4),2)</f>
        <v>3.57</v>
      </c>
      <c r="L194" s="501">
        <v>5.99</v>
      </c>
      <c r="M194" s="475"/>
      <c r="N194" s="475"/>
      <c r="O194" s="475"/>
      <c r="P194" s="475"/>
      <c r="Q194" s="483">
        <f t="shared" si="437"/>
        <v>0.8</v>
      </c>
      <c r="R194" s="484">
        <f>IF(B194=0.66,VLOOKUP(F194,'Данные ТНПА'!$B$8:$C$16,2,0),
IF(B194=1,VLOOKUP(F194,'Данные ТНПА'!$B$17:$C$37,2,0),"ошибка"))</f>
        <v>1</v>
      </c>
      <c r="S194" s="485">
        <f t="shared" si="283"/>
        <v>5.17</v>
      </c>
      <c r="T194" s="486"/>
      <c r="U194" s="487"/>
      <c r="V194" s="485">
        <f t="shared" si="284"/>
        <v>5.57</v>
      </c>
      <c r="W194" s="486"/>
      <c r="X194" s="487"/>
      <c r="Y194" s="489">
        <f t="shared" si="285"/>
        <v>3.9</v>
      </c>
      <c r="Z194" s="491">
        <f t="shared" si="286"/>
        <v>15.039000000000001</v>
      </c>
      <c r="AA194" s="237">
        <f t="shared" si="287"/>
        <v>0</v>
      </c>
      <c r="AB194" s="452">
        <f t="shared" si="412"/>
        <v>15.039000000000001</v>
      </c>
      <c r="AC194" s="201">
        <f t="shared" si="288"/>
        <v>0</v>
      </c>
      <c r="AD194" s="203">
        <f t="shared" si="413"/>
        <v>0</v>
      </c>
      <c r="AE194" s="37" t="str">
        <f t="shared" si="289"/>
        <v/>
      </c>
      <c r="AF194" s="202">
        <f t="shared" si="414"/>
        <v>0</v>
      </c>
      <c r="AG194" s="201">
        <f t="shared" si="415"/>
        <v>0</v>
      </c>
      <c r="AH194" s="61">
        <f t="shared" si="290"/>
        <v>15.039000000000001</v>
      </c>
      <c r="AI194" s="443">
        <f t="shared" si="397"/>
        <v>0</v>
      </c>
      <c r="AJ194" s="444">
        <f t="shared" si="353"/>
        <v>0</v>
      </c>
      <c r="AK194" s="445">
        <f t="shared" si="354"/>
        <v>0</v>
      </c>
      <c r="AL194" s="446">
        <f t="shared" si="355"/>
        <v>0</v>
      </c>
      <c r="AM194" s="447">
        <f t="shared" si="356"/>
        <v>0</v>
      </c>
      <c r="AN194" s="24">
        <f t="shared" si="357"/>
        <v>15.039000000000001</v>
      </c>
      <c r="AO194" s="443">
        <f t="shared" si="291"/>
        <v>0</v>
      </c>
      <c r="AP194" s="444">
        <f t="shared" si="358"/>
        <v>0</v>
      </c>
      <c r="AQ194" s="445">
        <f t="shared" si="359"/>
        <v>0</v>
      </c>
      <c r="AR194" s="446">
        <f t="shared" si="360"/>
        <v>0</v>
      </c>
      <c r="AS194" s="447">
        <f t="shared" si="361"/>
        <v>0</v>
      </c>
      <c r="AT194" s="24">
        <f t="shared" si="362"/>
        <v>15.039000000000001</v>
      </c>
      <c r="AU194" s="443">
        <f t="shared" si="292"/>
        <v>0</v>
      </c>
      <c r="AV194" s="444">
        <f t="shared" si="363"/>
        <v>0</v>
      </c>
      <c r="AW194" s="445">
        <f t="shared" si="364"/>
        <v>0</v>
      </c>
      <c r="AX194" s="446">
        <f t="shared" si="365"/>
        <v>0</v>
      </c>
      <c r="AY194" s="447">
        <f t="shared" si="366"/>
        <v>0</v>
      </c>
      <c r="AZ194" s="24">
        <f t="shared" si="367"/>
        <v>15.039000000000001</v>
      </c>
      <c r="BA194" s="43">
        <f>IF(BB194=0,0,
IF(D194=1,
(IF(AND(AH194&gt;'Данные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"ошибка_1"))))))),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"ошибка_2"))))))))</f>
        <v>0</v>
      </c>
      <c r="BB194" s="43">
        <f>IF(OR($AI$9=0,AND(D194&gt;1,F194&gt;10)),0,
IF(D194=1,
(IF(AND(AH194&gt;'Данные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"ошибка_1"))))))),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IF(AND(AH194&gt;'Данные ТНПА'!#REF!,AH194&lt;='Данные ТНПА'!#REF!),'Данные ТНПА'!#REF!,
"ошибка_2"))))))))</f>
        <v>0</v>
      </c>
      <c r="BC194" s="43">
        <f t="shared" si="368"/>
        <v>15.039000000000001</v>
      </c>
      <c r="BD194" s="237">
        <f t="shared" si="422"/>
        <v>0</v>
      </c>
      <c r="BE194" s="43">
        <f t="shared" si="423"/>
        <v>0</v>
      </c>
      <c r="BF194" s="201">
        <f t="shared" si="424"/>
        <v>0</v>
      </c>
      <c r="BG194" s="201">
        <f t="shared" si="425"/>
        <v>0</v>
      </c>
      <c r="BH194" s="61">
        <f t="shared" si="403"/>
        <v>15.039000000000001</v>
      </c>
      <c r="BI194" s="237">
        <f t="shared" si="426"/>
        <v>0</v>
      </c>
      <c r="BJ194" s="247">
        <f t="shared" si="427"/>
        <v>0</v>
      </c>
      <c r="BK194" s="431">
        <f t="shared" si="416"/>
        <v>0</v>
      </c>
      <c r="BL194" s="250">
        <f t="shared" si="421"/>
        <v>0</v>
      </c>
      <c r="BM194" s="237">
        <f t="shared" si="428"/>
        <v>0</v>
      </c>
      <c r="BN194" s="452">
        <f t="shared" si="406"/>
        <v>15.039000000000001</v>
      </c>
      <c r="BO194" s="237">
        <f t="shared" si="429"/>
        <v>0</v>
      </c>
      <c r="BP194" s="432">
        <f t="shared" si="430"/>
        <v>0</v>
      </c>
      <c r="BQ194" s="22" t="str">
        <f t="shared" si="417"/>
        <v/>
      </c>
      <c r="BR194" s="250">
        <f t="shared" si="418"/>
        <v>0</v>
      </c>
      <c r="BS194" s="237">
        <f t="shared" si="431"/>
        <v>0</v>
      </c>
      <c r="BT194" s="452">
        <f t="shared" si="419"/>
        <v>15.039000000000001</v>
      </c>
      <c r="BU194" s="492">
        <f t="shared" si="438"/>
        <v>1.3449999999999998</v>
      </c>
      <c r="BV194" s="493">
        <f>IF(BT194="","",
IF(AND(BT194&gt;'Данные ТНПА'!$K$8,BT194&lt;='Данные ТНПА'!$L$8),'Данные ТНПА'!$N$8,
IF(AND(BT194&gt;'Данные ТНПА'!$K$9,BT194&lt;='Данные ТНПА'!$L$9),'Данные ТНПА'!$N$9,
IF(AND(BT194&gt;'Данные ТНПА'!$K$10,BT194&lt;='Данные ТНПА'!$L$10),'Данные ТНПА'!$N$10,
IF(AND(BT194&gt;'Данные ТНПА'!$K$11,BT194&lt;='Данные ТНПА'!$L$11),'Данные ТНПА'!$N$11,
IF(AND(BT194&gt;'Данные ТНПА'!$K$12,BT194&lt;='Данные ТНПА'!$L$12),'Данные ТНПА'!$N$12,
IF(AND(BT194&gt;'Данные ТНПА'!$K$13,BT194&lt;='Данные ТНПА'!$L$13),'Данные ТНПА'!$N$13,
IF(AND(BT194&gt;'Данные ТНПА'!$K$14,BT194&lt;='Данные ТНПА'!$L$14),'Данные ТНПА'!$N$14))))))))</f>
        <v>1.7</v>
      </c>
      <c r="BW194" s="493">
        <f t="shared" si="387"/>
        <v>18.439</v>
      </c>
      <c r="BX194" s="457">
        <f t="shared" si="293"/>
        <v>0</v>
      </c>
      <c r="BY194" s="457">
        <f t="shared" si="294"/>
        <v>447.61149999999998</v>
      </c>
      <c r="BZ194" s="457">
        <f t="shared" si="295"/>
        <v>96.865772438487753</v>
      </c>
      <c r="CA194" s="457" t="e">
        <f t="shared" si="436"/>
        <v>#REF!</v>
      </c>
      <c r="CB194" s="458">
        <f t="shared" si="432"/>
        <v>0</v>
      </c>
      <c r="CC194" s="457">
        <f t="shared" si="390"/>
        <v>0</v>
      </c>
      <c r="CD194" s="457">
        <f t="shared" si="391"/>
        <v>0</v>
      </c>
      <c r="CE194" s="457">
        <f t="shared" si="392"/>
        <v>0</v>
      </c>
      <c r="CF194" s="457">
        <f t="shared" si="393"/>
        <v>0</v>
      </c>
      <c r="CG194" s="458">
        <f t="shared" si="296"/>
        <v>0</v>
      </c>
      <c r="CH194" s="457">
        <f t="shared" si="433"/>
        <v>0</v>
      </c>
      <c r="CI194" s="457">
        <f t="shared" si="434"/>
        <v>0</v>
      </c>
      <c r="CJ194" s="458">
        <f t="shared" si="435"/>
        <v>0</v>
      </c>
      <c r="CK194" s="458">
        <f t="shared" si="297"/>
        <v>130.16363800927357</v>
      </c>
      <c r="CL194" s="457">
        <f t="shared" si="298"/>
        <v>674.64091044776126</v>
      </c>
      <c r="CM194" s="504"/>
      <c r="CN194" s="504"/>
    </row>
    <row r="195" spans="1:92" ht="14.25" hidden="1" customHeight="1" x14ac:dyDescent="0.25">
      <c r="A195" s="389" t="str">
        <f>IF(D195="",CONCATENATE("Кабель ",IF(C195="а","А",""),$A$9),CONCATENATE("Кабель ",IF(C195="а","А",""),$A$9," ",D195,"*",F195,IF(G195="ок"," (ож)","")," - ",B195," ",IF(G195="мс"," фас. ",""),$A$2))</f>
        <v>Кабель ВВГ 5*16 (ож) - 1 ГОСТ 16442-80</v>
      </c>
      <c r="B195" s="450">
        <v>1</v>
      </c>
      <c r="C195" s="451" t="s">
        <v>163</v>
      </c>
      <c r="D195" s="412">
        <v>5</v>
      </c>
      <c r="E195" s="413" t="s">
        <v>40</v>
      </c>
      <c r="F195" s="423">
        <v>16</v>
      </c>
      <c r="G195" s="414" t="str">
        <f>IF(I195=1,"ок","мк")</f>
        <v>ок</v>
      </c>
      <c r="H195" s="461">
        <v>4.5199999999999996</v>
      </c>
      <c r="I195" s="497">
        <v>1</v>
      </c>
      <c r="J195" s="498" t="s">
        <v>40</v>
      </c>
      <c r="K195" s="496">
        <f>ROUNDUP(SQRT(F195/PI()*4),2)</f>
        <v>4.5199999999999996</v>
      </c>
      <c r="L195" s="501">
        <v>6.68</v>
      </c>
      <c r="M195" s="475"/>
      <c r="N195" s="475"/>
      <c r="O195" s="475"/>
      <c r="P195" s="475"/>
      <c r="Q195" s="483">
        <f t="shared" si="437"/>
        <v>0.8</v>
      </c>
      <c r="R195" s="484">
        <f>IF(B195=0.66,VLOOKUP(F195,'Данные ТНПА'!$B$8:$C$16,2,0),
IF(B195=1,VLOOKUP(F195,'Данные ТНПА'!$B$17:$C$37,2,0),"ошибка"))</f>
        <v>1</v>
      </c>
      <c r="S195" s="485">
        <f t="shared" si="283"/>
        <v>6.1199999999999992</v>
      </c>
      <c r="T195" s="486"/>
      <c r="U195" s="487"/>
      <c r="V195" s="485">
        <f t="shared" si="284"/>
        <v>6.52</v>
      </c>
      <c r="W195" s="486"/>
      <c r="X195" s="487"/>
      <c r="Y195" s="489">
        <f t="shared" si="285"/>
        <v>4.5999999999999996</v>
      </c>
      <c r="Z195" s="491">
        <f t="shared" si="286"/>
        <v>17.603999999999999</v>
      </c>
      <c r="AA195" s="237">
        <f t="shared" si="287"/>
        <v>0</v>
      </c>
      <c r="AB195" s="452">
        <f t="shared" si="412"/>
        <v>17.603999999999999</v>
      </c>
      <c r="AC195" s="201">
        <f t="shared" si="288"/>
        <v>0</v>
      </c>
      <c r="AD195" s="203">
        <f t="shared" si="413"/>
        <v>0</v>
      </c>
      <c r="AE195" s="37" t="str">
        <f t="shared" si="289"/>
        <v/>
      </c>
      <c r="AF195" s="202">
        <f t="shared" si="414"/>
        <v>0</v>
      </c>
      <c r="AG195" s="201">
        <f t="shared" si="415"/>
        <v>0</v>
      </c>
      <c r="AH195" s="61">
        <f t="shared" si="290"/>
        <v>17.603999999999999</v>
      </c>
      <c r="AI195" s="443">
        <f t="shared" si="397"/>
        <v>0</v>
      </c>
      <c r="AJ195" s="444">
        <f t="shared" si="353"/>
        <v>0</v>
      </c>
      <c r="AK195" s="445">
        <f t="shared" si="354"/>
        <v>0</v>
      </c>
      <c r="AL195" s="446">
        <f t="shared" si="355"/>
        <v>0</v>
      </c>
      <c r="AM195" s="447">
        <f t="shared" si="356"/>
        <v>0</v>
      </c>
      <c r="AN195" s="24">
        <f t="shared" si="357"/>
        <v>17.603999999999999</v>
      </c>
      <c r="AO195" s="443">
        <f t="shared" si="291"/>
        <v>0</v>
      </c>
      <c r="AP195" s="444">
        <f t="shared" si="358"/>
        <v>0</v>
      </c>
      <c r="AQ195" s="445">
        <f t="shared" si="359"/>
        <v>0</v>
      </c>
      <c r="AR195" s="446">
        <f t="shared" si="360"/>
        <v>0</v>
      </c>
      <c r="AS195" s="447">
        <f t="shared" si="361"/>
        <v>0</v>
      </c>
      <c r="AT195" s="24">
        <f t="shared" si="362"/>
        <v>17.603999999999999</v>
      </c>
      <c r="AU195" s="443">
        <f t="shared" si="292"/>
        <v>0</v>
      </c>
      <c r="AV195" s="444">
        <f t="shared" si="363"/>
        <v>0</v>
      </c>
      <c r="AW195" s="445">
        <f t="shared" si="364"/>
        <v>0</v>
      </c>
      <c r="AX195" s="446">
        <f t="shared" si="365"/>
        <v>0</v>
      </c>
      <c r="AY195" s="447">
        <f t="shared" si="366"/>
        <v>0</v>
      </c>
      <c r="AZ195" s="24">
        <f t="shared" si="367"/>
        <v>17.603999999999999</v>
      </c>
      <c r="BA195" s="43">
        <f>IF(BB195=0,0,
IF(D195=1,
(IF(AND(AH195&gt;'Данные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"ошибка_1"))))))),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"ошибка_2"))))))))</f>
        <v>0</v>
      </c>
      <c r="BB195" s="43">
        <f>IF(OR($AI$9=0,AND(D195&gt;1,F195&gt;10)),0,
IF(D195=1,
(IF(AND(AH195&gt;'Данные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"ошибка_1"))))))),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IF(AND(AH195&gt;'Данные ТНПА'!#REF!,AH195&lt;='Данные ТНПА'!#REF!),'Данные ТНПА'!#REF!,
"ошибка_2"))))))))</f>
        <v>0</v>
      </c>
      <c r="BC195" s="43">
        <f t="shared" si="368"/>
        <v>17.603999999999999</v>
      </c>
      <c r="BD195" s="237">
        <f t="shared" si="422"/>
        <v>0</v>
      </c>
      <c r="BE195" s="43">
        <f t="shared" si="423"/>
        <v>0</v>
      </c>
      <c r="BF195" s="201">
        <f t="shared" si="424"/>
        <v>0</v>
      </c>
      <c r="BG195" s="201">
        <f t="shared" si="425"/>
        <v>0</v>
      </c>
      <c r="BH195" s="61">
        <f t="shared" si="403"/>
        <v>17.603999999999999</v>
      </c>
      <c r="BI195" s="237">
        <f t="shared" si="426"/>
        <v>0</v>
      </c>
      <c r="BJ195" s="247">
        <f t="shared" si="427"/>
        <v>0</v>
      </c>
      <c r="BK195" s="431">
        <f t="shared" si="416"/>
        <v>0</v>
      </c>
      <c r="BL195" s="250">
        <f t="shared" si="421"/>
        <v>0</v>
      </c>
      <c r="BM195" s="237">
        <f t="shared" si="428"/>
        <v>0</v>
      </c>
      <c r="BN195" s="452">
        <f t="shared" si="406"/>
        <v>17.603999999999999</v>
      </c>
      <c r="BO195" s="237">
        <f t="shared" si="429"/>
        <v>0</v>
      </c>
      <c r="BP195" s="432">
        <f t="shared" si="430"/>
        <v>0</v>
      </c>
      <c r="BQ195" s="22" t="str">
        <f t="shared" si="417"/>
        <v/>
      </c>
      <c r="BR195" s="250">
        <f t="shared" si="418"/>
        <v>0</v>
      </c>
      <c r="BS195" s="237">
        <f t="shared" si="431"/>
        <v>0</v>
      </c>
      <c r="BT195" s="452">
        <f t="shared" si="419"/>
        <v>17.603999999999999</v>
      </c>
      <c r="BU195" s="492">
        <f t="shared" si="438"/>
        <v>1.3449999999999998</v>
      </c>
      <c r="BV195" s="493">
        <f>IF(BT195="","",
IF(AND(BT195&gt;'Данные ТНПА'!$K$8,BT195&lt;='Данные ТНПА'!$L$8),'Данные ТНПА'!$N$8,
IF(AND(BT195&gt;'Данные ТНПА'!$K$9,BT195&lt;='Данные ТНПА'!$L$9),'Данные ТНПА'!$N$9,
IF(AND(BT195&gt;'Данные ТНПА'!$K$10,BT195&lt;='Данные ТНПА'!$L$10),'Данные ТНПА'!$N$10,
IF(AND(BT195&gt;'Данные ТНПА'!$K$11,BT195&lt;='Данные ТНПА'!$L$11),'Данные ТНПА'!$N$11,
IF(AND(BT195&gt;'Данные ТНПА'!$K$12,BT195&lt;='Данные ТНПА'!$L$12),'Данные ТНПА'!$N$12,
IF(AND(BT195&gt;'Данные ТНПА'!$K$13,BT195&lt;='Данные ТНПА'!$L$13),'Данные ТНПА'!$N$13,
IF(AND(BT195&gt;'Данные ТНПА'!$K$14,BT195&lt;='Данные ТНПА'!$L$14),'Данные ТНПА'!$N$14))))))))</f>
        <v>1.7</v>
      </c>
      <c r="BW195" s="493">
        <f t="shared" si="387"/>
        <v>21.003999999999998</v>
      </c>
      <c r="BX195" s="457">
        <f t="shared" si="293"/>
        <v>0</v>
      </c>
      <c r="BY195" s="457">
        <f t="shared" si="294"/>
        <v>716.17840000000001</v>
      </c>
      <c r="BZ195" s="457">
        <f t="shared" si="295"/>
        <v>117.00198333926744</v>
      </c>
      <c r="CA195" s="457" t="e">
        <f t="shared" si="436"/>
        <v>#REF!</v>
      </c>
      <c r="CB195" s="458">
        <f t="shared" si="432"/>
        <v>0</v>
      </c>
      <c r="CC195" s="457">
        <f t="shared" si="390"/>
        <v>0</v>
      </c>
      <c r="CD195" s="457">
        <f t="shared" si="391"/>
        <v>0</v>
      </c>
      <c r="CE195" s="457">
        <f t="shared" si="392"/>
        <v>0</v>
      </c>
      <c r="CF195" s="457">
        <f t="shared" si="393"/>
        <v>0</v>
      </c>
      <c r="CG195" s="458">
        <f t="shared" si="296"/>
        <v>0</v>
      </c>
      <c r="CH195" s="457">
        <f t="shared" si="433"/>
        <v>0</v>
      </c>
      <c r="CI195" s="457">
        <f t="shared" si="434"/>
        <v>0</v>
      </c>
      <c r="CJ195" s="458">
        <f t="shared" si="435"/>
        <v>0</v>
      </c>
      <c r="CK195" s="458">
        <f t="shared" si="297"/>
        <v>150.10925790853793</v>
      </c>
      <c r="CL195" s="457">
        <f t="shared" si="298"/>
        <v>983.28964124780532</v>
      </c>
      <c r="CM195" s="504"/>
      <c r="CN195" s="504"/>
    </row>
    <row r="196" spans="1:92" ht="14.25" hidden="1" customHeight="1" x14ac:dyDescent="0.25">
      <c r="A196" s="389" t="str">
        <f>IF(D196="",CONCATENATE("Кабель ",IF(C196="а","А",""),$A$9),CONCATENATE("Кабель ",IF(C196="а","А",""),$A$9," ",D196,"*",F196,IF(G196="ок"," (ож)","")," - ",B196," ",IF(G196="мс"," фас. ",""),$A$2))</f>
        <v>Кабель ВВГ 5*25 (ож) - 1 ГОСТ 16442-80</v>
      </c>
      <c r="B196" s="449">
        <v>1</v>
      </c>
      <c r="C196" s="415" t="s">
        <v>163</v>
      </c>
      <c r="D196" s="412">
        <v>5</v>
      </c>
      <c r="E196" s="413" t="s">
        <v>40</v>
      </c>
      <c r="F196" s="423">
        <v>25</v>
      </c>
      <c r="G196" s="414" t="str">
        <f>IF(I196=1,"ок","мк")</f>
        <v>ок</v>
      </c>
      <c r="H196" s="461">
        <v>5.6499999999999995</v>
      </c>
      <c r="I196" s="497">
        <v>1</v>
      </c>
      <c r="J196" s="498" t="s">
        <v>40</v>
      </c>
      <c r="K196" s="496">
        <f>ROUNDUP(SQRT(F196/PI()*4),2)</f>
        <v>5.6499999999999995</v>
      </c>
      <c r="L196" s="501">
        <v>7.1000000000000005</v>
      </c>
      <c r="M196" s="475"/>
      <c r="N196" s="475"/>
      <c r="O196" s="475"/>
      <c r="P196" s="475"/>
      <c r="Q196" s="483">
        <f t="shared" si="437"/>
        <v>0.98000000000000009</v>
      </c>
      <c r="R196" s="484">
        <f>IF(B196=0.66,VLOOKUP(F196,'Данные ТНПА'!$B$8:$C$16,2,0),
IF(B196=1,VLOOKUP(F196,'Данные ТНПА'!$B$17:$C$37,2,0),"ошибка"))</f>
        <v>1.2</v>
      </c>
      <c r="S196" s="485">
        <f t="shared" si="283"/>
        <v>7.6099999999999994</v>
      </c>
      <c r="T196" s="486"/>
      <c r="U196" s="487"/>
      <c r="V196" s="485">
        <f t="shared" si="284"/>
        <v>8.0499999999999989</v>
      </c>
      <c r="W196" s="486"/>
      <c r="X196" s="487"/>
      <c r="Y196" s="489">
        <f t="shared" si="285"/>
        <v>5.7</v>
      </c>
      <c r="Z196" s="491">
        <f t="shared" si="286"/>
        <v>21.734999999999999</v>
      </c>
      <c r="AA196" s="237">
        <f t="shared" si="287"/>
        <v>0</v>
      </c>
      <c r="AB196" s="452">
        <f t="shared" si="412"/>
        <v>21.734999999999999</v>
      </c>
      <c r="AC196" s="201">
        <f t="shared" si="288"/>
        <v>0</v>
      </c>
      <c r="AD196" s="203">
        <f t="shared" si="413"/>
        <v>0</v>
      </c>
      <c r="AE196" s="37" t="str">
        <f t="shared" si="289"/>
        <v/>
      </c>
      <c r="AF196" s="202">
        <f t="shared" si="414"/>
        <v>0</v>
      </c>
      <c r="AG196" s="201">
        <f t="shared" si="415"/>
        <v>0</v>
      </c>
      <c r="AH196" s="61">
        <f t="shared" si="290"/>
        <v>21.734999999999999</v>
      </c>
      <c r="AI196" s="443">
        <f t="shared" si="397"/>
        <v>0</v>
      </c>
      <c r="AJ196" s="444">
        <f t="shared" si="353"/>
        <v>0</v>
      </c>
      <c r="AK196" s="445">
        <f t="shared" si="354"/>
        <v>0</v>
      </c>
      <c r="AL196" s="446">
        <f t="shared" si="355"/>
        <v>0</v>
      </c>
      <c r="AM196" s="447">
        <f t="shared" si="356"/>
        <v>0</v>
      </c>
      <c r="AN196" s="24">
        <f t="shared" si="357"/>
        <v>21.734999999999999</v>
      </c>
      <c r="AO196" s="443">
        <f t="shared" si="291"/>
        <v>0</v>
      </c>
      <c r="AP196" s="444">
        <f t="shared" si="358"/>
        <v>0</v>
      </c>
      <c r="AQ196" s="445">
        <f t="shared" si="359"/>
        <v>0</v>
      </c>
      <c r="AR196" s="446">
        <f t="shared" si="360"/>
        <v>0</v>
      </c>
      <c r="AS196" s="447">
        <f t="shared" si="361"/>
        <v>0</v>
      </c>
      <c r="AT196" s="24">
        <f t="shared" si="362"/>
        <v>21.734999999999999</v>
      </c>
      <c r="AU196" s="443">
        <f t="shared" si="292"/>
        <v>0</v>
      </c>
      <c r="AV196" s="444">
        <f t="shared" si="363"/>
        <v>0</v>
      </c>
      <c r="AW196" s="445">
        <f t="shared" si="364"/>
        <v>0</v>
      </c>
      <c r="AX196" s="446">
        <f t="shared" si="365"/>
        <v>0</v>
      </c>
      <c r="AY196" s="447">
        <f t="shared" si="366"/>
        <v>0</v>
      </c>
      <c r="AZ196" s="24">
        <f t="shared" si="367"/>
        <v>21.734999999999999</v>
      </c>
      <c r="BA196" s="43">
        <f>IF(BB196=0,0,
IF(D196=1,
(IF(AND(AH196&gt;'Данные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"ошибка_1"))))))),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"ошибка_2"))))))))</f>
        <v>0</v>
      </c>
      <c r="BB196" s="43">
        <f>IF(OR($AI$9=0,AND(D196&gt;1,F196&gt;10)),0,
IF(D196=1,
(IF(AND(AH196&gt;'Данные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"ошибка_1"))))))),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IF(AND(AH196&gt;'Данные ТНПА'!#REF!,AH196&lt;='Данные ТНПА'!#REF!),'Данные ТНПА'!#REF!,
"ошибка_2"))))))))</f>
        <v>0</v>
      </c>
      <c r="BC196" s="43">
        <f t="shared" si="368"/>
        <v>21.734999999999999</v>
      </c>
      <c r="BD196" s="237">
        <f t="shared" si="422"/>
        <v>0</v>
      </c>
      <c r="BE196" s="43">
        <f t="shared" si="423"/>
        <v>0</v>
      </c>
      <c r="BF196" s="201">
        <f t="shared" si="424"/>
        <v>0</v>
      </c>
      <c r="BG196" s="201">
        <f t="shared" si="425"/>
        <v>0</v>
      </c>
      <c r="BH196" s="61">
        <f t="shared" si="403"/>
        <v>21.734999999999999</v>
      </c>
      <c r="BI196" s="237">
        <f t="shared" si="426"/>
        <v>0</v>
      </c>
      <c r="BJ196" s="247">
        <f t="shared" si="427"/>
        <v>0</v>
      </c>
      <c r="BK196" s="431">
        <f t="shared" si="416"/>
        <v>0</v>
      </c>
      <c r="BL196" s="250">
        <f t="shared" si="421"/>
        <v>0</v>
      </c>
      <c r="BM196" s="237">
        <f t="shared" si="428"/>
        <v>0</v>
      </c>
      <c r="BN196" s="452">
        <f t="shared" si="406"/>
        <v>21.734999999999999</v>
      </c>
      <c r="BO196" s="237">
        <f t="shared" si="429"/>
        <v>0</v>
      </c>
      <c r="BP196" s="432">
        <f t="shared" si="430"/>
        <v>0</v>
      </c>
      <c r="BQ196" s="22" t="str">
        <f t="shared" si="417"/>
        <v/>
      </c>
      <c r="BR196" s="250">
        <f t="shared" si="418"/>
        <v>0</v>
      </c>
      <c r="BS196" s="237">
        <f t="shared" si="431"/>
        <v>0</v>
      </c>
      <c r="BT196" s="452">
        <f t="shared" si="419"/>
        <v>21.734999999999999</v>
      </c>
      <c r="BU196" s="492">
        <f t="shared" si="438"/>
        <v>1.5149999999999999</v>
      </c>
      <c r="BV196" s="493">
        <f>IF(BT196="","",
IF(AND(BT196&gt;'Данные ТНПА'!$K$8,BT196&lt;='Данные ТНПА'!$L$8),'Данные ТНПА'!$N$8,
IF(AND(BT196&gt;'Данные ТНПА'!$K$9,BT196&lt;='Данные ТНПА'!$L$9),'Данные ТНПА'!$N$9,
IF(AND(BT196&gt;'Данные ТНПА'!$K$10,BT196&lt;='Данные ТНПА'!$L$10),'Данные ТНПА'!$N$10,
IF(AND(BT196&gt;'Данные ТНПА'!$K$11,BT196&lt;='Данные ТНПА'!$L$11),'Данные ТНПА'!$N$11,
IF(AND(BT196&gt;'Данные ТНПА'!$K$12,BT196&lt;='Данные ТНПА'!$L$12),'Данные ТНПА'!$N$12,
IF(AND(BT196&gt;'Данные ТНПА'!$K$13,BT196&lt;='Данные ТНПА'!$L$13),'Данные ТНПА'!$N$13,
IF(AND(BT196&gt;'Данные ТНПА'!$K$14,BT196&lt;='Данные ТНПА'!$L$14),'Данные ТНПА'!$N$14))))))))</f>
        <v>1.9</v>
      </c>
      <c r="BW196" s="493">
        <f t="shared" si="387"/>
        <v>25.535</v>
      </c>
      <c r="BX196" s="457">
        <f t="shared" si="293"/>
        <v>0</v>
      </c>
      <c r="BY196" s="457">
        <f t="shared" si="294"/>
        <v>1119.0287499999999</v>
      </c>
      <c r="BZ196" s="457">
        <f t="shared" si="295"/>
        <v>174.23121432043084</v>
      </c>
      <c r="CA196" s="457" t="e">
        <f t="shared" si="436"/>
        <v>#REF!</v>
      </c>
      <c r="CB196" s="458">
        <f t="shared" si="432"/>
        <v>0</v>
      </c>
      <c r="CC196" s="457">
        <f t="shared" si="390"/>
        <v>0</v>
      </c>
      <c r="CD196" s="457">
        <f t="shared" si="391"/>
        <v>0</v>
      </c>
      <c r="CE196" s="457">
        <f t="shared" si="392"/>
        <v>0</v>
      </c>
      <c r="CF196" s="457">
        <f t="shared" si="393"/>
        <v>0</v>
      </c>
      <c r="CG196" s="458">
        <f t="shared" si="296"/>
        <v>0</v>
      </c>
      <c r="CH196" s="457">
        <f t="shared" si="433"/>
        <v>0</v>
      </c>
      <c r="CI196" s="457">
        <f t="shared" si="434"/>
        <v>0</v>
      </c>
      <c r="CJ196" s="458">
        <f t="shared" si="435"/>
        <v>0</v>
      </c>
      <c r="CK196" s="458">
        <f t="shared" si="297"/>
        <v>205.40946680571412</v>
      </c>
      <c r="CL196" s="457">
        <f t="shared" si="298"/>
        <v>1498.6694311261449</v>
      </c>
      <c r="CM196" s="504"/>
      <c r="CN196" s="504"/>
    </row>
    <row r="197" spans="1:92" ht="14.25" hidden="1" customHeight="1" x14ac:dyDescent="0.25">
      <c r="A197" s="389" t="str">
        <f>IF(D197="",CONCATENATE("Кабель ",IF(C197="а","А",""),$A$9),CONCATENATE("Кабель ",IF(C197="а","А",""),$A$9," ",D197,"*",F197,IF(G197="ок"," (ож)","")," - ",B197," ",IF(G197="мс"," фас. ",""),$A$2))</f>
        <v>Кабель ВВГ 5*35 (ож) - 1 ГОСТ 16442-80</v>
      </c>
      <c r="B197" s="450">
        <v>1</v>
      </c>
      <c r="C197" s="451" t="s">
        <v>163</v>
      </c>
      <c r="D197" s="412">
        <v>5</v>
      </c>
      <c r="E197" s="413" t="s">
        <v>40</v>
      </c>
      <c r="F197" s="423">
        <v>35</v>
      </c>
      <c r="G197" s="414" t="str">
        <f>IF(I197=1,"ок","мк")</f>
        <v>ок</v>
      </c>
      <c r="H197" s="461">
        <v>6.68</v>
      </c>
      <c r="I197" s="497">
        <v>1</v>
      </c>
      <c r="J197" s="498" t="s">
        <v>40</v>
      </c>
      <c r="K197" s="496">
        <f>ROUNDUP(SQRT(F197/PI()*4),2)</f>
        <v>6.68</v>
      </c>
      <c r="L197" s="501">
        <v>8.15</v>
      </c>
      <c r="M197" s="475"/>
      <c r="N197" s="475"/>
      <c r="O197" s="475"/>
      <c r="P197" s="475"/>
      <c r="Q197" s="483">
        <f t="shared" si="437"/>
        <v>0.98000000000000009</v>
      </c>
      <c r="R197" s="484">
        <f>IF(B197=0.66,VLOOKUP(F197,'Данные ТНПА'!$B$8:$C$16,2,0),
IF(B197=1,VLOOKUP(F197,'Данные ТНПА'!$B$17:$C$37,2,0),"ошибка"))</f>
        <v>1.2</v>
      </c>
      <c r="S197" s="485">
        <f t="shared" si="283"/>
        <v>8.64</v>
      </c>
      <c r="T197" s="486"/>
      <c r="U197" s="487"/>
      <c r="V197" s="485">
        <f t="shared" si="284"/>
        <v>9.08</v>
      </c>
      <c r="W197" s="486"/>
      <c r="X197" s="487"/>
      <c r="Y197" s="489">
        <f t="shared" si="285"/>
        <v>6.4</v>
      </c>
      <c r="Z197" s="491">
        <f t="shared" si="286"/>
        <v>24.516000000000002</v>
      </c>
      <c r="AA197" s="237">
        <f t="shared" si="287"/>
        <v>0</v>
      </c>
      <c r="AB197" s="452">
        <f t="shared" si="412"/>
        <v>24.516000000000002</v>
      </c>
      <c r="AC197" s="201">
        <f t="shared" si="288"/>
        <v>0</v>
      </c>
      <c r="AD197" s="203">
        <f t="shared" si="413"/>
        <v>0</v>
      </c>
      <c r="AE197" s="37" t="str">
        <f t="shared" si="289"/>
        <v/>
      </c>
      <c r="AF197" s="202">
        <f t="shared" si="414"/>
        <v>0</v>
      </c>
      <c r="AG197" s="201">
        <f t="shared" si="415"/>
        <v>0</v>
      </c>
      <c r="AH197" s="61">
        <f t="shared" si="290"/>
        <v>24.516000000000002</v>
      </c>
      <c r="AI197" s="443">
        <f t="shared" si="397"/>
        <v>0</v>
      </c>
      <c r="AJ197" s="444">
        <f t="shared" si="353"/>
        <v>0</v>
      </c>
      <c r="AK197" s="445">
        <f t="shared" si="354"/>
        <v>0</v>
      </c>
      <c r="AL197" s="446">
        <f t="shared" si="355"/>
        <v>0</v>
      </c>
      <c r="AM197" s="447">
        <f t="shared" si="356"/>
        <v>0</v>
      </c>
      <c r="AN197" s="24">
        <f t="shared" si="357"/>
        <v>24.516000000000002</v>
      </c>
      <c r="AO197" s="443">
        <f t="shared" si="291"/>
        <v>0</v>
      </c>
      <c r="AP197" s="444">
        <f t="shared" si="358"/>
        <v>0</v>
      </c>
      <c r="AQ197" s="445">
        <f t="shared" si="359"/>
        <v>0</v>
      </c>
      <c r="AR197" s="446">
        <f t="shared" si="360"/>
        <v>0</v>
      </c>
      <c r="AS197" s="447">
        <f t="shared" si="361"/>
        <v>0</v>
      </c>
      <c r="AT197" s="24">
        <f t="shared" si="362"/>
        <v>24.516000000000002</v>
      </c>
      <c r="AU197" s="443">
        <f t="shared" si="292"/>
        <v>0</v>
      </c>
      <c r="AV197" s="444">
        <f t="shared" si="363"/>
        <v>0</v>
      </c>
      <c r="AW197" s="445">
        <f t="shared" si="364"/>
        <v>0</v>
      </c>
      <c r="AX197" s="446">
        <f t="shared" si="365"/>
        <v>0</v>
      </c>
      <c r="AY197" s="447">
        <f t="shared" si="366"/>
        <v>0</v>
      </c>
      <c r="AZ197" s="24">
        <f t="shared" si="367"/>
        <v>24.516000000000002</v>
      </c>
      <c r="BA197" s="43">
        <f>IF(BB197=0,0,
IF(D197=1,
(IF(AND(AH197&gt;'Данные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"ошибка_1"))))))),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"ошибка_2"))))))))</f>
        <v>0</v>
      </c>
      <c r="BB197" s="43">
        <f>IF(OR($AI$9=0,AND(D197&gt;1,F197&gt;10)),0,
IF(D197=1,
(IF(AND(AH197&gt;'Данные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"ошибка_1"))))))),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IF(AND(AH197&gt;'Данные ТНПА'!#REF!,AH197&lt;='Данные ТНПА'!#REF!),'Данные ТНПА'!#REF!,
"ошибка_2"))))))))</f>
        <v>0</v>
      </c>
      <c r="BC197" s="43">
        <f t="shared" si="368"/>
        <v>24.516000000000002</v>
      </c>
      <c r="BD197" s="237">
        <f t="shared" si="422"/>
        <v>0</v>
      </c>
      <c r="BE197" s="43">
        <f t="shared" si="423"/>
        <v>0</v>
      </c>
      <c r="BF197" s="201">
        <f t="shared" si="424"/>
        <v>0</v>
      </c>
      <c r="BG197" s="201">
        <f t="shared" si="425"/>
        <v>0</v>
      </c>
      <c r="BH197" s="61">
        <f t="shared" si="403"/>
        <v>24.516000000000002</v>
      </c>
      <c r="BI197" s="237">
        <f t="shared" si="426"/>
        <v>0</v>
      </c>
      <c r="BJ197" s="247">
        <f t="shared" si="427"/>
        <v>0</v>
      </c>
      <c r="BK197" s="431">
        <f t="shared" si="416"/>
        <v>0</v>
      </c>
      <c r="BL197" s="250">
        <f t="shared" si="421"/>
        <v>0</v>
      </c>
      <c r="BM197" s="237">
        <f t="shared" si="428"/>
        <v>0</v>
      </c>
      <c r="BN197" s="452">
        <f t="shared" si="406"/>
        <v>24.516000000000002</v>
      </c>
      <c r="BO197" s="237">
        <f t="shared" si="429"/>
        <v>0</v>
      </c>
      <c r="BP197" s="432">
        <f t="shared" si="430"/>
        <v>0</v>
      </c>
      <c r="BQ197" s="22" t="str">
        <f t="shared" si="417"/>
        <v/>
      </c>
      <c r="BR197" s="250">
        <f t="shared" si="418"/>
        <v>0</v>
      </c>
      <c r="BS197" s="237">
        <f t="shared" si="431"/>
        <v>0</v>
      </c>
      <c r="BT197" s="452">
        <f t="shared" si="419"/>
        <v>24.516000000000002</v>
      </c>
      <c r="BU197" s="492">
        <f t="shared" si="438"/>
        <v>1.5149999999999999</v>
      </c>
      <c r="BV197" s="493">
        <f>IF(BT197="","",
IF(AND(BT197&gt;'Данные ТНПА'!$K$8,BT197&lt;='Данные ТНПА'!$L$8),'Данные ТНПА'!$N$8,
IF(AND(BT197&gt;'Данные ТНПА'!$K$9,BT197&lt;='Данные ТНПА'!$L$9),'Данные ТНПА'!$N$9,
IF(AND(BT197&gt;'Данные ТНПА'!$K$10,BT197&lt;='Данные ТНПА'!$L$10),'Данные ТНПА'!$N$10,
IF(AND(BT197&gt;'Данные ТНПА'!$K$11,BT197&lt;='Данные ТНПА'!$L$11),'Данные ТНПА'!$N$11,
IF(AND(BT197&gt;'Данные ТНПА'!$K$12,BT197&lt;='Данные ТНПА'!$L$12),'Данные ТНПА'!$N$12,
IF(AND(BT197&gt;'Данные ТНПА'!$K$13,BT197&lt;='Данные ТНПА'!$L$13),'Данные ТНПА'!$N$13,
IF(AND(BT197&gt;'Данные ТНПА'!$K$14,BT197&lt;='Данные ТНПА'!$L$14),'Данные ТНПА'!$N$14))))))))</f>
        <v>1.9</v>
      </c>
      <c r="BW197" s="493">
        <f t="shared" si="387"/>
        <v>28.316000000000003</v>
      </c>
      <c r="BX197" s="457">
        <f t="shared" si="293"/>
        <v>0</v>
      </c>
      <c r="BY197" s="457">
        <f t="shared" si="294"/>
        <v>1566.6402500000002</v>
      </c>
      <c r="BZ197" s="457">
        <f t="shared" si="295"/>
        <v>200.429484502919</v>
      </c>
      <c r="CA197" s="457" t="e">
        <f t="shared" si="436"/>
        <v>#REF!</v>
      </c>
      <c r="CB197" s="458">
        <f t="shared" si="432"/>
        <v>0</v>
      </c>
      <c r="CC197" s="457">
        <f t="shared" si="390"/>
        <v>0</v>
      </c>
      <c r="CD197" s="457">
        <f t="shared" si="391"/>
        <v>0</v>
      </c>
      <c r="CE197" s="457">
        <f t="shared" si="392"/>
        <v>0</v>
      </c>
      <c r="CF197" s="457">
        <f t="shared" si="393"/>
        <v>0</v>
      </c>
      <c r="CG197" s="458">
        <f t="shared" si="296"/>
        <v>0</v>
      </c>
      <c r="CH197" s="457">
        <f t="shared" si="433"/>
        <v>0</v>
      </c>
      <c r="CI197" s="457">
        <f t="shared" si="434"/>
        <v>0</v>
      </c>
      <c r="CJ197" s="458">
        <f t="shared" si="435"/>
        <v>0</v>
      </c>
      <c r="CK197" s="458">
        <f t="shared" si="297"/>
        <v>229.57886503658744</v>
      </c>
      <c r="CL197" s="457">
        <f t="shared" si="298"/>
        <v>1996.6485995395064</v>
      </c>
      <c r="CM197" s="504"/>
      <c r="CN197" s="504"/>
    </row>
    <row r="198" spans="1:92" ht="14.25" hidden="1" customHeight="1" x14ac:dyDescent="0.25">
      <c r="A198" s="389" t="str">
        <f>IF(D198="",CONCATENATE("Кабель ",IF(C198="а","А",""),$A$9),CONCATENATE("Кабель ",IF(C198="а","А",""),$A$9," ",D198,"*",F198,IF(G198="ок"," (ож)","")," - ",B198," ",IF(G198="мс"," фас. ",""),$A$2))</f>
        <v>Кабель АВВГ 1*25 - 1 ГОСТ 16442-80</v>
      </c>
      <c r="B198" s="450">
        <v>1</v>
      </c>
      <c r="C198" s="451" t="s">
        <v>164</v>
      </c>
      <c r="D198" s="412">
        <v>1</v>
      </c>
      <c r="E198" s="413" t="s">
        <v>40</v>
      </c>
      <c r="F198" s="423">
        <v>25</v>
      </c>
      <c r="G198" s="414" t="s">
        <v>154</v>
      </c>
      <c r="H198" s="461">
        <v>1.34</v>
      </c>
      <c r="I198" s="478">
        <v>19</v>
      </c>
      <c r="J198" s="477" t="s">
        <v>40</v>
      </c>
      <c r="K198" s="470">
        <f>ROUNDUP(SQRT(F198/I198/PI()*4*1.07),2)</f>
        <v>1.34</v>
      </c>
      <c r="L198" s="501">
        <v>1.79</v>
      </c>
      <c r="M198" s="475"/>
      <c r="N198" s="475"/>
      <c r="O198" s="475"/>
      <c r="P198" s="475"/>
      <c r="Q198" s="483">
        <f t="shared" ref="Q198:Q219" si="439">0.9*R198-0.1</f>
        <v>0.98000000000000009</v>
      </c>
      <c r="R198" s="484">
        <f>IF(B198=0.66,VLOOKUP(F198,'Данные ТНПА'!$B$8:$C$16,2,0),
IF(B198=1,VLOOKUP(F198,'Данные ТНПА'!$B$17:$C$37,2,0),"ошибка"))</f>
        <v>1.2</v>
      </c>
      <c r="S198" s="485">
        <f t="shared" si="283"/>
        <v>3.75</v>
      </c>
      <c r="T198" s="486"/>
      <c r="U198" s="487"/>
      <c r="V198" s="485">
        <f t="shared" si="284"/>
        <v>4.1899999999999995</v>
      </c>
      <c r="W198" s="486"/>
      <c r="X198" s="487"/>
      <c r="Y198" s="489">
        <f t="shared" si="285"/>
        <v>0</v>
      </c>
      <c r="Z198" s="491">
        <f t="shared" si="286"/>
        <v>4.1899999999999995</v>
      </c>
      <c r="AA198" s="237">
        <f t="shared" si="287"/>
        <v>0</v>
      </c>
      <c r="AB198" s="452">
        <f t="shared" ref="AB198:AB219" si="440">IF(Z198="","",Z198)</f>
        <v>4.1899999999999995</v>
      </c>
      <c r="AC198" s="201">
        <f t="shared" si="288"/>
        <v>0</v>
      </c>
      <c r="AD198" s="203">
        <f t="shared" ref="AD198:AD219" si="441">IF(AC198="","",IF(AC198&gt;0,IF(AND(Z198&gt;=10,Z198&lt;=20),0.035,IF(Z198&gt;20,0.05,"ошибка")),0))</f>
        <v>0</v>
      </c>
      <c r="AE198" s="37" t="str">
        <f t="shared" si="289"/>
        <v/>
      </c>
      <c r="AF198" s="202">
        <f t="shared" ref="AF198:AF219" si="442">IF(AC198="","",IF(AC198&gt;0,IF(AND(Z198&gt;=10,Z198&lt;=20),50,IF(Z198&gt;20,60,"ошибка")),0))</f>
        <v>0</v>
      </c>
      <c r="AG198" s="201">
        <f t="shared" ref="AG198:AG219" si="443">IF(AC198="","",IF(AC198&gt;0,IF(AND(Z198&gt;=10,Z198&lt;=13),40,IF(AND(Z198&gt;=13,Z198&lt;=16),30,IF(Z198&gt;16,25,"ошибка"))),0))</f>
        <v>0</v>
      </c>
      <c r="AH198" s="61">
        <f t="shared" si="290"/>
        <v>4.1899999999999995</v>
      </c>
      <c r="AI198" s="443">
        <f t="shared" si="397"/>
        <v>0</v>
      </c>
      <c r="AJ198" s="444">
        <f t="shared" ref="AJ198:AJ219" si="444">IF(AI198=0,0,$AJ$9)</f>
        <v>0</v>
      </c>
      <c r="AK198" s="445">
        <f t="shared" ref="AK198:AK219" si="445">IF(AI198="","",IF(AI198=0,0,"×"))</f>
        <v>0</v>
      </c>
      <c r="AL198" s="446">
        <f t="shared" ref="AL198:AL219" si="446">IF(AI198=0,0,$AL$9)</f>
        <v>0</v>
      </c>
      <c r="AM198" s="447">
        <f t="shared" ref="AM198:AM219" si="447">IF(AI198=0,0,
IF(AND(AH198&gt;10,AH198&lt;=13),55,
IF(AND(AH198&gt;13,AH198&lt;=15),45,
IF(AND(AH198&gt;15,AH198&lt;=18),35,
IF(AND(AH198&gt;18,AH198&lt;=20),30,
IF(AH198&gt;20,15,
0))))))</f>
        <v>0</v>
      </c>
      <c r="AN198" s="24">
        <f t="shared" ref="AN198:AN219" si="448">AH198+2*AI198*AJ198*(IF(AM198&lt;25,1,IF(AM198&gt;33,2,1.5)))</f>
        <v>4.1899999999999995</v>
      </c>
      <c r="AO198" s="443">
        <f t="shared" si="291"/>
        <v>0</v>
      </c>
      <c r="AP198" s="444">
        <f t="shared" ref="AP198:AP219" si="449">IF(OR(AO198=0,AN198&gt;23),0,$AP$9)</f>
        <v>0</v>
      </c>
      <c r="AQ198" s="445">
        <f t="shared" ref="AQ198:AQ219" si="450">IF(OR(AN198&gt;23,AO198=0),0,"×")</f>
        <v>0</v>
      </c>
      <c r="AR198" s="446">
        <f t="shared" ref="AR198:AR219" si="451">IF(OR(AN198&gt;23,AO198=0),0,$AR$9)</f>
        <v>0</v>
      </c>
      <c r="AS198" s="447">
        <f t="shared" ref="AS198:AS219" si="452">IF(AO198=0,0,
IF(AND(AH198&gt;10,AH198&lt;=13),55,
IF(AND(AH198&gt;13,AH198&lt;=15),45,
IF(AND(AH198&gt;15,AH198&lt;=18),35,
IF(AND(AH198&gt;18,AH198&lt;=20),30,
IF(AND(AH198&gt;20,AH198&lt;=23),15,
0))))))</f>
        <v>0</v>
      </c>
      <c r="AT198" s="24">
        <f t="shared" ref="AT198:AT219" si="453">AN198+2*AO198*AP198*(IF(AS198&lt;25,1,IF(AS198&gt;33,2,1.5)))</f>
        <v>4.1899999999999995</v>
      </c>
      <c r="AU198" s="443">
        <f t="shared" si="292"/>
        <v>0</v>
      </c>
      <c r="AV198" s="444">
        <f t="shared" ref="AV198:AV219" si="454">IF(OR(AU198=0,AN198&lt;=23),0,$AV$9)</f>
        <v>0</v>
      </c>
      <c r="AW198" s="445">
        <f t="shared" ref="AW198:AW219" si="455">IF(OR(AN198&lt;=23,AU198=0),0,"×")</f>
        <v>0</v>
      </c>
      <c r="AX198" s="446">
        <f t="shared" ref="AX198:AX219" si="456">IF(OR(AN198&lt;=23,AU198=0),0,$AX$9)</f>
        <v>0</v>
      </c>
      <c r="AY198" s="447">
        <f t="shared" ref="AY198:AY219" si="457">IF(AU198=0,0,15)</f>
        <v>0</v>
      </c>
      <c r="AZ198" s="24">
        <f t="shared" ref="AZ198:AZ219" si="458">AT198+2*AU198*AV198*(IF(AY198&lt;25,1,IF(AY198&gt;33,2,1.5)))</f>
        <v>4.1899999999999995</v>
      </c>
      <c r="BA198" s="43">
        <f>IF(BB198=0,0,
IF(D198=1,
(IF(AND(AH198&gt;'Данные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"ошибка_1"))))))),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"ошибка_2"))))))))</f>
        <v>0</v>
      </c>
      <c r="BB198" s="43">
        <f>IF(OR($AI$9=0,AND(D198&gt;1,F198&gt;10)),0,
IF(D198=1,
(IF(AND(AH198&gt;'Данные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"ошибка_1"))))))),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IF(AND(AH198&gt;'Данные ТНПА'!#REF!,AH198&lt;='Данные ТНПА'!#REF!),'Данные ТНПА'!#REF!,
"ошибка_2"))))))))</f>
        <v>0</v>
      </c>
      <c r="BC198" s="43">
        <f t="shared" ref="BC198:BC219" si="459">AZ198+2*BB198</f>
        <v>4.1899999999999995</v>
      </c>
      <c r="BD198" s="237">
        <f t="shared" ref="BD198:BD219" si="460">IF(BC198="","",
IF(BC198=0,0,$BD$9))</f>
        <v>0</v>
      </c>
      <c r="BE198" s="43">
        <f t="shared" ref="BE198:BE219" si="461">IF(BC198="","",
IF(BC198=0,0,$BE$9))</f>
        <v>0</v>
      </c>
      <c r="BF198" s="201">
        <f t="shared" ref="BF198:BF219" si="462">IF(BC198="","",
IF($BD$9=0,0,
IF(BC198&lt;=13,20,
IF(AND(BC198&gt;13,BC198&lt;=18),30,
IF(AND(BC198&gt;18,BC198&lt;=23),40,
IF(AND(BC198&gt;23,BC198&lt;=30),50,
60))))))</f>
        <v>0</v>
      </c>
      <c r="BG198" s="201">
        <f t="shared" ref="BG198:BG219" si="463">IF(BC198="","",$BG$9)</f>
        <v>0</v>
      </c>
      <c r="BH198" s="61">
        <f t="shared" ref="BH198:BH219" si="464">IF(BC198="","",BC198+2*BD198*BE198*IF(BG198&lt;=25,1,IF(BG198&gt;33,2,1.5)))</f>
        <v>4.1899999999999995</v>
      </c>
      <c r="BI198" s="237">
        <f t="shared" ref="BI198:BI219" si="465">IF(BC198="","",$BI$9)</f>
        <v>0</v>
      </c>
      <c r="BJ198" s="247">
        <f t="shared" ref="BJ198:BJ219" si="466">IF(BC198="","",$BJ$9)</f>
        <v>0</v>
      </c>
      <c r="BK198" s="431">
        <f t="shared" ref="BK198:BK219" si="467">IF(BJ198="","",IF(BJ198&lt;&gt;0,"×",0))</f>
        <v>0</v>
      </c>
      <c r="BL198" s="250">
        <f t="shared" ref="BL198:BL219" si="468">IF(BK198="","",
IF(BJ198&lt;&gt;0,
IF(AND(BC198&gt;7,BC198&lt;=10),15,
IF(AND(BC198&gt;10,BC198&lt;=13),20,
IF(AND(BC198&gt;13,BC198&lt;=21),30,
IF(AND(BC198&gt;21,BC198&lt;=31),40,
IF(AND(BC198&gt;31,BC198&lt;=70),50,
IF(AND(BC198&gt;70,BC198&lt;=80),60,
"ошибка")))))),0))</f>
        <v>0</v>
      </c>
      <c r="BM198" s="237">
        <f t="shared" ref="BM198:BM219" si="469">IF(BL198="","",$BM$9)</f>
        <v>0</v>
      </c>
      <c r="BN198" s="452">
        <f t="shared" ref="BN198:BN219" si="470">IF(BH198="","",BH198+2*BI198*BJ198)</f>
        <v>4.1899999999999995</v>
      </c>
      <c r="BO198" s="237">
        <f t="shared" ref="BO198:BO219" si="471">IF(BN198="","",$BO$9)</f>
        <v>0</v>
      </c>
      <c r="BP198" s="432">
        <f t="shared" ref="BP198:BP219" si="472">IF(BO198="","",IF(BO198&gt;0,$BP$9,0))</f>
        <v>0</v>
      </c>
      <c r="BQ198" s="22" t="str">
        <f t="shared" ref="BQ198:BQ219" si="473">IF(BP198="","",IF(BP198&gt;0,"×",""))</f>
        <v/>
      </c>
      <c r="BR198" s="250">
        <f t="shared" ref="BR198:BR219" si="474">IF(BN198="","",IF(BO198=0,0,IF(BN198&lt;=19,30,IF(AND(BN198&gt;19,BN198&lt;=23),40,50))))</f>
        <v>0</v>
      </c>
      <c r="BS198" s="237">
        <f t="shared" ref="BS198:BS219" si="475">IF(BO198="","",IF(BO198=0,0,$BS$9))</f>
        <v>0</v>
      </c>
      <c r="BT198" s="452">
        <f t="shared" ref="BT198:BT219" si="476">IF(BN198="","",BN198+2*BO198*BP198*IF(BS198&lt;=25,1,IF(BS198&gt;33,2,1.5)))</f>
        <v>4.1899999999999995</v>
      </c>
      <c r="BU198" s="492">
        <f t="shared" ref="BU198:BU219" si="477">0.85*BV198-0.1</f>
        <v>0.92</v>
      </c>
      <c r="BV198" s="493">
        <f>IF(BT198="","",
IF(AND(BT198&gt;'Данные ТНПА'!$K$8,BT198&lt;='Данные ТНПА'!$L$8),'Данные ТНПА'!$N$8,
IF(AND(BT198&gt;'Данные ТНПА'!$K$9,BT198&lt;='Данные ТНПА'!$L$9),'Данные ТНПА'!$N$9,
IF(AND(BT198&gt;'Данные ТНПА'!$K$10,BT198&lt;='Данные ТНПА'!$L$10),'Данные ТНПА'!$N$10,
IF(AND(BT198&gt;'Данные ТНПА'!$K$11,BT198&lt;='Данные ТНПА'!$L$11),'Данные ТНПА'!$N$11,
IF(AND(BT198&gt;'Данные ТНПА'!$K$12,BT198&lt;='Данные ТНПА'!$L$12),'Данные ТНПА'!$N$12,
IF(AND(BT198&gt;'Данные ТНПА'!$K$13,BT198&lt;='Данные ТНПА'!$L$13),'Данные ТНПА'!$N$13,
IF(AND(BT198&gt;'Данные ТНПА'!$K$14,BT198&lt;='Данные ТНПА'!$L$14),'Данные ТНПА'!$N$14))))))))</f>
        <v>1.2</v>
      </c>
      <c r="BW198" s="493">
        <f t="shared" ref="BW198:BW219" si="478">BT198+2*BV198</f>
        <v>6.59</v>
      </c>
      <c r="BX198" s="457">
        <f t="shared" si="293"/>
        <v>67.5</v>
      </c>
      <c r="BY198" s="457">
        <f t="shared" si="294"/>
        <v>0</v>
      </c>
      <c r="BZ198" s="457">
        <f t="shared" si="295"/>
        <v>16.614978766152184</v>
      </c>
      <c r="CA198" s="457" t="e">
        <f t="shared" ref="CA198:CA219" si="479">PI()*POWER(Y198,2)/4*$CA$9</f>
        <v>#REF!</v>
      </c>
      <c r="CB198" s="458">
        <f t="shared" ref="CB198:CB219" si="480">IF(AA198="","",
IF(AA198=2,SQRT((Z198*PI()/50)^2+1)*$CB$9*AA198,0))</f>
        <v>0</v>
      </c>
      <c r="CC198" s="457">
        <f t="shared" ref="CC198:CC219" si="481">PI()*(Z198+AC198*AD198)*AC198*AD198*$CC$9*ROUND(100/(100-AG198),2)</f>
        <v>0</v>
      </c>
      <c r="CD198" s="457">
        <f t="shared" ref="CD198:CD219" si="482">PI()*(AH198+AI198*AJ198)*AI198*AJ198*$CD$9*ROUND(100/(100-AM198),2)</f>
        <v>0</v>
      </c>
      <c r="CE198" s="457">
        <f t="shared" ref="CE198:CE219" si="483">PI()*(AN198+AO198*AP198)*AO198*AP198*$CE$9*ROUND(100/(100-AS198),2)</f>
        <v>0</v>
      </c>
      <c r="CF198" s="457">
        <f t="shared" ref="CF198:CF219" si="484">PI()*(AT198+AU198*AV198)*AU198*AV198*$CF$9*ROUND(100/(100-AY198),2)</f>
        <v>0</v>
      </c>
      <c r="CG198" s="458">
        <f t="shared" si="296"/>
        <v>0</v>
      </c>
      <c r="CH198" s="457">
        <f t="shared" ref="CH198:CH219" si="485">IF(BE198="","",
IF(BD198=0,0,
PI()*(BC198+BD198*BE198)*BD198*BE198*$CH$9*ROUND(100/(100-BG198),2)))</f>
        <v>0</v>
      </c>
      <c r="CI198" s="457">
        <f t="shared" ref="CI198:CI219" si="486">IF(BH198="","",
PI()*(BH198+BI198*BJ198)*BI198*BJ198*$CI$9*ROUND(100/(100+BM198),2))</f>
        <v>0</v>
      </c>
      <c r="CJ198" s="458">
        <f t="shared" ref="CJ198:CJ219" si="487">IF(BO198="","",PI()*(BN198+BO198*BP198)*BO198*BP198*$CJ$9*ROUND(100/(100-BS198),2))</f>
        <v>0</v>
      </c>
      <c r="CK198" s="458">
        <f t="shared" si="297"/>
        <v>29.585659788657743</v>
      </c>
      <c r="CL198" s="457">
        <f t="shared" si="298"/>
        <v>113.70063855480993</v>
      </c>
      <c r="CM198" s="504"/>
      <c r="CN198" s="504"/>
    </row>
    <row r="199" spans="1:92" ht="14.25" hidden="1" customHeight="1" x14ac:dyDescent="0.25">
      <c r="A199" s="389" t="str">
        <f>IF(D199="",CONCATENATE("Кабель ",IF(C199="а","А",""),$A$9),CONCATENATE("Кабель ",IF(C199="а","А",""),$A$9," ",D199,"*",F199,IF(G199="ок"," (ож)","")," - ",B199," ",IF(G199="мс"," фас. ",""),$A$2))</f>
        <v>Кабель АВВГ 1*35 - 1 ГОСТ 16442-80</v>
      </c>
      <c r="B199" s="450">
        <v>1</v>
      </c>
      <c r="C199" s="451" t="s">
        <v>164</v>
      </c>
      <c r="D199" s="412">
        <v>1</v>
      </c>
      <c r="E199" s="413" t="s">
        <v>40</v>
      </c>
      <c r="F199" s="423">
        <v>35</v>
      </c>
      <c r="G199" s="414" t="s">
        <v>154</v>
      </c>
      <c r="H199" s="461">
        <v>2.61</v>
      </c>
      <c r="I199" s="478">
        <v>7</v>
      </c>
      <c r="J199" s="477" t="s">
        <v>40</v>
      </c>
      <c r="K199" s="470">
        <f>ROUNDUP(SQRT(F199/I199/PI()*4*1.07),2)</f>
        <v>2.61</v>
      </c>
      <c r="L199" s="501">
        <v>2.2599999999999998</v>
      </c>
      <c r="M199" s="475"/>
      <c r="N199" s="475"/>
      <c r="O199" s="475"/>
      <c r="P199" s="475"/>
      <c r="Q199" s="483">
        <f t="shared" si="439"/>
        <v>0.98000000000000009</v>
      </c>
      <c r="R199" s="484">
        <f>IF(B199=0.66,VLOOKUP(F199,'Данные ТНПА'!$B$8:$C$16,2,0),
IF(B199=1,VLOOKUP(F199,'Данные ТНПА'!$B$17:$C$37,2,0),"ошибка"))</f>
        <v>1.2</v>
      </c>
      <c r="S199" s="485">
        <f t="shared" si="283"/>
        <v>4.22</v>
      </c>
      <c r="T199" s="486"/>
      <c r="U199" s="487"/>
      <c r="V199" s="485">
        <f t="shared" si="284"/>
        <v>4.66</v>
      </c>
      <c r="W199" s="486"/>
      <c r="X199" s="487"/>
      <c r="Y199" s="489">
        <f t="shared" si="285"/>
        <v>0</v>
      </c>
      <c r="Z199" s="491">
        <f t="shared" si="286"/>
        <v>4.66</v>
      </c>
      <c r="AA199" s="237">
        <f t="shared" si="287"/>
        <v>0</v>
      </c>
      <c r="AB199" s="452">
        <f t="shared" si="440"/>
        <v>4.66</v>
      </c>
      <c r="AC199" s="201">
        <f t="shared" si="288"/>
        <v>0</v>
      </c>
      <c r="AD199" s="203">
        <f t="shared" si="441"/>
        <v>0</v>
      </c>
      <c r="AE199" s="37" t="str">
        <f t="shared" si="289"/>
        <v/>
      </c>
      <c r="AF199" s="202">
        <f t="shared" si="442"/>
        <v>0</v>
      </c>
      <c r="AG199" s="201">
        <f t="shared" si="443"/>
        <v>0</v>
      </c>
      <c r="AH199" s="61">
        <f t="shared" si="290"/>
        <v>4.66</v>
      </c>
      <c r="AI199" s="443">
        <f t="shared" si="397"/>
        <v>0</v>
      </c>
      <c r="AJ199" s="444">
        <f t="shared" si="444"/>
        <v>0</v>
      </c>
      <c r="AK199" s="445">
        <f t="shared" si="445"/>
        <v>0</v>
      </c>
      <c r="AL199" s="446">
        <f t="shared" si="446"/>
        <v>0</v>
      </c>
      <c r="AM199" s="447">
        <f t="shared" si="447"/>
        <v>0</v>
      </c>
      <c r="AN199" s="24">
        <f t="shared" si="448"/>
        <v>4.66</v>
      </c>
      <c r="AO199" s="443">
        <f t="shared" si="291"/>
        <v>0</v>
      </c>
      <c r="AP199" s="444">
        <f t="shared" si="449"/>
        <v>0</v>
      </c>
      <c r="AQ199" s="445">
        <f t="shared" si="450"/>
        <v>0</v>
      </c>
      <c r="AR199" s="446">
        <f t="shared" si="451"/>
        <v>0</v>
      </c>
      <c r="AS199" s="447">
        <f t="shared" si="452"/>
        <v>0</v>
      </c>
      <c r="AT199" s="24">
        <f t="shared" si="453"/>
        <v>4.66</v>
      </c>
      <c r="AU199" s="443">
        <f t="shared" si="292"/>
        <v>0</v>
      </c>
      <c r="AV199" s="444">
        <f t="shared" si="454"/>
        <v>0</v>
      </c>
      <c r="AW199" s="445">
        <f t="shared" si="455"/>
        <v>0</v>
      </c>
      <c r="AX199" s="446">
        <f t="shared" si="456"/>
        <v>0</v>
      </c>
      <c r="AY199" s="447">
        <f t="shared" si="457"/>
        <v>0</v>
      </c>
      <c r="AZ199" s="24">
        <f t="shared" si="458"/>
        <v>4.66</v>
      </c>
      <c r="BA199" s="43">
        <f>IF(BB199=0,0,
IF(D199=1,
(IF(AND(AH199&gt;'Данные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"ошибка_1"))))))),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"ошибка_2"))))))))</f>
        <v>0</v>
      </c>
      <c r="BB199" s="43">
        <f>IF(OR($AI$9=0,AND(D199&gt;1,F199&gt;10)),0,
IF(D199=1,
(IF(AND(AH199&gt;'Данные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"ошибка_1"))))))),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IF(AND(AH199&gt;'Данные ТНПА'!#REF!,AH199&lt;='Данные ТНПА'!#REF!),'Данные ТНПА'!#REF!,
"ошибка_2"))))))))</f>
        <v>0</v>
      </c>
      <c r="BC199" s="43">
        <f t="shared" si="459"/>
        <v>4.66</v>
      </c>
      <c r="BD199" s="237">
        <f t="shared" si="460"/>
        <v>0</v>
      </c>
      <c r="BE199" s="43">
        <f t="shared" si="461"/>
        <v>0</v>
      </c>
      <c r="BF199" s="201">
        <f t="shared" si="462"/>
        <v>0</v>
      </c>
      <c r="BG199" s="201">
        <f t="shared" si="463"/>
        <v>0</v>
      </c>
      <c r="BH199" s="61">
        <f t="shared" si="464"/>
        <v>4.66</v>
      </c>
      <c r="BI199" s="237">
        <f t="shared" si="465"/>
        <v>0</v>
      </c>
      <c r="BJ199" s="247">
        <f t="shared" si="466"/>
        <v>0</v>
      </c>
      <c r="BK199" s="431">
        <f t="shared" si="467"/>
        <v>0</v>
      </c>
      <c r="BL199" s="250">
        <f t="shared" si="468"/>
        <v>0</v>
      </c>
      <c r="BM199" s="237">
        <f t="shared" si="469"/>
        <v>0</v>
      </c>
      <c r="BN199" s="452">
        <f t="shared" si="470"/>
        <v>4.66</v>
      </c>
      <c r="BO199" s="237">
        <f t="shared" si="471"/>
        <v>0</v>
      </c>
      <c r="BP199" s="432">
        <f t="shared" si="472"/>
        <v>0</v>
      </c>
      <c r="BQ199" s="22" t="str">
        <f t="shared" si="473"/>
        <v/>
      </c>
      <c r="BR199" s="250">
        <f t="shared" si="474"/>
        <v>0</v>
      </c>
      <c r="BS199" s="237">
        <f t="shared" si="475"/>
        <v>0</v>
      </c>
      <c r="BT199" s="452">
        <f t="shared" si="476"/>
        <v>4.66</v>
      </c>
      <c r="BU199" s="492">
        <f t="shared" si="477"/>
        <v>0.92</v>
      </c>
      <c r="BV199" s="493">
        <f>IF(BT199="","",
IF(AND(BT199&gt;'Данные ТНПА'!$K$8,BT199&lt;='Данные ТНПА'!$L$8),'Данные ТНПА'!$N$8,
IF(AND(BT199&gt;'Данные ТНПА'!$K$9,BT199&lt;='Данные ТНПА'!$L$9),'Данные ТНПА'!$N$9,
IF(AND(BT199&gt;'Данные ТНПА'!$K$10,BT199&lt;='Данные ТНПА'!$L$10),'Данные ТНПА'!$N$10,
IF(AND(BT199&gt;'Данные ТНПА'!$K$11,BT199&lt;='Данные ТНПА'!$L$11),'Данные ТНПА'!$N$11,
IF(AND(BT199&gt;'Данные ТНПА'!$K$12,BT199&lt;='Данные ТНПА'!$L$12),'Данные ТНПА'!$N$12,
IF(AND(BT199&gt;'Данные ТНПА'!$K$13,BT199&lt;='Данные ТНПА'!$L$13),'Данные ТНПА'!$N$13,
IF(AND(BT199&gt;'Данные ТНПА'!$K$14,BT199&lt;='Данные ТНПА'!$L$14),'Данные ТНПА'!$N$14))))))))</f>
        <v>1.2</v>
      </c>
      <c r="BW199" s="493">
        <f t="shared" si="478"/>
        <v>7.0600000000000005</v>
      </c>
      <c r="BX199" s="457">
        <f t="shared" si="293"/>
        <v>94.5</v>
      </c>
      <c r="BY199" s="457">
        <f t="shared" si="294"/>
        <v>0</v>
      </c>
      <c r="BZ199" s="457">
        <f t="shared" si="295"/>
        <v>19.226697836416907</v>
      </c>
      <c r="CA199" s="457" t="e">
        <f t="shared" si="479"/>
        <v>#REF!</v>
      </c>
      <c r="CB199" s="458">
        <f t="shared" si="480"/>
        <v>0</v>
      </c>
      <c r="CC199" s="457">
        <f t="shared" si="481"/>
        <v>0</v>
      </c>
      <c r="CD199" s="457">
        <f t="shared" si="482"/>
        <v>0</v>
      </c>
      <c r="CE199" s="457">
        <f t="shared" si="483"/>
        <v>0</v>
      </c>
      <c r="CF199" s="457">
        <f t="shared" si="484"/>
        <v>0</v>
      </c>
      <c r="CG199" s="458">
        <f t="shared" si="296"/>
        <v>0</v>
      </c>
      <c r="CH199" s="457">
        <f t="shared" si="485"/>
        <v>0</v>
      </c>
      <c r="CI199" s="457">
        <f t="shared" si="486"/>
        <v>0</v>
      </c>
      <c r="CJ199" s="458">
        <f t="shared" si="487"/>
        <v>0</v>
      </c>
      <c r="CK199" s="458">
        <f t="shared" si="297"/>
        <v>32.165485410303226</v>
      </c>
      <c r="CL199" s="457">
        <f t="shared" si="298"/>
        <v>145.89218324672012</v>
      </c>
      <c r="CM199" s="504"/>
      <c r="CN199" s="504"/>
    </row>
    <row r="200" spans="1:92" ht="14.25" hidden="1" customHeight="1" x14ac:dyDescent="0.25">
      <c r="A200" s="389" t="str">
        <f>IF(D200="",CONCATENATE("Кабель ",IF(C200="а","А",""),$A$9),CONCATENATE("Кабель ",IF(C200="а","А",""),$A$9," ",D200,"*",F200,IF(G200="ок"," (ож)","")," - ",B200," ",IF(G200="мс"," фас. ",""),$A$2))</f>
        <v>Кабель АВВГ 1*50 - 1 ГОСТ 16442-80</v>
      </c>
      <c r="B200" s="450">
        <v>1</v>
      </c>
      <c r="C200" s="451" t="s">
        <v>164</v>
      </c>
      <c r="D200" s="412">
        <v>1</v>
      </c>
      <c r="E200" s="413" t="s">
        <v>40</v>
      </c>
      <c r="F200" s="423">
        <v>50</v>
      </c>
      <c r="G200" s="414" t="s">
        <v>154</v>
      </c>
      <c r="H200" s="461">
        <v>3.1199999999999997</v>
      </c>
      <c r="I200" s="478">
        <v>7</v>
      </c>
      <c r="J200" s="477" t="s">
        <v>40</v>
      </c>
      <c r="K200" s="470">
        <f>ROUNDUP(SQRT(F200/I200/PI()*4*1.07),2)</f>
        <v>3.1199999999999997</v>
      </c>
      <c r="L200" s="501">
        <v>2.7699999999999996</v>
      </c>
      <c r="M200" s="475"/>
      <c r="N200" s="475"/>
      <c r="O200" s="475"/>
      <c r="P200" s="475"/>
      <c r="Q200" s="483">
        <f t="shared" si="439"/>
        <v>1.1599999999999999</v>
      </c>
      <c r="R200" s="484">
        <f>IF(B200=0.66,VLOOKUP(F200,'Данные ТНПА'!$B$8:$C$16,2,0),
IF(B200=1,VLOOKUP(F200,'Данные ТНПА'!$B$17:$C$37,2,0),"ошибка"))</f>
        <v>1.4</v>
      </c>
      <c r="S200" s="485">
        <f t="shared" si="283"/>
        <v>5.09</v>
      </c>
      <c r="T200" s="486"/>
      <c r="U200" s="487"/>
      <c r="V200" s="485">
        <f t="shared" si="284"/>
        <v>5.5699999999999994</v>
      </c>
      <c r="W200" s="486"/>
      <c r="X200" s="487"/>
      <c r="Y200" s="489">
        <f t="shared" si="285"/>
        <v>0</v>
      </c>
      <c r="Z200" s="491">
        <f t="shared" si="286"/>
        <v>5.5699999999999994</v>
      </c>
      <c r="AA200" s="237">
        <f t="shared" si="287"/>
        <v>0</v>
      </c>
      <c r="AB200" s="452">
        <f t="shared" si="440"/>
        <v>5.5699999999999994</v>
      </c>
      <c r="AC200" s="201">
        <f t="shared" si="288"/>
        <v>0</v>
      </c>
      <c r="AD200" s="203">
        <f t="shared" si="441"/>
        <v>0</v>
      </c>
      <c r="AE200" s="37" t="str">
        <f t="shared" si="289"/>
        <v/>
      </c>
      <c r="AF200" s="202">
        <f t="shared" si="442"/>
        <v>0</v>
      </c>
      <c r="AG200" s="201">
        <f t="shared" si="443"/>
        <v>0</v>
      </c>
      <c r="AH200" s="61">
        <f t="shared" si="290"/>
        <v>5.5699999999999994</v>
      </c>
      <c r="AI200" s="443">
        <f t="shared" si="397"/>
        <v>0</v>
      </c>
      <c r="AJ200" s="444">
        <f t="shared" si="444"/>
        <v>0</v>
      </c>
      <c r="AK200" s="445">
        <f t="shared" si="445"/>
        <v>0</v>
      </c>
      <c r="AL200" s="446">
        <f t="shared" si="446"/>
        <v>0</v>
      </c>
      <c r="AM200" s="447">
        <f t="shared" si="447"/>
        <v>0</v>
      </c>
      <c r="AN200" s="24">
        <f t="shared" si="448"/>
        <v>5.5699999999999994</v>
      </c>
      <c r="AO200" s="443">
        <f t="shared" si="291"/>
        <v>0</v>
      </c>
      <c r="AP200" s="444">
        <f t="shared" si="449"/>
        <v>0</v>
      </c>
      <c r="AQ200" s="445">
        <f t="shared" si="450"/>
        <v>0</v>
      </c>
      <c r="AR200" s="446">
        <f t="shared" si="451"/>
        <v>0</v>
      </c>
      <c r="AS200" s="447">
        <f t="shared" si="452"/>
        <v>0</v>
      </c>
      <c r="AT200" s="24">
        <f t="shared" si="453"/>
        <v>5.5699999999999994</v>
      </c>
      <c r="AU200" s="443">
        <f t="shared" si="292"/>
        <v>0</v>
      </c>
      <c r="AV200" s="444">
        <f t="shared" si="454"/>
        <v>0</v>
      </c>
      <c r="AW200" s="445">
        <f t="shared" si="455"/>
        <v>0</v>
      </c>
      <c r="AX200" s="446">
        <f t="shared" si="456"/>
        <v>0</v>
      </c>
      <c r="AY200" s="447">
        <f t="shared" si="457"/>
        <v>0</v>
      </c>
      <c r="AZ200" s="24">
        <f t="shared" si="458"/>
        <v>5.5699999999999994</v>
      </c>
      <c r="BA200" s="43">
        <f>IF(BB200=0,0,
IF(D200=1,
(IF(AND(AH200&gt;'Данные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"ошибка_1"))))))),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"ошибка_2"))))))))</f>
        <v>0</v>
      </c>
      <c r="BB200" s="43">
        <f>IF(OR($AI$9=0,AND(D200&gt;1,F200&gt;10)),0,
IF(D200=1,
(IF(AND(AH200&gt;'Данные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"ошибка_1"))))))),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IF(AND(AH200&gt;'Данные ТНПА'!#REF!,AH200&lt;='Данные ТНПА'!#REF!),'Данные ТНПА'!#REF!,
"ошибка_2"))))))))</f>
        <v>0</v>
      </c>
      <c r="BC200" s="43">
        <f t="shared" si="459"/>
        <v>5.5699999999999994</v>
      </c>
      <c r="BD200" s="237">
        <f t="shared" si="460"/>
        <v>0</v>
      </c>
      <c r="BE200" s="43">
        <f t="shared" si="461"/>
        <v>0</v>
      </c>
      <c r="BF200" s="201">
        <f t="shared" si="462"/>
        <v>0</v>
      </c>
      <c r="BG200" s="201">
        <f t="shared" si="463"/>
        <v>0</v>
      </c>
      <c r="BH200" s="61">
        <f t="shared" si="464"/>
        <v>5.5699999999999994</v>
      </c>
      <c r="BI200" s="237">
        <f t="shared" si="465"/>
        <v>0</v>
      </c>
      <c r="BJ200" s="247">
        <f t="shared" si="466"/>
        <v>0</v>
      </c>
      <c r="BK200" s="431">
        <f t="shared" si="467"/>
        <v>0</v>
      </c>
      <c r="BL200" s="250">
        <f t="shared" si="468"/>
        <v>0</v>
      </c>
      <c r="BM200" s="237">
        <f t="shared" si="469"/>
        <v>0</v>
      </c>
      <c r="BN200" s="452">
        <f t="shared" si="470"/>
        <v>5.5699999999999994</v>
      </c>
      <c r="BO200" s="237">
        <f t="shared" si="471"/>
        <v>0</v>
      </c>
      <c r="BP200" s="432">
        <f t="shared" si="472"/>
        <v>0</v>
      </c>
      <c r="BQ200" s="22" t="str">
        <f t="shared" si="473"/>
        <v/>
      </c>
      <c r="BR200" s="250">
        <f t="shared" si="474"/>
        <v>0</v>
      </c>
      <c r="BS200" s="237">
        <f t="shared" si="475"/>
        <v>0</v>
      </c>
      <c r="BT200" s="452">
        <f t="shared" si="476"/>
        <v>5.5699999999999994</v>
      </c>
      <c r="BU200" s="492">
        <f t="shared" si="477"/>
        <v>0.92</v>
      </c>
      <c r="BV200" s="493">
        <f>IF(BT200="","",
IF(AND(BT200&gt;'Данные ТНПА'!$K$8,BT200&lt;='Данные ТНПА'!$L$8),'Данные ТНПА'!$N$8,
IF(AND(BT200&gt;'Данные ТНПА'!$K$9,BT200&lt;='Данные ТНПА'!$L$9),'Данные ТНПА'!$N$9,
IF(AND(BT200&gt;'Данные ТНПА'!$K$10,BT200&lt;='Данные ТНПА'!$L$10),'Данные ТНПА'!$N$10,
IF(AND(BT200&gt;'Данные ТНПА'!$K$11,BT200&lt;='Данные ТНПА'!$L$11),'Данные ТНПА'!$N$11,
IF(AND(BT200&gt;'Данные ТНПА'!$K$12,BT200&lt;='Данные ТНПА'!$L$12),'Данные ТНПА'!$N$12,
IF(AND(BT200&gt;'Данные ТНПА'!$K$13,BT200&lt;='Данные ТНПА'!$L$13),'Данные ТНПА'!$N$13,
IF(AND(BT200&gt;'Данные ТНПА'!$K$14,BT200&lt;='Данные ТНПА'!$L$14),'Данные ТНПА'!$N$14))))))))</f>
        <v>1.2</v>
      </c>
      <c r="BW200" s="493">
        <f t="shared" si="478"/>
        <v>7.9699999999999989</v>
      </c>
      <c r="BX200" s="457">
        <f t="shared" si="293"/>
        <v>135</v>
      </c>
      <c r="BY200" s="457">
        <f t="shared" si="294"/>
        <v>0</v>
      </c>
      <c r="BZ200" s="457">
        <f t="shared" si="295"/>
        <v>27.034070801782736</v>
      </c>
      <c r="CA200" s="457" t="e">
        <f t="shared" si="479"/>
        <v>#REF!</v>
      </c>
      <c r="CB200" s="458">
        <f t="shared" si="480"/>
        <v>0</v>
      </c>
      <c r="CC200" s="457">
        <f t="shared" si="481"/>
        <v>0</v>
      </c>
      <c r="CD200" s="457">
        <f t="shared" si="482"/>
        <v>0</v>
      </c>
      <c r="CE200" s="457">
        <f t="shared" si="483"/>
        <v>0</v>
      </c>
      <c r="CF200" s="457">
        <f t="shared" si="484"/>
        <v>0</v>
      </c>
      <c r="CG200" s="458">
        <f t="shared" si="296"/>
        <v>0</v>
      </c>
      <c r="CH200" s="457">
        <f t="shared" si="485"/>
        <v>0</v>
      </c>
      <c r="CI200" s="457">
        <f t="shared" si="486"/>
        <v>0</v>
      </c>
      <c r="CJ200" s="458">
        <f t="shared" si="487"/>
        <v>0</v>
      </c>
      <c r="CK200" s="458">
        <f t="shared" si="297"/>
        <v>37.160466933063617</v>
      </c>
      <c r="CL200" s="457">
        <f t="shared" si="298"/>
        <v>199.19453773484636</v>
      </c>
      <c r="CM200" s="504"/>
      <c r="CN200" s="504"/>
    </row>
    <row r="201" spans="1:92" ht="14.25" hidden="1" customHeight="1" x14ac:dyDescent="0.25">
      <c r="A201" s="389" t="str">
        <f>IF(D201="",CONCATENATE("Кабель ",IF(C201="а","А",""),$A$9),CONCATENATE("Кабель ",IF(C201="а","А",""),$A$9," ",D201,"*",F201,IF(G201="ок"," (ож)","")," - ",B201," ",IF(G201="мс"," фас. ",""),$A$2))</f>
        <v>Кабель АВВГ 1*70 - 1 ГОСТ 16442-80</v>
      </c>
      <c r="B201" s="450">
        <v>1</v>
      </c>
      <c r="C201" s="451" t="s">
        <v>164</v>
      </c>
      <c r="D201" s="412">
        <v>1</v>
      </c>
      <c r="E201" s="413" t="s">
        <v>40</v>
      </c>
      <c r="F201" s="423">
        <v>70</v>
      </c>
      <c r="G201" s="414" t="s">
        <v>154</v>
      </c>
      <c r="H201" s="461">
        <v>2.25</v>
      </c>
      <c r="I201" s="478">
        <v>19</v>
      </c>
      <c r="J201" s="477" t="s">
        <v>40</v>
      </c>
      <c r="K201" s="470">
        <f>ROUNDUP(SQRT(F201/I201/PI()*4*1.07),2)</f>
        <v>2.25</v>
      </c>
      <c r="L201" s="501">
        <v>3.57</v>
      </c>
      <c r="M201" s="475"/>
      <c r="N201" s="475"/>
      <c r="O201" s="475"/>
      <c r="P201" s="475"/>
      <c r="Q201" s="483">
        <f t="shared" si="439"/>
        <v>1.1599999999999999</v>
      </c>
      <c r="R201" s="484">
        <f>IF(B201=0.66,VLOOKUP(F201,'Данные ТНПА'!$B$8:$C$16,2,0),
IF(B201=1,VLOOKUP(F201,'Данные ТНПА'!$B$17:$C$37,2,0),"ошибка"))</f>
        <v>1.4</v>
      </c>
      <c r="S201" s="485">
        <f t="shared" si="283"/>
        <v>5.89</v>
      </c>
      <c r="T201" s="486"/>
      <c r="U201" s="487"/>
      <c r="V201" s="485">
        <f t="shared" si="284"/>
        <v>6.3699999999999992</v>
      </c>
      <c r="W201" s="486"/>
      <c r="X201" s="487"/>
      <c r="Y201" s="489">
        <f t="shared" si="285"/>
        <v>0</v>
      </c>
      <c r="Z201" s="491">
        <f t="shared" si="286"/>
        <v>6.3699999999999992</v>
      </c>
      <c r="AA201" s="237">
        <f t="shared" si="287"/>
        <v>0</v>
      </c>
      <c r="AB201" s="452">
        <f t="shared" si="440"/>
        <v>6.3699999999999992</v>
      </c>
      <c r="AC201" s="201">
        <f t="shared" si="288"/>
        <v>0</v>
      </c>
      <c r="AD201" s="203">
        <f t="shared" si="441"/>
        <v>0</v>
      </c>
      <c r="AE201" s="37" t="str">
        <f t="shared" si="289"/>
        <v/>
      </c>
      <c r="AF201" s="202">
        <f t="shared" si="442"/>
        <v>0</v>
      </c>
      <c r="AG201" s="201">
        <f t="shared" si="443"/>
        <v>0</v>
      </c>
      <c r="AH201" s="61">
        <f t="shared" si="290"/>
        <v>6.3699999999999992</v>
      </c>
      <c r="AI201" s="443">
        <f t="shared" si="397"/>
        <v>0</v>
      </c>
      <c r="AJ201" s="444">
        <f t="shared" si="444"/>
        <v>0</v>
      </c>
      <c r="AK201" s="445">
        <f t="shared" si="445"/>
        <v>0</v>
      </c>
      <c r="AL201" s="446">
        <f t="shared" si="446"/>
        <v>0</v>
      </c>
      <c r="AM201" s="447">
        <f t="shared" si="447"/>
        <v>0</v>
      </c>
      <c r="AN201" s="24">
        <f t="shared" si="448"/>
        <v>6.3699999999999992</v>
      </c>
      <c r="AO201" s="443">
        <f t="shared" si="291"/>
        <v>0</v>
      </c>
      <c r="AP201" s="444">
        <f t="shared" si="449"/>
        <v>0</v>
      </c>
      <c r="AQ201" s="445">
        <f t="shared" si="450"/>
        <v>0</v>
      </c>
      <c r="AR201" s="446">
        <f t="shared" si="451"/>
        <v>0</v>
      </c>
      <c r="AS201" s="447">
        <f t="shared" si="452"/>
        <v>0</v>
      </c>
      <c r="AT201" s="24">
        <f t="shared" si="453"/>
        <v>6.3699999999999992</v>
      </c>
      <c r="AU201" s="443">
        <f t="shared" si="292"/>
        <v>0</v>
      </c>
      <c r="AV201" s="444">
        <f t="shared" si="454"/>
        <v>0</v>
      </c>
      <c r="AW201" s="445">
        <f t="shared" si="455"/>
        <v>0</v>
      </c>
      <c r="AX201" s="446">
        <f t="shared" si="456"/>
        <v>0</v>
      </c>
      <c r="AY201" s="447">
        <f t="shared" si="457"/>
        <v>0</v>
      </c>
      <c r="AZ201" s="24">
        <f t="shared" si="458"/>
        <v>6.3699999999999992</v>
      </c>
      <c r="BA201" s="43">
        <f>IF(BB201=0,0,
IF(D201=1,
(IF(AND(AH201&gt;'Данные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"ошибка_1"))))))),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"ошибка_2"))))))))</f>
        <v>0</v>
      </c>
      <c r="BB201" s="43">
        <f>IF(OR($AI$9=0,AND(D201&gt;1,F201&gt;10)),0,
IF(D201=1,
(IF(AND(AH201&gt;'Данные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"ошибка_1"))))))),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IF(AND(AH201&gt;'Данные ТНПА'!#REF!,AH201&lt;='Данные ТНПА'!#REF!),'Данные ТНПА'!#REF!,
"ошибка_2"))))))))</f>
        <v>0</v>
      </c>
      <c r="BC201" s="43">
        <f t="shared" si="459"/>
        <v>6.3699999999999992</v>
      </c>
      <c r="BD201" s="237">
        <f t="shared" si="460"/>
        <v>0</v>
      </c>
      <c r="BE201" s="43">
        <f t="shared" si="461"/>
        <v>0</v>
      </c>
      <c r="BF201" s="201">
        <f t="shared" si="462"/>
        <v>0</v>
      </c>
      <c r="BG201" s="201">
        <f t="shared" si="463"/>
        <v>0</v>
      </c>
      <c r="BH201" s="61">
        <f t="shared" si="464"/>
        <v>6.3699999999999992</v>
      </c>
      <c r="BI201" s="237">
        <f t="shared" si="465"/>
        <v>0</v>
      </c>
      <c r="BJ201" s="247">
        <f t="shared" si="466"/>
        <v>0</v>
      </c>
      <c r="BK201" s="431">
        <f t="shared" si="467"/>
        <v>0</v>
      </c>
      <c r="BL201" s="250">
        <f t="shared" si="468"/>
        <v>0</v>
      </c>
      <c r="BM201" s="237">
        <f t="shared" si="469"/>
        <v>0</v>
      </c>
      <c r="BN201" s="452">
        <f t="shared" si="470"/>
        <v>6.3699999999999992</v>
      </c>
      <c r="BO201" s="237">
        <f t="shared" si="471"/>
        <v>0</v>
      </c>
      <c r="BP201" s="432">
        <f t="shared" si="472"/>
        <v>0</v>
      </c>
      <c r="BQ201" s="22" t="str">
        <f t="shared" si="473"/>
        <v/>
      </c>
      <c r="BR201" s="250">
        <f t="shared" si="474"/>
        <v>0</v>
      </c>
      <c r="BS201" s="237">
        <f t="shared" si="475"/>
        <v>0</v>
      </c>
      <c r="BT201" s="452">
        <f t="shared" si="476"/>
        <v>6.3699999999999992</v>
      </c>
      <c r="BU201" s="492">
        <f t="shared" si="477"/>
        <v>1.1749999999999998</v>
      </c>
      <c r="BV201" s="493">
        <f>IF(BT201="","",
IF(AND(BT201&gt;'Данные ТНПА'!$K$8,BT201&lt;='Данные ТНПА'!$L$8),'Данные ТНПА'!$N$8,
IF(AND(BT201&gt;'Данные ТНПА'!$K$9,BT201&lt;='Данные ТНПА'!$L$9),'Данные ТНПА'!$N$9,
IF(AND(BT201&gt;'Данные ТНПА'!$K$10,BT201&lt;='Данные ТНПА'!$L$10),'Данные ТНПА'!$N$10,
IF(AND(BT201&gt;'Данные ТНПА'!$K$11,BT201&lt;='Данные ТНПА'!$L$11),'Данные ТНПА'!$N$11,
IF(AND(BT201&gt;'Данные ТНПА'!$K$12,BT201&lt;='Данные ТНПА'!$L$12),'Данные ТНПА'!$N$12,
IF(AND(BT201&gt;'Данные ТНПА'!$K$13,BT201&lt;='Данные ТНПА'!$L$13),'Данные ТНПА'!$N$13,
IF(AND(BT201&gt;'Данные ТНПА'!$K$14,BT201&lt;='Данные ТНПА'!$L$14),'Данные ТНПА'!$N$14))))))))</f>
        <v>1.5</v>
      </c>
      <c r="BW201" s="493">
        <f t="shared" si="478"/>
        <v>9.3699999999999992</v>
      </c>
      <c r="BX201" s="457">
        <f t="shared" si="293"/>
        <v>189</v>
      </c>
      <c r="BY201" s="457">
        <f t="shared" si="294"/>
        <v>0</v>
      </c>
      <c r="BZ201" s="457">
        <f t="shared" si="295"/>
        <v>32.220463281741047</v>
      </c>
      <c r="CA201" s="457" t="e">
        <f t="shared" si="479"/>
        <v>#REF!</v>
      </c>
      <c r="CB201" s="458">
        <f t="shared" si="480"/>
        <v>0</v>
      </c>
      <c r="CC201" s="457">
        <f t="shared" si="481"/>
        <v>0</v>
      </c>
      <c r="CD201" s="457">
        <f t="shared" si="482"/>
        <v>0</v>
      </c>
      <c r="CE201" s="457">
        <f t="shared" si="483"/>
        <v>0</v>
      </c>
      <c r="CF201" s="457">
        <f t="shared" si="484"/>
        <v>0</v>
      </c>
      <c r="CG201" s="458">
        <f t="shared" si="296"/>
        <v>0</v>
      </c>
      <c r="CH201" s="457">
        <f t="shared" si="485"/>
        <v>0</v>
      </c>
      <c r="CI201" s="457">
        <f t="shared" si="486"/>
        <v>0</v>
      </c>
      <c r="CJ201" s="458">
        <f t="shared" si="487"/>
        <v>0</v>
      </c>
      <c r="CK201" s="458">
        <f t="shared" si="297"/>
        <v>53.997945857313653</v>
      </c>
      <c r="CL201" s="457">
        <f t="shared" si="298"/>
        <v>275.2184091390547</v>
      </c>
      <c r="CM201" s="504"/>
      <c r="CN201" s="504"/>
    </row>
    <row r="202" spans="1:92" ht="14.25" hidden="1" customHeight="1" x14ac:dyDescent="0.25">
      <c r="A202" s="389" t="str">
        <f>IF(D202="",CONCATENATE("Кабель ",IF(C202="а","А",""),$A$9),CONCATENATE("Кабель ",IF(C202="а","А",""),$A$9," ",D202,"*",F202,IF(G202="ок"," (ож)","")," - ",B202," ",IF(G202="мс"," фас. ",""),$A$2))</f>
        <v>Кабель АВВГ 1*95 - 1 ГОСТ 16442-80</v>
      </c>
      <c r="B202" s="450">
        <v>1</v>
      </c>
      <c r="C202" s="451" t="s">
        <v>164</v>
      </c>
      <c r="D202" s="412">
        <v>1</v>
      </c>
      <c r="E202" s="413" t="s">
        <v>40</v>
      </c>
      <c r="F202" s="423">
        <v>95</v>
      </c>
      <c r="G202" s="414" t="s">
        <v>154</v>
      </c>
      <c r="H202" s="461">
        <v>2.61</v>
      </c>
      <c r="I202" s="478">
        <v>19</v>
      </c>
      <c r="J202" s="477" t="s">
        <v>40</v>
      </c>
      <c r="K202" s="470">
        <f>ROUNDUP(SQRT(F202/I202/PI()*4*1.07),2)</f>
        <v>2.61</v>
      </c>
      <c r="L202" s="501">
        <v>4.5199999999999996</v>
      </c>
      <c r="M202" s="475"/>
      <c r="N202" s="475"/>
      <c r="O202" s="475"/>
      <c r="P202" s="475"/>
      <c r="Q202" s="483">
        <f t="shared" si="439"/>
        <v>1.34</v>
      </c>
      <c r="R202" s="484">
        <f>IF(B202=0.66,VLOOKUP(F202,'Данные ТНПА'!$B$8:$C$16,2,0),
IF(B202=1,VLOOKUP(F202,'Данные ТНПА'!$B$17:$C$37,2,0),"ошибка"))</f>
        <v>1.6</v>
      </c>
      <c r="S202" s="485">
        <f t="shared" ref="S202:S261" si="488">IF(I202=1,K202+2*Q202,L202+2*Q202)</f>
        <v>7.1999999999999993</v>
      </c>
      <c r="T202" s="486"/>
      <c r="U202" s="487"/>
      <c r="V202" s="485">
        <f t="shared" ref="V202:V261" si="489">IF(I202=1,K202+2*R202,L202+2*R202)</f>
        <v>7.72</v>
      </c>
      <c r="W202" s="486"/>
      <c r="X202" s="487"/>
      <c r="Y202" s="489">
        <f t="shared" ref="Y202:Y261" si="490">IF(V202="","",ROUND(V202*IF(AND(D202=4,F202&gt;16),0.414,IF(D202=5,0.702,0)),1))</f>
        <v>0</v>
      </c>
      <c r="Z202" s="491">
        <f t="shared" ref="Z202:Z261" si="491">IF(R202="","",
IF(G202="мс",2*(V202+(N202+R202)*(1/COS(PI()*(D202-2)/(2*D202))-1)),
IF(D202=1,V202*1,IF(D202=2,V202*2,IF(D202=3,V202*2.15,IF(D202=4,V202*2.41,IF(D202=5,V202*2.7,"ошибка")))))))</f>
        <v>7.72</v>
      </c>
      <c r="AA202" s="237">
        <f t="shared" ref="AA202:AA261" si="492">IF(G202="","",IF(G202="мс",$AA$9,0))</f>
        <v>0</v>
      </c>
      <c r="AB202" s="452">
        <f t="shared" si="440"/>
        <v>7.72</v>
      </c>
      <c r="AC202" s="201">
        <f t="shared" ref="AC202:AC261" si="493">IF(G202="","",IF(G202="мс",$AC$9,0))</f>
        <v>0</v>
      </c>
      <c r="AD202" s="203">
        <f t="shared" si="441"/>
        <v>0</v>
      </c>
      <c r="AE202" s="37" t="str">
        <f t="shared" ref="AE202:AE261" si="494">IF(Z202="","",IF(AND(G202="мс",AC202&gt;0),"×",""))</f>
        <v/>
      </c>
      <c r="AF202" s="202">
        <f t="shared" si="442"/>
        <v>0</v>
      </c>
      <c r="AG202" s="201">
        <f t="shared" si="443"/>
        <v>0</v>
      </c>
      <c r="AH202" s="61">
        <f t="shared" ref="AH202:AH261" si="495">IF(Z202="","",IF(AND(G202="мс",AC202&gt;0),Z202+2*AC202*AD202*IF(AG202&lt;=25,1,IF(AG202&gt;33,2,1.5)),Z202))</f>
        <v>7.72</v>
      </c>
      <c r="AI202" s="443">
        <f t="shared" si="397"/>
        <v>0</v>
      </c>
      <c r="AJ202" s="444">
        <f t="shared" si="444"/>
        <v>0</v>
      </c>
      <c r="AK202" s="445">
        <f t="shared" si="445"/>
        <v>0</v>
      </c>
      <c r="AL202" s="446">
        <f t="shared" si="446"/>
        <v>0</v>
      </c>
      <c r="AM202" s="447">
        <f t="shared" si="447"/>
        <v>0</v>
      </c>
      <c r="AN202" s="24">
        <f t="shared" si="448"/>
        <v>7.72</v>
      </c>
      <c r="AO202" s="443">
        <f t="shared" ref="AO202:AO261" si="496">IF(OR(AI202=0,AN202&lt;=10,AN202&gt;23,AND(D202&gt;1,F202&lt;=10,OR(G202="ок",G202="мк"))),0,1)</f>
        <v>0</v>
      </c>
      <c r="AP202" s="444">
        <f t="shared" si="449"/>
        <v>0</v>
      </c>
      <c r="AQ202" s="445">
        <f t="shared" si="450"/>
        <v>0</v>
      </c>
      <c r="AR202" s="446">
        <f t="shared" si="451"/>
        <v>0</v>
      </c>
      <c r="AS202" s="447">
        <f t="shared" si="452"/>
        <v>0</v>
      </c>
      <c r="AT202" s="24">
        <f t="shared" si="453"/>
        <v>7.72</v>
      </c>
      <c r="AU202" s="443">
        <f t="shared" ref="AU202:AU261" si="497">IF(OR(AI202=0,D202=1,AN202&lt;=23),0,1)</f>
        <v>0</v>
      </c>
      <c r="AV202" s="444">
        <f t="shared" si="454"/>
        <v>0</v>
      </c>
      <c r="AW202" s="445">
        <f t="shared" si="455"/>
        <v>0</v>
      </c>
      <c r="AX202" s="446">
        <f t="shared" si="456"/>
        <v>0</v>
      </c>
      <c r="AY202" s="447">
        <f t="shared" si="457"/>
        <v>0</v>
      </c>
      <c r="AZ202" s="24">
        <f t="shared" si="458"/>
        <v>7.72</v>
      </c>
      <c r="BA202" s="43">
        <f>IF(BB202=0,0,
IF(D202=1,
(IF(AND(AH202&gt;'Данные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"ошибка_1"))))))),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"ошибка_2"))))))))</f>
        <v>0</v>
      </c>
      <c r="BB202" s="43">
        <f>IF(OR($AI$9=0,AND(D202&gt;1,F202&gt;10)),0,
IF(D202=1,
(IF(AND(AH202&gt;'Данные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"ошибка_1"))))))),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IF(AND(AH202&gt;'Данные ТНПА'!#REF!,AH202&lt;='Данные ТНПА'!#REF!),'Данные ТНПА'!#REF!,
"ошибка_2"))))))))</f>
        <v>0</v>
      </c>
      <c r="BC202" s="43">
        <f t="shared" si="459"/>
        <v>7.72</v>
      </c>
      <c r="BD202" s="237">
        <f t="shared" si="460"/>
        <v>0</v>
      </c>
      <c r="BE202" s="43">
        <f t="shared" si="461"/>
        <v>0</v>
      </c>
      <c r="BF202" s="201">
        <f t="shared" si="462"/>
        <v>0</v>
      </c>
      <c r="BG202" s="201">
        <f t="shared" si="463"/>
        <v>0</v>
      </c>
      <c r="BH202" s="61">
        <f t="shared" si="464"/>
        <v>7.72</v>
      </c>
      <c r="BI202" s="237">
        <f t="shared" si="465"/>
        <v>0</v>
      </c>
      <c r="BJ202" s="247">
        <f t="shared" si="466"/>
        <v>0</v>
      </c>
      <c r="BK202" s="431">
        <f t="shared" si="467"/>
        <v>0</v>
      </c>
      <c r="BL202" s="250">
        <f t="shared" si="468"/>
        <v>0</v>
      </c>
      <c r="BM202" s="237">
        <f t="shared" si="469"/>
        <v>0</v>
      </c>
      <c r="BN202" s="452">
        <f t="shared" si="470"/>
        <v>7.72</v>
      </c>
      <c r="BO202" s="237">
        <f t="shared" si="471"/>
        <v>0</v>
      </c>
      <c r="BP202" s="432">
        <f t="shared" si="472"/>
        <v>0</v>
      </c>
      <c r="BQ202" s="22" t="str">
        <f t="shared" si="473"/>
        <v/>
      </c>
      <c r="BR202" s="250">
        <f t="shared" si="474"/>
        <v>0</v>
      </c>
      <c r="BS202" s="237">
        <f t="shared" si="475"/>
        <v>0</v>
      </c>
      <c r="BT202" s="452">
        <f t="shared" si="476"/>
        <v>7.72</v>
      </c>
      <c r="BU202" s="492">
        <f t="shared" si="477"/>
        <v>1.1749999999999998</v>
      </c>
      <c r="BV202" s="493">
        <f>IF(BT202="","",
IF(AND(BT202&gt;'Данные ТНПА'!$K$8,BT202&lt;='Данные ТНПА'!$L$8),'Данные ТНПА'!$N$8,
IF(AND(BT202&gt;'Данные ТНПА'!$K$9,BT202&lt;='Данные ТНПА'!$L$9),'Данные ТНПА'!$N$9,
IF(AND(BT202&gt;'Данные ТНПА'!$K$10,BT202&lt;='Данные ТНПА'!$L$10),'Данные ТНПА'!$N$10,
IF(AND(BT202&gt;'Данные ТНПА'!$K$11,BT202&lt;='Данные ТНПА'!$L$11),'Данные ТНПА'!$N$11,
IF(AND(BT202&gt;'Данные ТНПА'!$K$12,BT202&lt;='Данные ТНПА'!$L$12),'Данные ТНПА'!$N$12,
IF(AND(BT202&gt;'Данные ТНПА'!$K$13,BT202&lt;='Данные ТНПА'!$L$13),'Данные ТНПА'!$N$13,
IF(AND(BT202&gt;'Данные ТНПА'!$K$14,BT202&lt;='Данные ТНПА'!$L$14),'Данные ТНПА'!$N$14))))))))</f>
        <v>1.5</v>
      </c>
      <c r="BW202" s="493">
        <f t="shared" si="478"/>
        <v>10.719999999999999</v>
      </c>
      <c r="BX202" s="457">
        <f t="shared" ref="BX202:BX261" si="498">IF(C202="а",F202*$BX$9*D202*IF(D202&gt;1,1.007,1),0)</f>
        <v>256.5</v>
      </c>
      <c r="BY202" s="457">
        <f t="shared" ref="BY202:BY261" si="499">IF(C202="а",0,F202*$BY$9*D202*IF(D202&gt;1,1.007,1))</f>
        <v>0</v>
      </c>
      <c r="BZ202" s="457">
        <f t="shared" ref="BZ202:BZ261" si="500">IF(G202="мс",PI()*(P202/PI()+R202)*R202*$BZ$9*1.13*D202*1.007,
PI()*(IF(I202=1,K202,L202)+R202)*R202*$BZ$9*D202*IF(D202&gt;1,1.007,1)*IF(I202=1,1,(IF(F202&gt;=4,1.1,1.07))))</f>
        <v>45.343888539064153</v>
      </c>
      <c r="CA202" s="457" t="e">
        <f t="shared" si="479"/>
        <v>#REF!</v>
      </c>
      <c r="CB202" s="458">
        <f t="shared" si="480"/>
        <v>0</v>
      </c>
      <c r="CC202" s="457">
        <f t="shared" si="481"/>
        <v>0</v>
      </c>
      <c r="CD202" s="457">
        <f t="shared" si="482"/>
        <v>0</v>
      </c>
      <c r="CE202" s="457">
        <f t="shared" si="483"/>
        <v>0</v>
      </c>
      <c r="CF202" s="457">
        <f t="shared" si="484"/>
        <v>0</v>
      </c>
      <c r="CG202" s="458">
        <f t="shared" ref="CG202:CG261" si="501">IF(CB202="","",
IF(BB202=0,0,
IF(AND(G202="мс",AC202=0),(PI()*BC202^2/4-D202*(O202+PI()*(P202/PI()+R202)*R202)-((POWER((N202+R202),2)*(D202*TAN(PI()*((D202-2)/(2*D202)))-(PI()*(D202-2)/2)))))*$CG$9,
IF(AND(D202&gt;1,OR(G202="ок",G202="мк")),(PI()*BC202^2/4-PI()*V202^2*(D202+2)/8-D202*(SIN(PI()*(D202-2)/D202))/2*(AB202/2-V202/2)^2)*$CG$9,
PI()*(AB202+BB202)*BB202*1.07*$CG$9))))</f>
        <v>0</v>
      </c>
      <c r="CH202" s="457">
        <f t="shared" si="485"/>
        <v>0</v>
      </c>
      <c r="CI202" s="457">
        <f t="shared" si="486"/>
        <v>0</v>
      </c>
      <c r="CJ202" s="458">
        <f t="shared" si="487"/>
        <v>0</v>
      </c>
      <c r="CK202" s="458">
        <f t="shared" si="297"/>
        <v>63.260617637157779</v>
      </c>
      <c r="CL202" s="457">
        <f t="shared" si="298"/>
        <v>365.10450617622195</v>
      </c>
      <c r="CM202" s="504"/>
      <c r="CN202" s="504"/>
    </row>
    <row r="203" spans="1:92" ht="14.25" hidden="1" customHeight="1" x14ac:dyDescent="0.25">
      <c r="A203" s="389" t="str">
        <f>IF(D203="",CONCATENATE("Кабель ",IF(C203="а","А",""),$A$9),CONCATENATE("Кабель ",IF(C203="а","А",""),$A$9," ",D203,"*",F203,IF(G203="ок"," (ож)","")," - ",B203," ",IF(G203="мс"," фас. ",""),$A$2))</f>
        <v>Кабель АВВГ 1*120 - 1 ГОСТ 16442-80</v>
      </c>
      <c r="B203" s="450">
        <v>1</v>
      </c>
      <c r="C203" s="451" t="s">
        <v>164</v>
      </c>
      <c r="D203" s="412">
        <v>1</v>
      </c>
      <c r="E203" s="413" t="s">
        <v>40</v>
      </c>
      <c r="F203" s="423">
        <v>120</v>
      </c>
      <c r="G203" s="414" t="s">
        <v>154</v>
      </c>
      <c r="H203" s="461">
        <v>2.94</v>
      </c>
      <c r="I203" s="478">
        <v>19</v>
      </c>
      <c r="J203" s="477" t="s">
        <v>40</v>
      </c>
      <c r="K203" s="470">
        <f>ROUNDUP(SQRT(F203/I203/PI()*4*1.07),2)</f>
        <v>2.94</v>
      </c>
      <c r="L203" s="501">
        <v>5.6499999999999995</v>
      </c>
      <c r="M203" s="475"/>
      <c r="N203" s="475"/>
      <c r="O203" s="475"/>
      <c r="P203" s="475"/>
      <c r="Q203" s="483">
        <f t="shared" si="439"/>
        <v>1.34</v>
      </c>
      <c r="R203" s="484">
        <f>IF(B203=0.66,VLOOKUP(F203,'Данные ТНПА'!$B$8:$C$16,2,0),
IF(B203=1,VLOOKUP(F203,'Данные ТНПА'!$B$17:$C$37,2,0),"ошибка"))</f>
        <v>1.6</v>
      </c>
      <c r="S203" s="485">
        <f t="shared" si="488"/>
        <v>8.33</v>
      </c>
      <c r="T203" s="486"/>
      <c r="U203" s="487"/>
      <c r="V203" s="485">
        <f t="shared" si="489"/>
        <v>8.85</v>
      </c>
      <c r="W203" s="486"/>
      <c r="X203" s="487"/>
      <c r="Y203" s="489">
        <f t="shared" si="490"/>
        <v>0</v>
      </c>
      <c r="Z203" s="491">
        <f t="shared" si="491"/>
        <v>8.85</v>
      </c>
      <c r="AA203" s="237">
        <f t="shared" si="492"/>
        <v>0</v>
      </c>
      <c r="AB203" s="452">
        <f t="shared" si="440"/>
        <v>8.85</v>
      </c>
      <c r="AC203" s="201">
        <f t="shared" si="493"/>
        <v>0</v>
      </c>
      <c r="AD203" s="203">
        <f t="shared" si="441"/>
        <v>0</v>
      </c>
      <c r="AE203" s="37" t="str">
        <f t="shared" si="494"/>
        <v/>
      </c>
      <c r="AF203" s="202">
        <f t="shared" si="442"/>
        <v>0</v>
      </c>
      <c r="AG203" s="201">
        <f t="shared" si="443"/>
        <v>0</v>
      </c>
      <c r="AH203" s="61">
        <f t="shared" si="495"/>
        <v>8.85</v>
      </c>
      <c r="AI203" s="443">
        <f t="shared" si="397"/>
        <v>0</v>
      </c>
      <c r="AJ203" s="444">
        <f t="shared" si="444"/>
        <v>0</v>
      </c>
      <c r="AK203" s="445">
        <f t="shared" si="445"/>
        <v>0</v>
      </c>
      <c r="AL203" s="446">
        <f t="shared" si="446"/>
        <v>0</v>
      </c>
      <c r="AM203" s="447">
        <f t="shared" si="447"/>
        <v>0</v>
      </c>
      <c r="AN203" s="24">
        <f t="shared" si="448"/>
        <v>8.85</v>
      </c>
      <c r="AO203" s="443">
        <f t="shared" si="496"/>
        <v>0</v>
      </c>
      <c r="AP203" s="444">
        <f t="shared" si="449"/>
        <v>0</v>
      </c>
      <c r="AQ203" s="445">
        <f t="shared" si="450"/>
        <v>0</v>
      </c>
      <c r="AR203" s="446">
        <f t="shared" si="451"/>
        <v>0</v>
      </c>
      <c r="AS203" s="447">
        <f t="shared" si="452"/>
        <v>0</v>
      </c>
      <c r="AT203" s="24">
        <f t="shared" si="453"/>
        <v>8.85</v>
      </c>
      <c r="AU203" s="443">
        <f t="shared" si="497"/>
        <v>0</v>
      </c>
      <c r="AV203" s="444">
        <f t="shared" si="454"/>
        <v>0</v>
      </c>
      <c r="AW203" s="445">
        <f t="shared" si="455"/>
        <v>0</v>
      </c>
      <c r="AX203" s="446">
        <f t="shared" si="456"/>
        <v>0</v>
      </c>
      <c r="AY203" s="447">
        <f t="shared" si="457"/>
        <v>0</v>
      </c>
      <c r="AZ203" s="24">
        <f t="shared" si="458"/>
        <v>8.85</v>
      </c>
      <c r="BA203" s="43">
        <f>IF(BB203=0,0,
IF(D203=1,
(IF(AND(AH203&gt;'Данные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"ошибка_1"))))))),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"ошибка_2"))))))))</f>
        <v>0</v>
      </c>
      <c r="BB203" s="43">
        <f>IF(OR($AI$9=0,AND(D203&gt;1,F203&gt;10)),0,
IF(D203=1,
(IF(AND(AH203&gt;'Данные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"ошибка_1"))))))),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IF(AND(AH203&gt;'Данные ТНПА'!#REF!,AH203&lt;='Данные ТНПА'!#REF!),'Данные ТНПА'!#REF!,
"ошибка_2"))))))))</f>
        <v>0</v>
      </c>
      <c r="BC203" s="43">
        <f t="shared" si="459"/>
        <v>8.85</v>
      </c>
      <c r="BD203" s="237">
        <f t="shared" si="460"/>
        <v>0</v>
      </c>
      <c r="BE203" s="43">
        <f t="shared" si="461"/>
        <v>0</v>
      </c>
      <c r="BF203" s="201">
        <f t="shared" si="462"/>
        <v>0</v>
      </c>
      <c r="BG203" s="201">
        <f t="shared" si="463"/>
        <v>0</v>
      </c>
      <c r="BH203" s="61">
        <f t="shared" si="464"/>
        <v>8.85</v>
      </c>
      <c r="BI203" s="237">
        <f t="shared" si="465"/>
        <v>0</v>
      </c>
      <c r="BJ203" s="247">
        <f t="shared" si="466"/>
        <v>0</v>
      </c>
      <c r="BK203" s="431">
        <f t="shared" si="467"/>
        <v>0</v>
      </c>
      <c r="BL203" s="250">
        <f t="shared" si="468"/>
        <v>0</v>
      </c>
      <c r="BM203" s="237">
        <f t="shared" si="469"/>
        <v>0</v>
      </c>
      <c r="BN203" s="452">
        <f t="shared" si="470"/>
        <v>8.85</v>
      </c>
      <c r="BO203" s="237">
        <f t="shared" si="471"/>
        <v>0</v>
      </c>
      <c r="BP203" s="432">
        <f t="shared" si="472"/>
        <v>0</v>
      </c>
      <c r="BQ203" s="22" t="str">
        <f t="shared" si="473"/>
        <v/>
      </c>
      <c r="BR203" s="250">
        <f t="shared" si="474"/>
        <v>0</v>
      </c>
      <c r="BS203" s="237">
        <f t="shared" si="475"/>
        <v>0</v>
      </c>
      <c r="BT203" s="452">
        <f t="shared" si="476"/>
        <v>8.85</v>
      </c>
      <c r="BU203" s="492">
        <f t="shared" si="477"/>
        <v>1.1749999999999998</v>
      </c>
      <c r="BV203" s="493">
        <f>IF(BT203="","",
IF(AND(BT203&gt;'Данные ТНПА'!$K$8,BT203&lt;='Данные ТНПА'!$L$8),'Данные ТНПА'!$N$8,
IF(AND(BT203&gt;'Данные ТНПА'!$K$9,BT203&lt;='Данные ТНПА'!$L$9),'Данные ТНПА'!$N$9,
IF(AND(BT203&gt;'Данные ТНПА'!$K$10,BT203&lt;='Данные ТНПА'!$L$10),'Данные ТНПА'!$N$10,
IF(AND(BT203&gt;'Данные ТНПА'!$K$11,BT203&lt;='Данные ТНПА'!$L$11),'Данные ТНПА'!$N$11,
IF(AND(BT203&gt;'Данные ТНПА'!$K$12,BT203&lt;='Данные ТНПА'!$L$12),'Данные ТНПА'!$N$12,
IF(AND(BT203&gt;'Данные ТНПА'!$K$13,BT203&lt;='Данные ТНПА'!$L$13),'Данные ТНПА'!$N$13,
IF(AND(BT203&gt;'Данные ТНПА'!$K$14,BT203&lt;='Данные ТНПА'!$L$14),'Данные ТНПА'!$N$14))))))))</f>
        <v>1.5</v>
      </c>
      <c r="BW203" s="493">
        <f t="shared" si="478"/>
        <v>11.85</v>
      </c>
      <c r="BX203" s="457">
        <f t="shared" si="498"/>
        <v>324</v>
      </c>
      <c r="BY203" s="457">
        <f t="shared" si="499"/>
        <v>0</v>
      </c>
      <c r="BZ203" s="457">
        <f t="shared" si="500"/>
        <v>53.71620782813973</v>
      </c>
      <c r="CA203" s="457" t="e">
        <f t="shared" si="479"/>
        <v>#REF!</v>
      </c>
      <c r="CB203" s="458">
        <f t="shared" si="480"/>
        <v>0</v>
      </c>
      <c r="CC203" s="457">
        <f t="shared" si="481"/>
        <v>0</v>
      </c>
      <c r="CD203" s="457">
        <f t="shared" si="482"/>
        <v>0</v>
      </c>
      <c r="CE203" s="457">
        <f t="shared" si="483"/>
        <v>0</v>
      </c>
      <c r="CF203" s="457">
        <f t="shared" si="484"/>
        <v>0</v>
      </c>
      <c r="CG203" s="458">
        <f t="shared" si="501"/>
        <v>0</v>
      </c>
      <c r="CH203" s="457">
        <f t="shared" si="485"/>
        <v>0</v>
      </c>
      <c r="CI203" s="457">
        <f t="shared" si="486"/>
        <v>0</v>
      </c>
      <c r="CJ203" s="458">
        <f t="shared" si="487"/>
        <v>0</v>
      </c>
      <c r="CK203" s="458">
        <f t="shared" ref="CK203:CK234" si="502">PI()*(BT203+BV203)*BV203*IF($BI$9&gt;0,1.1,1.04)*$CK$9</f>
        <v>71.013816978805124</v>
      </c>
      <c r="CL203" s="457">
        <f t="shared" ref="CL203:CL261" si="503">BX203+BY203+BZ203+CK203</f>
        <v>448.73002480694481</v>
      </c>
      <c r="CM203" s="504"/>
      <c r="CN203" s="504"/>
    </row>
    <row r="204" spans="1:92" ht="14.25" hidden="1" customHeight="1" x14ac:dyDescent="0.25">
      <c r="A204" s="389" t="str">
        <f>IF(D204="",CONCATENATE("Кабель ",IF(C204="а","А",""),$A$9),CONCATENATE("Кабель ",IF(C204="а","А",""),$A$9," ",D204,"*",F204,IF(G204="ок"," (ож)","")," - ",B204," ",IF(G204="мс"," фас. ",""),$A$2))</f>
        <v>Кабель АВВГ 1*150 - 1 ГОСТ 16442-80</v>
      </c>
      <c r="B204" s="450">
        <v>1</v>
      </c>
      <c r="C204" s="451" t="s">
        <v>164</v>
      </c>
      <c r="D204" s="412">
        <v>1</v>
      </c>
      <c r="E204" s="413" t="s">
        <v>40</v>
      </c>
      <c r="F204" s="423">
        <v>150</v>
      </c>
      <c r="G204" s="414" t="s">
        <v>154</v>
      </c>
      <c r="H204" s="461">
        <v>2.36</v>
      </c>
      <c r="I204" s="478">
        <v>37</v>
      </c>
      <c r="J204" s="477" t="s">
        <v>40</v>
      </c>
      <c r="K204" s="470">
        <f>ROUNDUP(SQRT(F204/I204/PI()*4*1.07),2)</f>
        <v>2.36</v>
      </c>
      <c r="L204" s="501">
        <v>5.99</v>
      </c>
      <c r="M204" s="475"/>
      <c r="N204" s="475"/>
      <c r="O204" s="475"/>
      <c r="P204" s="475"/>
      <c r="Q204" s="483">
        <f t="shared" si="439"/>
        <v>1.52</v>
      </c>
      <c r="R204" s="484">
        <f>IF(B204=0.66,VLOOKUP(F204,'Данные ТНПА'!$B$8:$C$16,2,0),
IF(B204=1,VLOOKUP(F204,'Данные ТНПА'!$B$17:$C$37,2,0),"ошибка"))</f>
        <v>1.8</v>
      </c>
      <c r="S204" s="485">
        <f t="shared" si="488"/>
        <v>9.0300000000000011</v>
      </c>
      <c r="T204" s="486"/>
      <c r="U204" s="487"/>
      <c r="V204" s="485">
        <f t="shared" si="489"/>
        <v>9.59</v>
      </c>
      <c r="W204" s="486"/>
      <c r="X204" s="487"/>
      <c r="Y204" s="489">
        <f t="shared" si="490"/>
        <v>0</v>
      </c>
      <c r="Z204" s="491">
        <f t="shared" si="491"/>
        <v>9.59</v>
      </c>
      <c r="AA204" s="237">
        <f t="shared" si="492"/>
        <v>0</v>
      </c>
      <c r="AB204" s="452">
        <f t="shared" si="440"/>
        <v>9.59</v>
      </c>
      <c r="AC204" s="201">
        <f t="shared" si="493"/>
        <v>0</v>
      </c>
      <c r="AD204" s="203">
        <f t="shared" si="441"/>
        <v>0</v>
      </c>
      <c r="AE204" s="37" t="str">
        <f t="shared" si="494"/>
        <v/>
      </c>
      <c r="AF204" s="202">
        <f t="shared" si="442"/>
        <v>0</v>
      </c>
      <c r="AG204" s="201">
        <f t="shared" si="443"/>
        <v>0</v>
      </c>
      <c r="AH204" s="61">
        <f t="shared" si="495"/>
        <v>9.59</v>
      </c>
      <c r="AI204" s="443">
        <f t="shared" si="397"/>
        <v>0</v>
      </c>
      <c r="AJ204" s="444">
        <f t="shared" si="444"/>
        <v>0</v>
      </c>
      <c r="AK204" s="445">
        <f t="shared" si="445"/>
        <v>0</v>
      </c>
      <c r="AL204" s="446">
        <f t="shared" si="446"/>
        <v>0</v>
      </c>
      <c r="AM204" s="447">
        <f t="shared" si="447"/>
        <v>0</v>
      </c>
      <c r="AN204" s="24">
        <f t="shared" si="448"/>
        <v>9.59</v>
      </c>
      <c r="AO204" s="443">
        <f t="shared" si="496"/>
        <v>0</v>
      </c>
      <c r="AP204" s="444">
        <f t="shared" si="449"/>
        <v>0</v>
      </c>
      <c r="AQ204" s="445">
        <f t="shared" si="450"/>
        <v>0</v>
      </c>
      <c r="AR204" s="446">
        <f t="shared" si="451"/>
        <v>0</v>
      </c>
      <c r="AS204" s="447">
        <f t="shared" si="452"/>
        <v>0</v>
      </c>
      <c r="AT204" s="24">
        <f t="shared" si="453"/>
        <v>9.59</v>
      </c>
      <c r="AU204" s="443">
        <f t="shared" si="497"/>
        <v>0</v>
      </c>
      <c r="AV204" s="444">
        <f t="shared" si="454"/>
        <v>0</v>
      </c>
      <c r="AW204" s="445">
        <f t="shared" si="455"/>
        <v>0</v>
      </c>
      <c r="AX204" s="446">
        <f t="shared" si="456"/>
        <v>0</v>
      </c>
      <c r="AY204" s="447">
        <f t="shared" si="457"/>
        <v>0</v>
      </c>
      <c r="AZ204" s="24">
        <f t="shared" si="458"/>
        <v>9.59</v>
      </c>
      <c r="BA204" s="43">
        <f>IF(BB204=0,0,
IF(D204=1,
(IF(AND(AH204&gt;'Данные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"ошибка_1"))))))),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"ошибка_2"))))))))</f>
        <v>0</v>
      </c>
      <c r="BB204" s="43">
        <f>IF(OR($AI$9=0,AND(D204&gt;1,F204&gt;10)),0,
IF(D204=1,
(IF(AND(AH204&gt;'Данные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"ошибка_1"))))))),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IF(AND(AH204&gt;'Данные ТНПА'!#REF!,AH204&lt;='Данные ТНПА'!#REF!),'Данные ТНПА'!#REF!,
"ошибка_2"))))))))</f>
        <v>0</v>
      </c>
      <c r="BC204" s="43">
        <f t="shared" si="459"/>
        <v>9.59</v>
      </c>
      <c r="BD204" s="237">
        <f t="shared" si="460"/>
        <v>0</v>
      </c>
      <c r="BE204" s="43">
        <f t="shared" si="461"/>
        <v>0</v>
      </c>
      <c r="BF204" s="201">
        <f t="shared" si="462"/>
        <v>0</v>
      </c>
      <c r="BG204" s="201">
        <f t="shared" si="463"/>
        <v>0</v>
      </c>
      <c r="BH204" s="61">
        <f t="shared" si="464"/>
        <v>9.59</v>
      </c>
      <c r="BI204" s="237">
        <f t="shared" si="465"/>
        <v>0</v>
      </c>
      <c r="BJ204" s="247">
        <f t="shared" si="466"/>
        <v>0</v>
      </c>
      <c r="BK204" s="431">
        <f t="shared" si="467"/>
        <v>0</v>
      </c>
      <c r="BL204" s="250">
        <f t="shared" si="468"/>
        <v>0</v>
      </c>
      <c r="BM204" s="237">
        <f t="shared" si="469"/>
        <v>0</v>
      </c>
      <c r="BN204" s="452">
        <f t="shared" si="470"/>
        <v>9.59</v>
      </c>
      <c r="BO204" s="237">
        <f t="shared" si="471"/>
        <v>0</v>
      </c>
      <c r="BP204" s="432">
        <f t="shared" si="472"/>
        <v>0</v>
      </c>
      <c r="BQ204" s="22" t="str">
        <f t="shared" si="473"/>
        <v/>
      </c>
      <c r="BR204" s="250">
        <f t="shared" si="474"/>
        <v>0</v>
      </c>
      <c r="BS204" s="237">
        <f t="shared" si="475"/>
        <v>0</v>
      </c>
      <c r="BT204" s="452">
        <f t="shared" si="476"/>
        <v>9.59</v>
      </c>
      <c r="BU204" s="492">
        <f t="shared" si="477"/>
        <v>1.1749999999999998</v>
      </c>
      <c r="BV204" s="493">
        <f>IF(BT204="","",
IF(AND(BT204&gt;'Данные ТНПА'!$K$8,BT204&lt;='Данные ТНПА'!$L$8),'Данные ТНПА'!$N$8,
IF(AND(BT204&gt;'Данные ТНПА'!$K$9,BT204&lt;='Данные ТНПА'!$L$9),'Данные ТНПА'!$N$9,
IF(AND(BT204&gt;'Данные ТНПА'!$K$10,BT204&lt;='Данные ТНПА'!$L$10),'Данные ТНПА'!$N$10,
IF(AND(BT204&gt;'Данные ТНПА'!$K$11,BT204&lt;='Данные ТНПА'!$L$11),'Данные ТНПА'!$N$11,
IF(AND(BT204&gt;'Данные ТНПА'!$K$12,BT204&lt;='Данные ТНПА'!$L$12),'Данные ТНПА'!$N$12,
IF(AND(BT204&gt;'Данные ТНПА'!$K$13,BT204&lt;='Данные ТНПА'!$L$13),'Данные ТНПА'!$N$13,
IF(AND(BT204&gt;'Данные ТНПА'!$K$14,BT204&lt;='Данные ТНПА'!$L$14),'Данные ТНПА'!$N$14))))))))</f>
        <v>1.5</v>
      </c>
      <c r="BW204" s="493">
        <f t="shared" si="478"/>
        <v>12.59</v>
      </c>
      <c r="BX204" s="457">
        <f t="shared" si="498"/>
        <v>405</v>
      </c>
      <c r="BY204" s="457">
        <f t="shared" si="499"/>
        <v>0</v>
      </c>
      <c r="BZ204" s="457">
        <f t="shared" si="500"/>
        <v>64.931781566049594</v>
      </c>
      <c r="CA204" s="457" t="e">
        <f t="shared" si="479"/>
        <v>#REF!</v>
      </c>
      <c r="CB204" s="458">
        <f t="shared" si="480"/>
        <v>0</v>
      </c>
      <c r="CC204" s="457">
        <f t="shared" si="481"/>
        <v>0</v>
      </c>
      <c r="CD204" s="457">
        <f t="shared" si="482"/>
        <v>0</v>
      </c>
      <c r="CE204" s="457">
        <f t="shared" si="483"/>
        <v>0</v>
      </c>
      <c r="CF204" s="457">
        <f t="shared" si="484"/>
        <v>0</v>
      </c>
      <c r="CG204" s="458">
        <f t="shared" si="501"/>
        <v>0</v>
      </c>
      <c r="CH204" s="457">
        <f t="shared" si="485"/>
        <v>0</v>
      </c>
      <c r="CI204" s="457">
        <f t="shared" si="486"/>
        <v>0</v>
      </c>
      <c r="CJ204" s="458">
        <f t="shared" si="487"/>
        <v>0</v>
      </c>
      <c r="CK204" s="458">
        <f t="shared" si="502"/>
        <v>76.091133361830785</v>
      </c>
      <c r="CL204" s="457">
        <f t="shared" si="503"/>
        <v>546.02291492788038</v>
      </c>
      <c r="CM204" s="504"/>
      <c r="CN204" s="504"/>
    </row>
    <row r="205" spans="1:92" ht="14.25" hidden="1" customHeight="1" x14ac:dyDescent="0.25">
      <c r="A205" s="389" t="str">
        <f>IF(D205="",CONCATENATE("Кабель ",IF(C205="а","А",""),$A$9),CONCATENATE("Кабель ",IF(C205="а","А",""),$A$9," ",D205,"*",F205,IF(G205="ок"," (ож)","")," - ",B205," ",IF(G205="мс"," фас. ",""),$A$2))</f>
        <v>Кабель АВВГ 1*185 - 1 ГОСТ 16442-80</v>
      </c>
      <c r="B205" s="450">
        <v>1</v>
      </c>
      <c r="C205" s="451" t="s">
        <v>164</v>
      </c>
      <c r="D205" s="412">
        <v>1</v>
      </c>
      <c r="E205" s="413" t="s">
        <v>40</v>
      </c>
      <c r="F205" s="423">
        <v>185</v>
      </c>
      <c r="G205" s="414" t="s">
        <v>154</v>
      </c>
      <c r="H205" s="461">
        <v>2.61</v>
      </c>
      <c r="I205" s="478">
        <v>37</v>
      </c>
      <c r="J205" s="477" t="s">
        <v>40</v>
      </c>
      <c r="K205" s="470">
        <f>ROUNDUP(SQRT(F205/I205/PI()*4*1.07),2)</f>
        <v>2.61</v>
      </c>
      <c r="L205" s="501">
        <v>6.68</v>
      </c>
      <c r="M205" s="475"/>
      <c r="N205" s="475"/>
      <c r="O205" s="475"/>
      <c r="P205" s="475"/>
      <c r="Q205" s="483">
        <f t="shared" si="439"/>
        <v>1.7</v>
      </c>
      <c r="R205" s="484">
        <f>IF(B205=0.66,VLOOKUP(F205,'Данные ТНПА'!$B$8:$C$16,2,0),
IF(B205=1,VLOOKUP(F205,'Данные ТНПА'!$B$17:$C$37,2,0),"ошибка"))</f>
        <v>2</v>
      </c>
      <c r="S205" s="485">
        <f t="shared" si="488"/>
        <v>10.08</v>
      </c>
      <c r="T205" s="486"/>
      <c r="U205" s="487"/>
      <c r="V205" s="485">
        <f t="shared" si="489"/>
        <v>10.68</v>
      </c>
      <c r="W205" s="486"/>
      <c r="X205" s="487"/>
      <c r="Y205" s="489">
        <f t="shared" si="490"/>
        <v>0</v>
      </c>
      <c r="Z205" s="491">
        <f t="shared" si="491"/>
        <v>10.68</v>
      </c>
      <c r="AA205" s="237">
        <f t="shared" si="492"/>
        <v>0</v>
      </c>
      <c r="AB205" s="452">
        <f t="shared" si="440"/>
        <v>10.68</v>
      </c>
      <c r="AC205" s="201">
        <f t="shared" si="493"/>
        <v>0</v>
      </c>
      <c r="AD205" s="203">
        <f t="shared" si="441"/>
        <v>0</v>
      </c>
      <c r="AE205" s="37" t="str">
        <f t="shared" si="494"/>
        <v/>
      </c>
      <c r="AF205" s="202">
        <f t="shared" si="442"/>
        <v>0</v>
      </c>
      <c r="AG205" s="201">
        <f t="shared" si="443"/>
        <v>0</v>
      </c>
      <c r="AH205" s="61">
        <f t="shared" si="495"/>
        <v>10.68</v>
      </c>
      <c r="AI205" s="443">
        <f t="shared" si="397"/>
        <v>0</v>
      </c>
      <c r="AJ205" s="444">
        <f t="shared" si="444"/>
        <v>0</v>
      </c>
      <c r="AK205" s="445">
        <f t="shared" si="445"/>
        <v>0</v>
      </c>
      <c r="AL205" s="446">
        <f t="shared" si="446"/>
        <v>0</v>
      </c>
      <c r="AM205" s="447">
        <f t="shared" si="447"/>
        <v>0</v>
      </c>
      <c r="AN205" s="24">
        <f t="shared" si="448"/>
        <v>10.68</v>
      </c>
      <c r="AO205" s="443">
        <f t="shared" si="496"/>
        <v>0</v>
      </c>
      <c r="AP205" s="444">
        <f t="shared" si="449"/>
        <v>0</v>
      </c>
      <c r="AQ205" s="445">
        <f t="shared" si="450"/>
        <v>0</v>
      </c>
      <c r="AR205" s="446">
        <f t="shared" si="451"/>
        <v>0</v>
      </c>
      <c r="AS205" s="447">
        <f t="shared" si="452"/>
        <v>0</v>
      </c>
      <c r="AT205" s="24">
        <f t="shared" si="453"/>
        <v>10.68</v>
      </c>
      <c r="AU205" s="443">
        <f t="shared" si="497"/>
        <v>0</v>
      </c>
      <c r="AV205" s="444">
        <f t="shared" si="454"/>
        <v>0</v>
      </c>
      <c r="AW205" s="445">
        <f t="shared" si="455"/>
        <v>0</v>
      </c>
      <c r="AX205" s="446">
        <f t="shared" si="456"/>
        <v>0</v>
      </c>
      <c r="AY205" s="447">
        <f t="shared" si="457"/>
        <v>0</v>
      </c>
      <c r="AZ205" s="24">
        <f t="shared" si="458"/>
        <v>10.68</v>
      </c>
      <c r="BA205" s="43">
        <f>IF(BB205=0,0,
IF(D205=1,
(IF(AND(AH205&gt;'Данные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"ошибка_1"))))))),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"ошибка_2"))))))))</f>
        <v>0</v>
      </c>
      <c r="BB205" s="43">
        <f>IF(OR($AI$9=0,AND(D205&gt;1,F205&gt;10)),0,
IF(D205=1,
(IF(AND(AH205&gt;'Данные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"ошибка_1"))))))),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IF(AND(AH205&gt;'Данные ТНПА'!#REF!,AH205&lt;='Данные ТНПА'!#REF!),'Данные ТНПА'!#REF!,
"ошибка_2"))))))))</f>
        <v>0</v>
      </c>
      <c r="BC205" s="43">
        <f t="shared" si="459"/>
        <v>10.68</v>
      </c>
      <c r="BD205" s="237">
        <f t="shared" si="460"/>
        <v>0</v>
      </c>
      <c r="BE205" s="43">
        <f t="shared" si="461"/>
        <v>0</v>
      </c>
      <c r="BF205" s="201">
        <f t="shared" si="462"/>
        <v>0</v>
      </c>
      <c r="BG205" s="201">
        <f t="shared" si="463"/>
        <v>0</v>
      </c>
      <c r="BH205" s="61">
        <f t="shared" si="464"/>
        <v>10.68</v>
      </c>
      <c r="BI205" s="237">
        <f t="shared" si="465"/>
        <v>0</v>
      </c>
      <c r="BJ205" s="247">
        <f t="shared" si="466"/>
        <v>0</v>
      </c>
      <c r="BK205" s="431">
        <f t="shared" si="467"/>
        <v>0</v>
      </c>
      <c r="BL205" s="250">
        <f t="shared" si="468"/>
        <v>0</v>
      </c>
      <c r="BM205" s="237">
        <f t="shared" si="469"/>
        <v>0</v>
      </c>
      <c r="BN205" s="452">
        <f t="shared" si="470"/>
        <v>10.68</v>
      </c>
      <c r="BO205" s="237">
        <f t="shared" si="471"/>
        <v>0</v>
      </c>
      <c r="BP205" s="432">
        <f t="shared" si="472"/>
        <v>0</v>
      </c>
      <c r="BQ205" s="22" t="str">
        <f t="shared" si="473"/>
        <v/>
      </c>
      <c r="BR205" s="250">
        <f t="shared" si="474"/>
        <v>0</v>
      </c>
      <c r="BS205" s="237">
        <f t="shared" si="475"/>
        <v>0</v>
      </c>
      <c r="BT205" s="452">
        <f t="shared" si="476"/>
        <v>10.68</v>
      </c>
      <c r="BU205" s="492">
        <f t="shared" si="477"/>
        <v>1.1749999999999998</v>
      </c>
      <c r="BV205" s="493">
        <f>IF(BT205="","",
IF(AND(BT205&gt;'Данные ТНПА'!$K$8,BT205&lt;='Данные ТНПА'!$L$8),'Данные ТНПА'!$N$8,
IF(AND(BT205&gt;'Данные ТНПА'!$K$9,BT205&lt;='Данные ТНПА'!$L$9),'Данные ТНПА'!$N$9,
IF(AND(BT205&gt;'Данные ТНПА'!$K$10,BT205&lt;='Данные ТНПА'!$L$10),'Данные ТНПА'!$N$10,
IF(AND(BT205&gt;'Данные ТНПА'!$K$11,BT205&lt;='Данные ТНПА'!$L$11),'Данные ТНПА'!$N$11,
IF(AND(BT205&gt;'Данные ТНПА'!$K$12,BT205&lt;='Данные ТНПА'!$L$12),'Данные ТНПА'!$N$12,
IF(AND(BT205&gt;'Данные ТНПА'!$K$13,BT205&lt;='Данные ТНПА'!$L$13),'Данные ТНПА'!$N$13,
IF(AND(BT205&gt;'Данные ТНПА'!$K$14,BT205&lt;='Данные ТНПА'!$L$14),'Данные ТНПА'!$N$14))))))))</f>
        <v>1.5</v>
      </c>
      <c r="BW205" s="493">
        <f t="shared" si="478"/>
        <v>13.68</v>
      </c>
      <c r="BX205" s="457">
        <f t="shared" si="498"/>
        <v>499.50000000000006</v>
      </c>
      <c r="BY205" s="457">
        <f t="shared" si="499"/>
        <v>0</v>
      </c>
      <c r="BZ205" s="457">
        <f t="shared" si="500"/>
        <v>80.389083439353925</v>
      </c>
      <c r="CA205" s="457" t="e">
        <f t="shared" si="479"/>
        <v>#REF!</v>
      </c>
      <c r="CB205" s="458">
        <f t="shared" si="480"/>
        <v>0</v>
      </c>
      <c r="CC205" s="457">
        <f t="shared" si="481"/>
        <v>0</v>
      </c>
      <c r="CD205" s="457">
        <f t="shared" si="482"/>
        <v>0</v>
      </c>
      <c r="CE205" s="457">
        <f t="shared" si="483"/>
        <v>0</v>
      </c>
      <c r="CF205" s="457">
        <f t="shared" si="484"/>
        <v>0</v>
      </c>
      <c r="CG205" s="458">
        <f t="shared" si="501"/>
        <v>0</v>
      </c>
      <c r="CH205" s="457">
        <f t="shared" si="485"/>
        <v>0</v>
      </c>
      <c r="CI205" s="457">
        <f t="shared" si="486"/>
        <v>0</v>
      </c>
      <c r="CJ205" s="458">
        <f t="shared" si="487"/>
        <v>0</v>
      </c>
      <c r="CK205" s="458">
        <f t="shared" si="502"/>
        <v>83.569883169260507</v>
      </c>
      <c r="CL205" s="457">
        <f t="shared" si="503"/>
        <v>663.45896660861445</v>
      </c>
      <c r="CM205" s="504"/>
      <c r="CN205" s="504"/>
    </row>
    <row r="206" spans="1:92" ht="14.25" hidden="1" customHeight="1" x14ac:dyDescent="0.25">
      <c r="A206" s="389" t="str">
        <f>IF(D206="",CONCATENATE("Кабель ",IF(C206="а","А",""),$A$9),CONCATENATE("Кабель ",IF(C206="а","А",""),$A$9," ",D206,"*",F206,IF(G206="ок"," (ож)","")," - ",B206," ",IF(G206="мс"," фас. ",""),$A$2))</f>
        <v>Кабель АВВГ 1*240 - 1 ГОСТ 16442-80</v>
      </c>
      <c r="B206" s="450">
        <v>1</v>
      </c>
      <c r="C206" s="451" t="s">
        <v>164</v>
      </c>
      <c r="D206" s="412">
        <v>1</v>
      </c>
      <c r="E206" s="413" t="s">
        <v>40</v>
      </c>
      <c r="F206" s="423">
        <v>240</v>
      </c>
      <c r="G206" s="414" t="s">
        <v>154</v>
      </c>
      <c r="H206" s="461">
        <v>2.98</v>
      </c>
      <c r="I206" s="478">
        <v>37</v>
      </c>
      <c r="J206" s="477" t="s">
        <v>40</v>
      </c>
      <c r="K206" s="470">
        <f>ROUNDUP(SQRT(F206/I206/PI()*4*1.07),2)</f>
        <v>2.98</v>
      </c>
      <c r="L206" s="501">
        <v>7.1000000000000005</v>
      </c>
      <c r="M206" s="475"/>
      <c r="N206" s="475"/>
      <c r="O206" s="475"/>
      <c r="P206" s="475"/>
      <c r="Q206" s="483">
        <f t="shared" si="439"/>
        <v>1.8800000000000001</v>
      </c>
      <c r="R206" s="484">
        <f>IF(B206=0.66,VLOOKUP(F206,'Данные ТНПА'!$B$8:$C$16,2,0),
IF(B206=1,VLOOKUP(F206,'Данные ТНПА'!$B$17:$C$37,2,0),"ошибка"))</f>
        <v>2.2000000000000002</v>
      </c>
      <c r="S206" s="485">
        <f t="shared" si="488"/>
        <v>10.860000000000001</v>
      </c>
      <c r="T206" s="486"/>
      <c r="U206" s="487"/>
      <c r="V206" s="485">
        <f t="shared" si="489"/>
        <v>11.5</v>
      </c>
      <c r="W206" s="486"/>
      <c r="X206" s="487"/>
      <c r="Y206" s="489">
        <f t="shared" si="490"/>
        <v>0</v>
      </c>
      <c r="Z206" s="491">
        <f t="shared" si="491"/>
        <v>11.5</v>
      </c>
      <c r="AA206" s="237">
        <f t="shared" si="492"/>
        <v>0</v>
      </c>
      <c r="AB206" s="452">
        <f t="shared" si="440"/>
        <v>11.5</v>
      </c>
      <c r="AC206" s="201">
        <f t="shared" si="493"/>
        <v>0</v>
      </c>
      <c r="AD206" s="203">
        <f t="shared" si="441"/>
        <v>0</v>
      </c>
      <c r="AE206" s="37" t="str">
        <f t="shared" si="494"/>
        <v/>
      </c>
      <c r="AF206" s="202">
        <f t="shared" si="442"/>
        <v>0</v>
      </c>
      <c r="AG206" s="201">
        <f t="shared" si="443"/>
        <v>0</v>
      </c>
      <c r="AH206" s="61">
        <f t="shared" si="495"/>
        <v>11.5</v>
      </c>
      <c r="AI206" s="443">
        <f t="shared" si="397"/>
        <v>0</v>
      </c>
      <c r="AJ206" s="444">
        <f t="shared" si="444"/>
        <v>0</v>
      </c>
      <c r="AK206" s="445">
        <f t="shared" si="445"/>
        <v>0</v>
      </c>
      <c r="AL206" s="446">
        <f t="shared" si="446"/>
        <v>0</v>
      </c>
      <c r="AM206" s="447">
        <f t="shared" si="447"/>
        <v>0</v>
      </c>
      <c r="AN206" s="24">
        <f t="shared" si="448"/>
        <v>11.5</v>
      </c>
      <c r="AO206" s="443">
        <f t="shared" si="496"/>
        <v>0</v>
      </c>
      <c r="AP206" s="444">
        <f t="shared" si="449"/>
        <v>0</v>
      </c>
      <c r="AQ206" s="445">
        <f t="shared" si="450"/>
        <v>0</v>
      </c>
      <c r="AR206" s="446">
        <f t="shared" si="451"/>
        <v>0</v>
      </c>
      <c r="AS206" s="447">
        <f t="shared" si="452"/>
        <v>0</v>
      </c>
      <c r="AT206" s="24">
        <f t="shared" si="453"/>
        <v>11.5</v>
      </c>
      <c r="AU206" s="443">
        <f t="shared" si="497"/>
        <v>0</v>
      </c>
      <c r="AV206" s="444">
        <f t="shared" si="454"/>
        <v>0</v>
      </c>
      <c r="AW206" s="445">
        <f t="shared" si="455"/>
        <v>0</v>
      </c>
      <c r="AX206" s="446">
        <f t="shared" si="456"/>
        <v>0</v>
      </c>
      <c r="AY206" s="447">
        <f t="shared" si="457"/>
        <v>0</v>
      </c>
      <c r="AZ206" s="24">
        <f t="shared" si="458"/>
        <v>11.5</v>
      </c>
      <c r="BA206" s="43">
        <f>IF(BB206=0,0,
IF(D206=1,
(IF(AND(AH206&gt;'Данные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"ошибка_1"))))))),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"ошибка_2"))))))))</f>
        <v>0</v>
      </c>
      <c r="BB206" s="43">
        <f>IF(OR($AI$9=0,AND(D206&gt;1,F206&gt;10)),0,
IF(D206=1,
(IF(AND(AH206&gt;'Данные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"ошибка_1"))))))),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IF(AND(AH206&gt;'Данные ТНПА'!#REF!,AH206&lt;='Данные ТНПА'!#REF!),'Данные ТНПА'!#REF!,
"ошибка_2"))))))))</f>
        <v>0</v>
      </c>
      <c r="BC206" s="43">
        <f t="shared" si="459"/>
        <v>11.5</v>
      </c>
      <c r="BD206" s="237">
        <f t="shared" si="460"/>
        <v>0</v>
      </c>
      <c r="BE206" s="43">
        <f t="shared" si="461"/>
        <v>0</v>
      </c>
      <c r="BF206" s="201">
        <f t="shared" si="462"/>
        <v>0</v>
      </c>
      <c r="BG206" s="201">
        <f t="shared" si="463"/>
        <v>0</v>
      </c>
      <c r="BH206" s="61">
        <f t="shared" si="464"/>
        <v>11.5</v>
      </c>
      <c r="BI206" s="237">
        <f t="shared" si="465"/>
        <v>0</v>
      </c>
      <c r="BJ206" s="247">
        <f t="shared" si="466"/>
        <v>0</v>
      </c>
      <c r="BK206" s="431">
        <f t="shared" si="467"/>
        <v>0</v>
      </c>
      <c r="BL206" s="250">
        <f t="shared" si="468"/>
        <v>0</v>
      </c>
      <c r="BM206" s="237">
        <f t="shared" si="469"/>
        <v>0</v>
      </c>
      <c r="BN206" s="452">
        <f t="shared" si="470"/>
        <v>11.5</v>
      </c>
      <c r="BO206" s="237">
        <f t="shared" si="471"/>
        <v>0</v>
      </c>
      <c r="BP206" s="432">
        <f t="shared" si="472"/>
        <v>0</v>
      </c>
      <c r="BQ206" s="22" t="str">
        <f t="shared" si="473"/>
        <v/>
      </c>
      <c r="BR206" s="250">
        <f t="shared" si="474"/>
        <v>0</v>
      </c>
      <c r="BS206" s="237">
        <f t="shared" si="475"/>
        <v>0</v>
      </c>
      <c r="BT206" s="452">
        <f t="shared" si="476"/>
        <v>11.5</v>
      </c>
      <c r="BU206" s="492">
        <f t="shared" si="477"/>
        <v>1.1749999999999998</v>
      </c>
      <c r="BV206" s="493">
        <f>IF(BT206="","",
IF(AND(BT206&gt;'Данные ТНПА'!$K$8,BT206&lt;='Данные ТНПА'!$L$8),'Данные ТНПА'!$N$8,
IF(AND(BT206&gt;'Данные ТНПА'!$K$9,BT206&lt;='Данные ТНПА'!$L$9),'Данные ТНПА'!$N$9,
IF(AND(BT206&gt;'Данные ТНПА'!$K$10,BT206&lt;='Данные ТНПА'!$L$10),'Данные ТНПА'!$N$10,
IF(AND(BT206&gt;'Данные ТНПА'!$K$11,BT206&lt;='Данные ТНПА'!$L$11),'Данные ТНПА'!$N$11,
IF(AND(BT206&gt;'Данные ТНПА'!$K$12,BT206&lt;='Данные ТНПА'!$L$12),'Данные ТНПА'!$N$12,
IF(AND(BT206&gt;'Данные ТНПА'!$K$13,BT206&lt;='Данные ТНПА'!$L$13),'Данные ТНПА'!$N$13,
IF(AND(BT206&gt;'Данные ТНПА'!$K$14,BT206&lt;='Данные ТНПА'!$L$14),'Данные ТНПА'!$N$14))))))))</f>
        <v>1.5</v>
      </c>
      <c r="BW206" s="493">
        <f t="shared" si="478"/>
        <v>14.5</v>
      </c>
      <c r="BX206" s="457">
        <f t="shared" si="498"/>
        <v>648</v>
      </c>
      <c r="BY206" s="457">
        <f t="shared" si="499"/>
        <v>0</v>
      </c>
      <c r="BZ206" s="457">
        <f t="shared" si="500"/>
        <v>94.744276910667139</v>
      </c>
      <c r="CA206" s="457" t="e">
        <f t="shared" si="479"/>
        <v>#REF!</v>
      </c>
      <c r="CB206" s="458">
        <f t="shared" si="480"/>
        <v>0</v>
      </c>
      <c r="CC206" s="457">
        <f t="shared" si="481"/>
        <v>0</v>
      </c>
      <c r="CD206" s="457">
        <f t="shared" si="482"/>
        <v>0</v>
      </c>
      <c r="CE206" s="457">
        <f t="shared" si="483"/>
        <v>0</v>
      </c>
      <c r="CF206" s="457">
        <f t="shared" si="484"/>
        <v>0</v>
      </c>
      <c r="CG206" s="458">
        <f t="shared" si="501"/>
        <v>0</v>
      </c>
      <c r="CH206" s="457">
        <f t="shared" si="485"/>
        <v>0</v>
      </c>
      <c r="CI206" s="457">
        <f t="shared" si="486"/>
        <v>0</v>
      </c>
      <c r="CJ206" s="458">
        <f t="shared" si="487"/>
        <v>0</v>
      </c>
      <c r="CK206" s="458">
        <f t="shared" si="502"/>
        <v>89.196098620721415</v>
      </c>
      <c r="CL206" s="457">
        <f t="shared" si="503"/>
        <v>831.94037553138855</v>
      </c>
      <c r="CM206" s="504"/>
      <c r="CN206" s="504"/>
    </row>
    <row r="207" spans="1:92" ht="14.25" hidden="1" customHeight="1" x14ac:dyDescent="0.25">
      <c r="A207" s="389" t="str">
        <f>IF(D207="",CONCATENATE("Кабель ",IF(C207="а","А",""),$A$9),CONCATENATE("Кабель ",IF(C207="а","А",""),$A$9," ",D207,"*",F207,IF(G207="ок"," (ож)","")," - ",B207," ",IF(G207="мс"," фас. ",""),$A$2))</f>
        <v>Кабель АВВГ 1*300 - 1 ГОСТ 16442-80</v>
      </c>
      <c r="B207" s="450">
        <v>1</v>
      </c>
      <c r="C207" s="451" t="s">
        <v>164</v>
      </c>
      <c r="D207" s="412">
        <v>1</v>
      </c>
      <c r="E207" s="413" t="s">
        <v>40</v>
      </c>
      <c r="F207" s="423">
        <v>300</v>
      </c>
      <c r="G207" s="414" t="s">
        <v>154</v>
      </c>
      <c r="H207" s="461">
        <v>3.3699999999999997</v>
      </c>
      <c r="I207" s="478">
        <v>36</v>
      </c>
      <c r="J207" s="477" t="s">
        <v>40</v>
      </c>
      <c r="K207" s="470">
        <f>ROUNDUP(SQRT(F207/I207/PI()*4*1.07),2)</f>
        <v>3.3699999999999997</v>
      </c>
      <c r="L207" s="501">
        <v>7.9799999999999995</v>
      </c>
      <c r="M207" s="475"/>
      <c r="N207" s="475"/>
      <c r="O207" s="475"/>
      <c r="P207" s="475"/>
      <c r="Q207" s="483">
        <f t="shared" si="439"/>
        <v>2.06</v>
      </c>
      <c r="R207" s="484">
        <f>IF(B207=0.66,VLOOKUP(F207,'Данные ТНПА'!$B$8:$C$16,2,0),
IF(B207=1,VLOOKUP(F207,'Данные ТНПА'!$B$17:$C$37,2,0),"ошибка"))</f>
        <v>2.4</v>
      </c>
      <c r="S207" s="485">
        <f t="shared" si="488"/>
        <v>12.1</v>
      </c>
      <c r="T207" s="486"/>
      <c r="U207" s="487"/>
      <c r="V207" s="485">
        <f t="shared" si="489"/>
        <v>12.78</v>
      </c>
      <c r="W207" s="486"/>
      <c r="X207" s="487"/>
      <c r="Y207" s="489">
        <f t="shared" si="490"/>
        <v>0</v>
      </c>
      <c r="Z207" s="491">
        <f t="shared" si="491"/>
        <v>12.78</v>
      </c>
      <c r="AA207" s="237">
        <f t="shared" si="492"/>
        <v>0</v>
      </c>
      <c r="AB207" s="452">
        <f t="shared" si="440"/>
        <v>12.78</v>
      </c>
      <c r="AC207" s="201">
        <f t="shared" si="493"/>
        <v>0</v>
      </c>
      <c r="AD207" s="203">
        <f t="shared" si="441"/>
        <v>0</v>
      </c>
      <c r="AE207" s="37" t="str">
        <f t="shared" si="494"/>
        <v/>
      </c>
      <c r="AF207" s="202">
        <f t="shared" si="442"/>
        <v>0</v>
      </c>
      <c r="AG207" s="201">
        <f t="shared" si="443"/>
        <v>0</v>
      </c>
      <c r="AH207" s="61">
        <f t="shared" si="495"/>
        <v>12.78</v>
      </c>
      <c r="AI207" s="443">
        <f t="shared" si="397"/>
        <v>0</v>
      </c>
      <c r="AJ207" s="444">
        <f t="shared" si="444"/>
        <v>0</v>
      </c>
      <c r="AK207" s="445">
        <f t="shared" si="445"/>
        <v>0</v>
      </c>
      <c r="AL207" s="446">
        <f t="shared" si="446"/>
        <v>0</v>
      </c>
      <c r="AM207" s="447">
        <f t="shared" si="447"/>
        <v>0</v>
      </c>
      <c r="AN207" s="24">
        <f t="shared" si="448"/>
        <v>12.78</v>
      </c>
      <c r="AO207" s="443">
        <f t="shared" si="496"/>
        <v>0</v>
      </c>
      <c r="AP207" s="444">
        <f t="shared" si="449"/>
        <v>0</v>
      </c>
      <c r="AQ207" s="445">
        <f t="shared" si="450"/>
        <v>0</v>
      </c>
      <c r="AR207" s="446">
        <f t="shared" si="451"/>
        <v>0</v>
      </c>
      <c r="AS207" s="447">
        <f t="shared" si="452"/>
        <v>0</v>
      </c>
      <c r="AT207" s="24">
        <f t="shared" si="453"/>
        <v>12.78</v>
      </c>
      <c r="AU207" s="443">
        <f t="shared" si="497"/>
        <v>0</v>
      </c>
      <c r="AV207" s="444">
        <f t="shared" si="454"/>
        <v>0</v>
      </c>
      <c r="AW207" s="445">
        <f t="shared" si="455"/>
        <v>0</v>
      </c>
      <c r="AX207" s="446">
        <f t="shared" si="456"/>
        <v>0</v>
      </c>
      <c r="AY207" s="447">
        <f t="shared" si="457"/>
        <v>0</v>
      </c>
      <c r="AZ207" s="24">
        <f t="shared" si="458"/>
        <v>12.78</v>
      </c>
      <c r="BA207" s="43">
        <f>IF(BB207=0,0,
IF(D207=1,
(IF(AND(AH207&gt;'Данные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"ошибка_1"))))))),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"ошибка_2"))))))))</f>
        <v>0</v>
      </c>
      <c r="BB207" s="43">
        <f>IF(OR($AI$9=0,AND(D207&gt;1,F207&gt;10)),0,
IF(D207=1,
(IF(AND(AH207&gt;'Данные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"ошибка_1"))))))),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IF(AND(AH207&gt;'Данные ТНПА'!#REF!,AH207&lt;='Данные ТНПА'!#REF!),'Данные ТНПА'!#REF!,
"ошибка_2"))))))))</f>
        <v>0</v>
      </c>
      <c r="BC207" s="43">
        <f t="shared" si="459"/>
        <v>12.78</v>
      </c>
      <c r="BD207" s="237">
        <f t="shared" si="460"/>
        <v>0</v>
      </c>
      <c r="BE207" s="43">
        <f t="shared" si="461"/>
        <v>0</v>
      </c>
      <c r="BF207" s="201">
        <f t="shared" si="462"/>
        <v>0</v>
      </c>
      <c r="BG207" s="201">
        <f t="shared" si="463"/>
        <v>0</v>
      </c>
      <c r="BH207" s="61">
        <f t="shared" si="464"/>
        <v>12.78</v>
      </c>
      <c r="BI207" s="237">
        <f t="shared" si="465"/>
        <v>0</v>
      </c>
      <c r="BJ207" s="247">
        <f t="shared" si="466"/>
        <v>0</v>
      </c>
      <c r="BK207" s="431">
        <f t="shared" si="467"/>
        <v>0</v>
      </c>
      <c r="BL207" s="250">
        <f t="shared" si="468"/>
        <v>0</v>
      </c>
      <c r="BM207" s="237">
        <f t="shared" si="469"/>
        <v>0</v>
      </c>
      <c r="BN207" s="452">
        <f t="shared" si="470"/>
        <v>12.78</v>
      </c>
      <c r="BO207" s="237">
        <f t="shared" si="471"/>
        <v>0</v>
      </c>
      <c r="BP207" s="432">
        <f t="shared" si="472"/>
        <v>0</v>
      </c>
      <c r="BQ207" s="22" t="str">
        <f t="shared" si="473"/>
        <v/>
      </c>
      <c r="BR207" s="250">
        <f t="shared" si="474"/>
        <v>0</v>
      </c>
      <c r="BS207" s="237">
        <f t="shared" si="475"/>
        <v>0</v>
      </c>
      <c r="BT207" s="452">
        <f t="shared" si="476"/>
        <v>12.78</v>
      </c>
      <c r="BU207" s="492">
        <f t="shared" si="477"/>
        <v>1.1749999999999998</v>
      </c>
      <c r="BV207" s="493">
        <f>IF(BT207="","",
IF(AND(BT207&gt;'Данные ТНПА'!$K$8,BT207&lt;='Данные ТНПА'!$L$8),'Данные ТНПА'!$N$8,
IF(AND(BT207&gt;'Данные ТНПА'!$K$9,BT207&lt;='Данные ТНПА'!$L$9),'Данные ТНПА'!$N$9,
IF(AND(BT207&gt;'Данные ТНПА'!$K$10,BT207&lt;='Данные ТНПА'!$L$10),'Данные ТНПА'!$N$10,
IF(AND(BT207&gt;'Данные ТНПА'!$K$11,BT207&lt;='Данные ТНПА'!$L$11),'Данные ТНПА'!$N$11,
IF(AND(BT207&gt;'Данные ТНПА'!$K$12,BT207&lt;='Данные ТНПА'!$L$12),'Данные ТНПА'!$N$12,
IF(AND(BT207&gt;'Данные ТНПА'!$K$13,BT207&lt;='Данные ТНПА'!$L$13),'Данные ТНПА'!$N$13,
IF(AND(BT207&gt;'Данные ТНПА'!$K$14,BT207&lt;='Данные ТНПА'!$L$14),'Данные ТНПА'!$N$14))))))))</f>
        <v>1.5</v>
      </c>
      <c r="BW207" s="493">
        <f t="shared" si="478"/>
        <v>15.78</v>
      </c>
      <c r="BX207" s="457">
        <f t="shared" si="498"/>
        <v>810</v>
      </c>
      <c r="BY207" s="457">
        <f t="shared" si="499"/>
        <v>0</v>
      </c>
      <c r="BZ207" s="457">
        <f t="shared" si="500"/>
        <v>115.36018701850143</v>
      </c>
      <c r="CA207" s="457" t="e">
        <f t="shared" si="479"/>
        <v>#REF!</v>
      </c>
      <c r="CB207" s="458">
        <f t="shared" si="480"/>
        <v>0</v>
      </c>
      <c r="CC207" s="457">
        <f t="shared" si="481"/>
        <v>0</v>
      </c>
      <c r="CD207" s="457">
        <f t="shared" si="482"/>
        <v>0</v>
      </c>
      <c r="CE207" s="457">
        <f t="shared" si="483"/>
        <v>0</v>
      </c>
      <c r="CF207" s="457">
        <f t="shared" si="484"/>
        <v>0</v>
      </c>
      <c r="CG207" s="458">
        <f t="shared" si="501"/>
        <v>0</v>
      </c>
      <c r="CH207" s="457">
        <f t="shared" si="485"/>
        <v>0</v>
      </c>
      <c r="CI207" s="457">
        <f t="shared" si="486"/>
        <v>0</v>
      </c>
      <c r="CJ207" s="458">
        <f t="shared" si="487"/>
        <v>0</v>
      </c>
      <c r="CK207" s="458">
        <f t="shared" si="502"/>
        <v>97.978483715684732</v>
      </c>
      <c r="CL207" s="457">
        <f t="shared" si="503"/>
        <v>1023.3386707341862</v>
      </c>
      <c r="CM207" s="504"/>
      <c r="CN207" s="504"/>
    </row>
    <row r="208" spans="1:92" ht="14.25" hidden="1" customHeight="1" x14ac:dyDescent="0.25">
      <c r="A208" s="389" t="str">
        <f>IF(D208="",CONCATENATE("Кабель ",IF(C208="а","А",""),$A$9),CONCATENATE("Кабель ",IF(C208="а","А",""),$A$9," ",D208,"*",F208,IF(G208="ок"," (ож)","")," - ",B208," ",IF(G208="мс"," фас. ",""),$A$2))</f>
        <v>Кабель АВВГ 1*400 - 1 ГОСТ 16442-80</v>
      </c>
      <c r="B208" s="450">
        <v>1</v>
      </c>
      <c r="C208" s="451" t="s">
        <v>164</v>
      </c>
      <c r="D208" s="412">
        <v>1</v>
      </c>
      <c r="E208" s="413" t="s">
        <v>40</v>
      </c>
      <c r="F208" s="423">
        <v>400</v>
      </c>
      <c r="G208" s="414" t="s">
        <v>154</v>
      </c>
      <c r="H208" s="461">
        <v>3.0999999999999996</v>
      </c>
      <c r="I208" s="478">
        <v>57</v>
      </c>
      <c r="J208" s="477" t="s">
        <v>40</v>
      </c>
      <c r="K208" s="470">
        <f>ROUNDUP(SQRT(F208/I208/PI()*4*1.07),2)</f>
        <v>3.0999999999999996</v>
      </c>
      <c r="L208" s="501">
        <v>8.15</v>
      </c>
      <c r="M208" s="475"/>
      <c r="N208" s="475"/>
      <c r="O208" s="475"/>
      <c r="P208" s="475"/>
      <c r="Q208" s="483">
        <f t="shared" si="439"/>
        <v>2.2400000000000002</v>
      </c>
      <c r="R208" s="484">
        <f>IF(B208=0.66,VLOOKUP(F208,'Данные ТНПА'!$B$8:$C$16,2,0),
IF(B208=1,VLOOKUP(F208,'Данные ТНПА'!$B$17:$C$37,2,0),"ошибка"))</f>
        <v>2.6</v>
      </c>
      <c r="S208" s="485">
        <f t="shared" si="488"/>
        <v>12.63</v>
      </c>
      <c r="T208" s="486"/>
      <c r="U208" s="487"/>
      <c r="V208" s="485">
        <f t="shared" si="489"/>
        <v>13.350000000000001</v>
      </c>
      <c r="W208" s="486"/>
      <c r="X208" s="487"/>
      <c r="Y208" s="489">
        <f t="shared" si="490"/>
        <v>0</v>
      </c>
      <c r="Z208" s="491">
        <f t="shared" si="491"/>
        <v>13.350000000000001</v>
      </c>
      <c r="AA208" s="237">
        <f t="shared" si="492"/>
        <v>0</v>
      </c>
      <c r="AB208" s="452">
        <f t="shared" si="440"/>
        <v>13.350000000000001</v>
      </c>
      <c r="AC208" s="201">
        <f t="shared" si="493"/>
        <v>0</v>
      </c>
      <c r="AD208" s="203">
        <f t="shared" si="441"/>
        <v>0</v>
      </c>
      <c r="AE208" s="37" t="str">
        <f t="shared" si="494"/>
        <v/>
      </c>
      <c r="AF208" s="202">
        <f t="shared" si="442"/>
        <v>0</v>
      </c>
      <c r="AG208" s="201">
        <f t="shared" si="443"/>
        <v>0</v>
      </c>
      <c r="AH208" s="61">
        <f t="shared" si="495"/>
        <v>13.350000000000001</v>
      </c>
      <c r="AI208" s="443">
        <f t="shared" si="397"/>
        <v>0</v>
      </c>
      <c r="AJ208" s="444">
        <f t="shared" si="444"/>
        <v>0</v>
      </c>
      <c r="AK208" s="445">
        <f t="shared" si="445"/>
        <v>0</v>
      </c>
      <c r="AL208" s="446">
        <f t="shared" si="446"/>
        <v>0</v>
      </c>
      <c r="AM208" s="447">
        <f t="shared" si="447"/>
        <v>0</v>
      </c>
      <c r="AN208" s="24">
        <f t="shared" si="448"/>
        <v>13.350000000000001</v>
      </c>
      <c r="AO208" s="443">
        <f t="shared" si="496"/>
        <v>0</v>
      </c>
      <c r="AP208" s="444">
        <f t="shared" si="449"/>
        <v>0</v>
      </c>
      <c r="AQ208" s="445">
        <f t="shared" si="450"/>
        <v>0</v>
      </c>
      <c r="AR208" s="446">
        <f t="shared" si="451"/>
        <v>0</v>
      </c>
      <c r="AS208" s="447">
        <f t="shared" si="452"/>
        <v>0</v>
      </c>
      <c r="AT208" s="24">
        <f t="shared" si="453"/>
        <v>13.350000000000001</v>
      </c>
      <c r="AU208" s="443">
        <f t="shared" si="497"/>
        <v>0</v>
      </c>
      <c r="AV208" s="444">
        <f t="shared" si="454"/>
        <v>0</v>
      </c>
      <c r="AW208" s="445">
        <f t="shared" si="455"/>
        <v>0</v>
      </c>
      <c r="AX208" s="446">
        <f t="shared" si="456"/>
        <v>0</v>
      </c>
      <c r="AY208" s="447">
        <f t="shared" si="457"/>
        <v>0</v>
      </c>
      <c r="AZ208" s="24">
        <f t="shared" si="458"/>
        <v>13.350000000000001</v>
      </c>
      <c r="BA208" s="43">
        <f>IF(BB208=0,0,
IF(D208=1,
(IF(AND(AH208&gt;'Данные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"ошибка_1"))))))),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"ошибка_2"))))))))</f>
        <v>0</v>
      </c>
      <c r="BB208" s="43">
        <f>IF(OR($AI$9=0,AND(D208&gt;1,F208&gt;10)),0,
IF(D208=1,
(IF(AND(AH208&gt;'Данные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"ошибка_1"))))))),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IF(AND(AH208&gt;'Данные ТНПА'!#REF!,AH208&lt;='Данные ТНПА'!#REF!),'Данные ТНПА'!#REF!,
"ошибка_2"))))))))</f>
        <v>0</v>
      </c>
      <c r="BC208" s="43">
        <f t="shared" si="459"/>
        <v>13.350000000000001</v>
      </c>
      <c r="BD208" s="237">
        <f t="shared" si="460"/>
        <v>0</v>
      </c>
      <c r="BE208" s="43">
        <f t="shared" si="461"/>
        <v>0</v>
      </c>
      <c r="BF208" s="201">
        <f t="shared" si="462"/>
        <v>0</v>
      </c>
      <c r="BG208" s="201">
        <f t="shared" si="463"/>
        <v>0</v>
      </c>
      <c r="BH208" s="61">
        <f t="shared" si="464"/>
        <v>13.350000000000001</v>
      </c>
      <c r="BI208" s="237">
        <f t="shared" si="465"/>
        <v>0</v>
      </c>
      <c r="BJ208" s="247">
        <f t="shared" si="466"/>
        <v>0</v>
      </c>
      <c r="BK208" s="431">
        <f t="shared" si="467"/>
        <v>0</v>
      </c>
      <c r="BL208" s="250">
        <f t="shared" si="468"/>
        <v>0</v>
      </c>
      <c r="BM208" s="237">
        <f t="shared" si="469"/>
        <v>0</v>
      </c>
      <c r="BN208" s="452">
        <f t="shared" si="470"/>
        <v>13.350000000000001</v>
      </c>
      <c r="BO208" s="237">
        <f t="shared" si="471"/>
        <v>0</v>
      </c>
      <c r="BP208" s="432">
        <f t="shared" si="472"/>
        <v>0</v>
      </c>
      <c r="BQ208" s="22" t="str">
        <f t="shared" si="473"/>
        <v/>
      </c>
      <c r="BR208" s="250">
        <f t="shared" si="474"/>
        <v>0</v>
      </c>
      <c r="BS208" s="237">
        <f t="shared" si="475"/>
        <v>0</v>
      </c>
      <c r="BT208" s="452">
        <f t="shared" si="476"/>
        <v>13.350000000000001</v>
      </c>
      <c r="BU208" s="492">
        <f t="shared" si="477"/>
        <v>1.1749999999999998</v>
      </c>
      <c r="BV208" s="493">
        <f>IF(BT208="","",
IF(AND(BT208&gt;'Данные ТНПА'!$K$8,BT208&lt;='Данные ТНПА'!$L$8),'Данные ТНПА'!$N$8,
IF(AND(BT208&gt;'Данные ТНПА'!$K$9,BT208&lt;='Данные ТНПА'!$L$9),'Данные ТНПА'!$N$9,
IF(AND(BT208&gt;'Данные ТНПА'!$K$10,BT208&lt;='Данные ТНПА'!$L$10),'Данные ТНПА'!$N$10,
IF(AND(BT208&gt;'Данные ТНПА'!$K$11,BT208&lt;='Данные ТНПА'!$L$11),'Данные ТНПА'!$N$11,
IF(AND(BT208&gt;'Данные ТНПА'!$K$12,BT208&lt;='Данные ТНПА'!$L$12),'Данные ТНПА'!$N$12,
IF(AND(BT208&gt;'Данные ТНПА'!$K$13,BT208&lt;='Данные ТНПА'!$L$13),'Данные ТНПА'!$N$13,
IF(AND(BT208&gt;'Данные ТНПА'!$K$14,BT208&lt;='Данные ТНПА'!$L$14),'Данные ТНПА'!$N$14))))))))</f>
        <v>1.5</v>
      </c>
      <c r="BW208" s="493">
        <f t="shared" si="478"/>
        <v>16.350000000000001</v>
      </c>
      <c r="BX208" s="457">
        <f t="shared" si="498"/>
        <v>1080</v>
      </c>
      <c r="BY208" s="457">
        <f t="shared" si="499"/>
        <v>0</v>
      </c>
      <c r="BZ208" s="457">
        <f t="shared" si="500"/>
        <v>129.4282766203884</v>
      </c>
      <c r="CA208" s="457" t="e">
        <f t="shared" si="479"/>
        <v>#REF!</v>
      </c>
      <c r="CB208" s="458">
        <f t="shared" si="480"/>
        <v>0</v>
      </c>
      <c r="CC208" s="457">
        <f t="shared" si="481"/>
        <v>0</v>
      </c>
      <c r="CD208" s="457">
        <f t="shared" si="482"/>
        <v>0</v>
      </c>
      <c r="CE208" s="457">
        <f t="shared" si="483"/>
        <v>0</v>
      </c>
      <c r="CF208" s="457">
        <f t="shared" si="484"/>
        <v>0</v>
      </c>
      <c r="CG208" s="458">
        <f t="shared" si="501"/>
        <v>0</v>
      </c>
      <c r="CH208" s="457">
        <f t="shared" si="485"/>
        <v>0</v>
      </c>
      <c r="CI208" s="457">
        <f t="shared" si="486"/>
        <v>0</v>
      </c>
      <c r="CJ208" s="458">
        <f t="shared" si="487"/>
        <v>0</v>
      </c>
      <c r="CK208" s="458">
        <f t="shared" si="502"/>
        <v>101.88938957828563</v>
      </c>
      <c r="CL208" s="457">
        <f t="shared" si="503"/>
        <v>1311.317666198674</v>
      </c>
      <c r="CM208" s="504"/>
      <c r="CN208" s="504"/>
    </row>
    <row r="209" spans="1:92" ht="14.25" hidden="1" customHeight="1" x14ac:dyDescent="0.25">
      <c r="A209" s="389" t="str">
        <f>IF(D209="",CONCATENATE("Кабель ",IF(C209="а","А",""),$A$9),CONCATENATE("Кабель ",IF(C209="а","А",""),$A$9," ",D209,"*",F209,IF(G209="ок"," (ож)","")," - ",B209," ",IF(G209="мс"," фас. ",""),$A$2))</f>
        <v>Кабель АВВГ 1*500 - 1 ГОСТ 16442-80</v>
      </c>
      <c r="B209" s="450">
        <v>1</v>
      </c>
      <c r="C209" s="451" t="s">
        <v>164</v>
      </c>
      <c r="D209" s="412">
        <v>1</v>
      </c>
      <c r="E209" s="413" t="s">
        <v>40</v>
      </c>
      <c r="F209" s="423">
        <v>500</v>
      </c>
      <c r="G209" s="414" t="s">
        <v>154</v>
      </c>
      <c r="H209" s="461">
        <v>3.46</v>
      </c>
      <c r="I209" s="478">
        <v>57</v>
      </c>
      <c r="J209" s="477" t="s">
        <v>40</v>
      </c>
      <c r="K209" s="470">
        <f>ROUNDUP(SQRT(F209/I209/PI()*4*1.07),2)</f>
        <v>3.46</v>
      </c>
      <c r="L209" s="501">
        <v>9.4499999999999993</v>
      </c>
      <c r="M209" s="475"/>
      <c r="N209" s="475"/>
      <c r="O209" s="475"/>
      <c r="P209" s="475"/>
      <c r="Q209" s="483">
        <f t="shared" si="439"/>
        <v>2.42</v>
      </c>
      <c r="R209" s="484">
        <f>IF(B209=0.66,VLOOKUP(F209,'Данные ТНПА'!$B$8:$C$16,2,0),
IF(B209=1,VLOOKUP(F209,'Данные ТНПА'!$B$17:$C$37,2,0),"ошибка"))</f>
        <v>2.8</v>
      </c>
      <c r="S209" s="485">
        <f t="shared" si="488"/>
        <v>14.29</v>
      </c>
      <c r="T209" s="486"/>
      <c r="U209" s="487"/>
      <c r="V209" s="485">
        <f t="shared" si="489"/>
        <v>15.049999999999999</v>
      </c>
      <c r="W209" s="486"/>
      <c r="X209" s="487"/>
      <c r="Y209" s="489">
        <f t="shared" si="490"/>
        <v>0</v>
      </c>
      <c r="Z209" s="491">
        <f t="shared" si="491"/>
        <v>15.049999999999999</v>
      </c>
      <c r="AA209" s="237">
        <f t="shared" si="492"/>
        <v>0</v>
      </c>
      <c r="AB209" s="452">
        <f t="shared" si="440"/>
        <v>15.049999999999999</v>
      </c>
      <c r="AC209" s="201">
        <f t="shared" si="493"/>
        <v>0</v>
      </c>
      <c r="AD209" s="203">
        <f t="shared" si="441"/>
        <v>0</v>
      </c>
      <c r="AE209" s="37" t="str">
        <f t="shared" si="494"/>
        <v/>
      </c>
      <c r="AF209" s="202">
        <f t="shared" si="442"/>
        <v>0</v>
      </c>
      <c r="AG209" s="201">
        <f t="shared" si="443"/>
        <v>0</v>
      </c>
      <c r="AH209" s="61">
        <f t="shared" si="495"/>
        <v>15.049999999999999</v>
      </c>
      <c r="AI209" s="443">
        <f t="shared" si="397"/>
        <v>0</v>
      </c>
      <c r="AJ209" s="444">
        <f t="shared" si="444"/>
        <v>0</v>
      </c>
      <c r="AK209" s="445">
        <f t="shared" si="445"/>
        <v>0</v>
      </c>
      <c r="AL209" s="446">
        <f t="shared" si="446"/>
        <v>0</v>
      </c>
      <c r="AM209" s="447">
        <f t="shared" si="447"/>
        <v>0</v>
      </c>
      <c r="AN209" s="24">
        <f t="shared" si="448"/>
        <v>15.049999999999999</v>
      </c>
      <c r="AO209" s="443">
        <f t="shared" si="496"/>
        <v>0</v>
      </c>
      <c r="AP209" s="444">
        <f t="shared" si="449"/>
        <v>0</v>
      </c>
      <c r="AQ209" s="445">
        <f t="shared" si="450"/>
        <v>0</v>
      </c>
      <c r="AR209" s="446">
        <f t="shared" si="451"/>
        <v>0</v>
      </c>
      <c r="AS209" s="447">
        <f t="shared" si="452"/>
        <v>0</v>
      </c>
      <c r="AT209" s="24">
        <f t="shared" si="453"/>
        <v>15.049999999999999</v>
      </c>
      <c r="AU209" s="443">
        <f t="shared" si="497"/>
        <v>0</v>
      </c>
      <c r="AV209" s="444">
        <f t="shared" si="454"/>
        <v>0</v>
      </c>
      <c r="AW209" s="445">
        <f t="shared" si="455"/>
        <v>0</v>
      </c>
      <c r="AX209" s="446">
        <f t="shared" si="456"/>
        <v>0</v>
      </c>
      <c r="AY209" s="447">
        <f t="shared" si="457"/>
        <v>0</v>
      </c>
      <c r="AZ209" s="24">
        <f t="shared" si="458"/>
        <v>15.049999999999999</v>
      </c>
      <c r="BA209" s="43">
        <f>IF(BB209=0,0,
IF(D209=1,
(IF(AND(AH209&gt;'Данные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"ошибка_1"))))))),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"ошибка_2"))))))))</f>
        <v>0</v>
      </c>
      <c r="BB209" s="43">
        <f>IF(OR($AI$9=0,AND(D209&gt;1,F209&gt;10)),0,
IF(D209=1,
(IF(AND(AH209&gt;'Данные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"ошибка_1"))))))),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IF(AND(AH209&gt;'Данные ТНПА'!#REF!,AH209&lt;='Данные ТНПА'!#REF!),'Данные ТНПА'!#REF!,
"ошибка_2"))))))))</f>
        <v>0</v>
      </c>
      <c r="BC209" s="43">
        <f t="shared" si="459"/>
        <v>15.049999999999999</v>
      </c>
      <c r="BD209" s="237">
        <f t="shared" si="460"/>
        <v>0</v>
      </c>
      <c r="BE209" s="43">
        <f t="shared" si="461"/>
        <v>0</v>
      </c>
      <c r="BF209" s="201">
        <f t="shared" si="462"/>
        <v>0</v>
      </c>
      <c r="BG209" s="201">
        <f t="shared" si="463"/>
        <v>0</v>
      </c>
      <c r="BH209" s="61">
        <f t="shared" si="464"/>
        <v>15.049999999999999</v>
      </c>
      <c r="BI209" s="237">
        <f t="shared" si="465"/>
        <v>0</v>
      </c>
      <c r="BJ209" s="247">
        <f t="shared" si="466"/>
        <v>0</v>
      </c>
      <c r="BK209" s="431">
        <f t="shared" si="467"/>
        <v>0</v>
      </c>
      <c r="BL209" s="250">
        <f t="shared" si="468"/>
        <v>0</v>
      </c>
      <c r="BM209" s="237">
        <f t="shared" si="469"/>
        <v>0</v>
      </c>
      <c r="BN209" s="452">
        <f t="shared" si="470"/>
        <v>15.049999999999999</v>
      </c>
      <c r="BO209" s="237">
        <f t="shared" si="471"/>
        <v>0</v>
      </c>
      <c r="BP209" s="432">
        <f t="shared" si="472"/>
        <v>0</v>
      </c>
      <c r="BQ209" s="22" t="str">
        <f t="shared" si="473"/>
        <v/>
      </c>
      <c r="BR209" s="250">
        <f t="shared" si="474"/>
        <v>0</v>
      </c>
      <c r="BS209" s="237">
        <f t="shared" si="475"/>
        <v>0</v>
      </c>
      <c r="BT209" s="452">
        <f t="shared" si="476"/>
        <v>15.049999999999999</v>
      </c>
      <c r="BU209" s="492">
        <f t="shared" si="477"/>
        <v>1.3449999999999998</v>
      </c>
      <c r="BV209" s="493">
        <f>IF(BT209="","",
IF(AND(BT209&gt;'Данные ТНПА'!$K$8,BT209&lt;='Данные ТНПА'!$L$8),'Данные ТНПА'!$N$8,
IF(AND(BT209&gt;'Данные ТНПА'!$K$9,BT209&lt;='Данные ТНПА'!$L$9),'Данные ТНПА'!$N$9,
IF(AND(BT209&gt;'Данные ТНПА'!$K$10,BT209&lt;='Данные ТНПА'!$L$10),'Данные ТНПА'!$N$10,
IF(AND(BT209&gt;'Данные ТНПА'!$K$11,BT209&lt;='Данные ТНПА'!$L$11),'Данные ТНПА'!$N$11,
IF(AND(BT209&gt;'Данные ТНПА'!$K$12,BT209&lt;='Данные ТНПА'!$L$12),'Данные ТНПА'!$N$12,
IF(AND(BT209&gt;'Данные ТНПА'!$K$13,BT209&lt;='Данные ТНПА'!$L$13),'Данные ТНПА'!$N$13,
IF(AND(BT209&gt;'Данные ТНПА'!$K$14,BT209&lt;='Данные ТНПА'!$L$14),'Данные ТНПА'!$N$14))))))))</f>
        <v>1.7</v>
      </c>
      <c r="BW209" s="493">
        <f t="shared" si="478"/>
        <v>18.45</v>
      </c>
      <c r="BX209" s="457">
        <f t="shared" si="498"/>
        <v>1350</v>
      </c>
      <c r="BY209" s="457">
        <f t="shared" si="499"/>
        <v>0</v>
      </c>
      <c r="BZ209" s="457">
        <f t="shared" si="500"/>
        <v>158.83326969872348</v>
      </c>
      <c r="CA209" s="457" t="e">
        <f t="shared" si="479"/>
        <v>#REF!</v>
      </c>
      <c r="CB209" s="458">
        <f t="shared" si="480"/>
        <v>0</v>
      </c>
      <c r="CC209" s="457">
        <f t="shared" si="481"/>
        <v>0</v>
      </c>
      <c r="CD209" s="457">
        <f t="shared" si="482"/>
        <v>0</v>
      </c>
      <c r="CE209" s="457">
        <f t="shared" si="483"/>
        <v>0</v>
      </c>
      <c r="CF209" s="457">
        <f t="shared" si="484"/>
        <v>0</v>
      </c>
      <c r="CG209" s="458">
        <f t="shared" si="501"/>
        <v>0</v>
      </c>
      <c r="CH209" s="457">
        <f t="shared" si="485"/>
        <v>0</v>
      </c>
      <c r="CI209" s="457">
        <f t="shared" si="486"/>
        <v>0</v>
      </c>
      <c r="CJ209" s="458">
        <f t="shared" si="487"/>
        <v>0</v>
      </c>
      <c r="CK209" s="458">
        <f t="shared" si="502"/>
        <v>130.2491747807714</v>
      </c>
      <c r="CL209" s="457">
        <f t="shared" si="503"/>
        <v>1639.0824444794951</v>
      </c>
      <c r="CM209" s="504"/>
      <c r="CN209" s="504"/>
    </row>
    <row r="210" spans="1:92" ht="14.25" hidden="1" customHeight="1" x14ac:dyDescent="0.25">
      <c r="A210" s="389" t="str">
        <f>IF(D210="",CONCATENATE("Кабель ",IF(C210="а","А",""),$A$9),CONCATENATE("Кабель ",IF(C210="а","А",""),$A$9," ",D210,"*",F210,IF(G210="ок"," (ож)","")," - ",B210," ",IF(G210="мс"," фас. ",""),$A$2))</f>
        <v>Кабель АВВГ 1*630 - 1 ГОСТ 16442-80</v>
      </c>
      <c r="B210" s="450">
        <v>1</v>
      </c>
      <c r="C210" s="451" t="s">
        <v>164</v>
      </c>
      <c r="D210" s="412">
        <v>1</v>
      </c>
      <c r="E210" s="413" t="s">
        <v>40</v>
      </c>
      <c r="F210" s="423">
        <v>630</v>
      </c>
      <c r="G210" s="414" t="s">
        <v>154</v>
      </c>
      <c r="H210" s="461">
        <v>3.8499999999999996</v>
      </c>
      <c r="I210" s="478">
        <v>58</v>
      </c>
      <c r="J210" s="477" t="s">
        <v>40</v>
      </c>
      <c r="K210" s="470">
        <f>ROUNDUP(SQRT(F210/I210/PI()*4*1.07),2)</f>
        <v>3.8499999999999996</v>
      </c>
      <c r="L210" s="501">
        <v>9.75</v>
      </c>
      <c r="M210" s="475"/>
      <c r="N210" s="475"/>
      <c r="O210" s="475"/>
      <c r="P210" s="475"/>
      <c r="Q210" s="483">
        <f t="shared" si="439"/>
        <v>2.42</v>
      </c>
      <c r="R210" s="484">
        <f>IF(B210=0.66,VLOOKUP(F210,'Данные ТНПА'!$B$8:$C$16,2,0),
IF(B210=1,VLOOKUP(F210,'Данные ТНПА'!$B$17:$C$37,2,0),"ошибка"))</f>
        <v>2.8</v>
      </c>
      <c r="S210" s="485">
        <f t="shared" si="488"/>
        <v>14.59</v>
      </c>
      <c r="T210" s="486"/>
      <c r="U210" s="487"/>
      <c r="V210" s="485">
        <f t="shared" si="489"/>
        <v>15.35</v>
      </c>
      <c r="W210" s="486"/>
      <c r="X210" s="487"/>
      <c r="Y210" s="489">
        <f t="shared" si="490"/>
        <v>0</v>
      </c>
      <c r="Z210" s="491">
        <f t="shared" si="491"/>
        <v>15.35</v>
      </c>
      <c r="AA210" s="237">
        <f t="shared" si="492"/>
        <v>0</v>
      </c>
      <c r="AB210" s="452">
        <f t="shared" si="440"/>
        <v>15.35</v>
      </c>
      <c r="AC210" s="201">
        <f t="shared" si="493"/>
        <v>0</v>
      </c>
      <c r="AD210" s="203">
        <f t="shared" si="441"/>
        <v>0</v>
      </c>
      <c r="AE210" s="37" t="str">
        <f t="shared" si="494"/>
        <v/>
      </c>
      <c r="AF210" s="202">
        <f t="shared" si="442"/>
        <v>0</v>
      </c>
      <c r="AG210" s="201">
        <f t="shared" si="443"/>
        <v>0</v>
      </c>
      <c r="AH210" s="61">
        <f t="shared" si="495"/>
        <v>15.35</v>
      </c>
      <c r="AI210" s="443">
        <f t="shared" si="397"/>
        <v>0</v>
      </c>
      <c r="AJ210" s="444">
        <f t="shared" si="444"/>
        <v>0</v>
      </c>
      <c r="AK210" s="445">
        <f t="shared" si="445"/>
        <v>0</v>
      </c>
      <c r="AL210" s="446">
        <f t="shared" si="446"/>
        <v>0</v>
      </c>
      <c r="AM210" s="447">
        <f t="shared" si="447"/>
        <v>0</v>
      </c>
      <c r="AN210" s="24">
        <f t="shared" si="448"/>
        <v>15.35</v>
      </c>
      <c r="AO210" s="443">
        <f t="shared" si="496"/>
        <v>0</v>
      </c>
      <c r="AP210" s="444">
        <f t="shared" si="449"/>
        <v>0</v>
      </c>
      <c r="AQ210" s="445">
        <f t="shared" si="450"/>
        <v>0</v>
      </c>
      <c r="AR210" s="446">
        <f t="shared" si="451"/>
        <v>0</v>
      </c>
      <c r="AS210" s="447">
        <f t="shared" si="452"/>
        <v>0</v>
      </c>
      <c r="AT210" s="24">
        <f t="shared" si="453"/>
        <v>15.35</v>
      </c>
      <c r="AU210" s="443">
        <f t="shared" si="497"/>
        <v>0</v>
      </c>
      <c r="AV210" s="444">
        <f t="shared" si="454"/>
        <v>0</v>
      </c>
      <c r="AW210" s="445">
        <f t="shared" si="455"/>
        <v>0</v>
      </c>
      <c r="AX210" s="446">
        <f t="shared" si="456"/>
        <v>0</v>
      </c>
      <c r="AY210" s="447">
        <f t="shared" si="457"/>
        <v>0</v>
      </c>
      <c r="AZ210" s="24">
        <f t="shared" si="458"/>
        <v>15.35</v>
      </c>
      <c r="BA210" s="43">
        <f>IF(BB210=0,0,
IF(D210=1,
(IF(AND(AH210&gt;'Данные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"ошибка_1"))))))),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"ошибка_2"))))))))</f>
        <v>0</v>
      </c>
      <c r="BB210" s="43">
        <f>IF(OR($AI$9=0,AND(D210&gt;1,F210&gt;10)),0,
IF(D210=1,
(IF(AND(AH210&gt;'Данные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"ошибка_1"))))))),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IF(AND(AH210&gt;'Данные ТНПА'!#REF!,AH210&lt;='Данные ТНПА'!#REF!),'Данные ТНПА'!#REF!,
"ошибка_2"))))))))</f>
        <v>0</v>
      </c>
      <c r="BC210" s="43">
        <f t="shared" si="459"/>
        <v>15.35</v>
      </c>
      <c r="BD210" s="237">
        <f t="shared" si="460"/>
        <v>0</v>
      </c>
      <c r="BE210" s="43">
        <f t="shared" si="461"/>
        <v>0</v>
      </c>
      <c r="BF210" s="201">
        <f t="shared" si="462"/>
        <v>0</v>
      </c>
      <c r="BG210" s="201">
        <f t="shared" si="463"/>
        <v>0</v>
      </c>
      <c r="BH210" s="61">
        <f t="shared" si="464"/>
        <v>15.35</v>
      </c>
      <c r="BI210" s="237">
        <f t="shared" si="465"/>
        <v>0</v>
      </c>
      <c r="BJ210" s="247">
        <f t="shared" si="466"/>
        <v>0</v>
      </c>
      <c r="BK210" s="431">
        <f t="shared" si="467"/>
        <v>0</v>
      </c>
      <c r="BL210" s="250">
        <f t="shared" si="468"/>
        <v>0</v>
      </c>
      <c r="BM210" s="237">
        <f t="shared" si="469"/>
        <v>0</v>
      </c>
      <c r="BN210" s="452">
        <f t="shared" si="470"/>
        <v>15.35</v>
      </c>
      <c r="BO210" s="237">
        <f t="shared" si="471"/>
        <v>0</v>
      </c>
      <c r="BP210" s="432">
        <f t="shared" si="472"/>
        <v>0</v>
      </c>
      <c r="BQ210" s="22" t="str">
        <f t="shared" si="473"/>
        <v/>
      </c>
      <c r="BR210" s="250">
        <f t="shared" si="474"/>
        <v>0</v>
      </c>
      <c r="BS210" s="237">
        <f t="shared" si="475"/>
        <v>0</v>
      </c>
      <c r="BT210" s="452">
        <f t="shared" si="476"/>
        <v>15.35</v>
      </c>
      <c r="BU210" s="492">
        <f t="shared" si="477"/>
        <v>1.3449999999999998</v>
      </c>
      <c r="BV210" s="493">
        <f>IF(BT210="","",
IF(AND(BT210&gt;'Данные ТНПА'!$K$8,BT210&lt;='Данные ТНПА'!$L$8),'Данные ТНПА'!$N$8,
IF(AND(BT210&gt;'Данные ТНПА'!$K$9,BT210&lt;='Данные ТНПА'!$L$9),'Данные ТНПА'!$N$9,
IF(AND(BT210&gt;'Данные ТНПА'!$K$10,BT210&lt;='Данные ТНПА'!$L$10),'Данные ТНПА'!$N$10,
IF(AND(BT210&gt;'Данные ТНПА'!$K$11,BT210&lt;='Данные ТНПА'!$L$11),'Данные ТНПА'!$N$11,
IF(AND(BT210&gt;'Данные ТНПА'!$K$12,BT210&lt;='Данные ТНПА'!$L$12),'Данные ТНПА'!$N$12,
IF(AND(BT210&gt;'Данные ТНПА'!$K$13,BT210&lt;='Данные ТНПА'!$L$13),'Данные ТНПА'!$N$13,
IF(AND(BT210&gt;'Данные ТНПА'!$K$14,BT210&lt;='Данные ТНПА'!$L$14),'Данные ТНПА'!$N$14))))))))</f>
        <v>1.7</v>
      </c>
      <c r="BW210" s="493">
        <f t="shared" si="478"/>
        <v>18.75</v>
      </c>
      <c r="BX210" s="457">
        <f t="shared" si="498"/>
        <v>1701</v>
      </c>
      <c r="BY210" s="457">
        <f t="shared" si="499"/>
        <v>0</v>
      </c>
      <c r="BZ210" s="457">
        <f t="shared" si="500"/>
        <v>162.72306405869224</v>
      </c>
      <c r="CA210" s="457" t="e">
        <f t="shared" si="479"/>
        <v>#REF!</v>
      </c>
      <c r="CB210" s="458">
        <f t="shared" si="480"/>
        <v>0</v>
      </c>
      <c r="CC210" s="457">
        <f t="shared" si="481"/>
        <v>0</v>
      </c>
      <c r="CD210" s="457">
        <f t="shared" si="482"/>
        <v>0</v>
      </c>
      <c r="CE210" s="457">
        <f t="shared" si="483"/>
        <v>0</v>
      </c>
      <c r="CF210" s="457">
        <f t="shared" si="484"/>
        <v>0</v>
      </c>
      <c r="CG210" s="458">
        <f t="shared" si="501"/>
        <v>0</v>
      </c>
      <c r="CH210" s="457">
        <f t="shared" si="485"/>
        <v>0</v>
      </c>
      <c r="CI210" s="457">
        <f t="shared" si="486"/>
        <v>0</v>
      </c>
      <c r="CJ210" s="458">
        <f t="shared" si="487"/>
        <v>0</v>
      </c>
      <c r="CK210" s="458">
        <f t="shared" si="502"/>
        <v>132.58199582162104</v>
      </c>
      <c r="CL210" s="457">
        <f t="shared" si="503"/>
        <v>1996.3050598803134</v>
      </c>
      <c r="CM210" s="504"/>
      <c r="CN210" s="504"/>
    </row>
    <row r="211" spans="1:92" ht="14.25" hidden="1" customHeight="1" x14ac:dyDescent="0.25">
      <c r="A211" s="389" t="str">
        <f>IF(D211="",CONCATENATE("Кабель ",IF(C211="а","А",""),$A$9),CONCATENATE("Кабель ",IF(C211="а","А",""),$A$9," ",D211,"*",F211,IF(G211="ок"," (ож)","")," - ",B211," ",IF(G211="мс"," фас. ",""),$A$2))</f>
        <v>Кабель АВВГ 1*800 - 1 ГОСТ 16442-80</v>
      </c>
      <c r="B211" s="450">
        <v>1</v>
      </c>
      <c r="C211" s="451" t="s">
        <v>164</v>
      </c>
      <c r="D211" s="412">
        <v>1</v>
      </c>
      <c r="E211" s="413" t="s">
        <v>40</v>
      </c>
      <c r="F211" s="423">
        <v>800</v>
      </c>
      <c r="G211" s="414" t="s">
        <v>154</v>
      </c>
      <c r="H211" s="461">
        <v>3.61</v>
      </c>
      <c r="I211" s="478">
        <v>84</v>
      </c>
      <c r="J211" s="477" t="s">
        <v>40</v>
      </c>
      <c r="K211" s="470">
        <f>ROUNDUP(SQRT(F211/I211/PI()*4*1.07),2)</f>
        <v>3.61</v>
      </c>
      <c r="L211" s="501">
        <v>11.35</v>
      </c>
      <c r="M211" s="475"/>
      <c r="N211" s="475"/>
      <c r="O211" s="475"/>
      <c r="P211" s="475"/>
      <c r="Q211" s="483">
        <f t="shared" si="439"/>
        <v>2.42</v>
      </c>
      <c r="R211" s="484">
        <f>IF(B211=0.66,VLOOKUP(F211,'Данные ТНПА'!$B$8:$C$16,2,0),
IF(B211=1,VLOOKUP(F211,'Данные ТНПА'!$B$17:$C$37,2,0),"ошибка"))</f>
        <v>2.8</v>
      </c>
      <c r="S211" s="485">
        <f t="shared" si="488"/>
        <v>16.189999999999998</v>
      </c>
      <c r="T211" s="486"/>
      <c r="U211" s="487"/>
      <c r="V211" s="485">
        <f t="shared" si="489"/>
        <v>16.95</v>
      </c>
      <c r="W211" s="486"/>
      <c r="X211" s="487"/>
      <c r="Y211" s="489">
        <f t="shared" si="490"/>
        <v>0</v>
      </c>
      <c r="Z211" s="491">
        <f t="shared" si="491"/>
        <v>16.95</v>
      </c>
      <c r="AA211" s="237">
        <f t="shared" si="492"/>
        <v>0</v>
      </c>
      <c r="AB211" s="452">
        <f t="shared" si="440"/>
        <v>16.95</v>
      </c>
      <c r="AC211" s="201">
        <f t="shared" si="493"/>
        <v>0</v>
      </c>
      <c r="AD211" s="203">
        <f t="shared" si="441"/>
        <v>0</v>
      </c>
      <c r="AE211" s="37" t="str">
        <f t="shared" si="494"/>
        <v/>
      </c>
      <c r="AF211" s="202">
        <f t="shared" si="442"/>
        <v>0</v>
      </c>
      <c r="AG211" s="201">
        <f t="shared" si="443"/>
        <v>0</v>
      </c>
      <c r="AH211" s="61">
        <f t="shared" si="495"/>
        <v>16.95</v>
      </c>
      <c r="AI211" s="443">
        <f t="shared" si="397"/>
        <v>0</v>
      </c>
      <c r="AJ211" s="444">
        <f t="shared" si="444"/>
        <v>0</v>
      </c>
      <c r="AK211" s="445">
        <f t="shared" si="445"/>
        <v>0</v>
      </c>
      <c r="AL211" s="446">
        <f t="shared" si="446"/>
        <v>0</v>
      </c>
      <c r="AM211" s="447">
        <f t="shared" si="447"/>
        <v>0</v>
      </c>
      <c r="AN211" s="24">
        <f t="shared" si="448"/>
        <v>16.95</v>
      </c>
      <c r="AO211" s="443">
        <f t="shared" si="496"/>
        <v>0</v>
      </c>
      <c r="AP211" s="444">
        <f t="shared" si="449"/>
        <v>0</v>
      </c>
      <c r="AQ211" s="445">
        <f t="shared" si="450"/>
        <v>0</v>
      </c>
      <c r="AR211" s="446">
        <f t="shared" si="451"/>
        <v>0</v>
      </c>
      <c r="AS211" s="447">
        <f t="shared" si="452"/>
        <v>0</v>
      </c>
      <c r="AT211" s="24">
        <f t="shared" si="453"/>
        <v>16.95</v>
      </c>
      <c r="AU211" s="443">
        <f t="shared" si="497"/>
        <v>0</v>
      </c>
      <c r="AV211" s="444">
        <f t="shared" si="454"/>
        <v>0</v>
      </c>
      <c r="AW211" s="445">
        <f t="shared" si="455"/>
        <v>0</v>
      </c>
      <c r="AX211" s="446">
        <f t="shared" si="456"/>
        <v>0</v>
      </c>
      <c r="AY211" s="447">
        <f t="shared" si="457"/>
        <v>0</v>
      </c>
      <c r="AZ211" s="24">
        <f t="shared" si="458"/>
        <v>16.95</v>
      </c>
      <c r="BA211" s="43">
        <f>IF(BB211=0,0,
IF(D211=1,
(IF(AND(AH211&gt;'Данные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"ошибка_1"))))))),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"ошибка_2"))))))))</f>
        <v>0</v>
      </c>
      <c r="BB211" s="43">
        <f>IF(OR($AI$9=0,AND(D211&gt;1,F211&gt;10)),0,
IF(D211=1,
(IF(AND(AH211&gt;'Данные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"ошибка_1"))))))),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IF(AND(AH211&gt;'Данные ТНПА'!#REF!,AH211&lt;='Данные ТНПА'!#REF!),'Данные ТНПА'!#REF!,
"ошибка_2"))))))))</f>
        <v>0</v>
      </c>
      <c r="BC211" s="43">
        <f t="shared" si="459"/>
        <v>16.95</v>
      </c>
      <c r="BD211" s="237">
        <f t="shared" si="460"/>
        <v>0</v>
      </c>
      <c r="BE211" s="43">
        <f t="shared" si="461"/>
        <v>0</v>
      </c>
      <c r="BF211" s="201">
        <f t="shared" si="462"/>
        <v>0</v>
      </c>
      <c r="BG211" s="201">
        <f t="shared" si="463"/>
        <v>0</v>
      </c>
      <c r="BH211" s="61">
        <f t="shared" si="464"/>
        <v>16.95</v>
      </c>
      <c r="BI211" s="237">
        <f t="shared" si="465"/>
        <v>0</v>
      </c>
      <c r="BJ211" s="247">
        <f t="shared" si="466"/>
        <v>0</v>
      </c>
      <c r="BK211" s="431">
        <f t="shared" si="467"/>
        <v>0</v>
      </c>
      <c r="BL211" s="250">
        <f t="shared" si="468"/>
        <v>0</v>
      </c>
      <c r="BM211" s="237">
        <f t="shared" si="469"/>
        <v>0</v>
      </c>
      <c r="BN211" s="452">
        <f t="shared" si="470"/>
        <v>16.95</v>
      </c>
      <c r="BO211" s="237">
        <f t="shared" si="471"/>
        <v>0</v>
      </c>
      <c r="BP211" s="432">
        <f t="shared" si="472"/>
        <v>0</v>
      </c>
      <c r="BQ211" s="22" t="str">
        <f t="shared" si="473"/>
        <v/>
      </c>
      <c r="BR211" s="250">
        <f t="shared" si="474"/>
        <v>0</v>
      </c>
      <c r="BS211" s="237">
        <f t="shared" si="475"/>
        <v>0</v>
      </c>
      <c r="BT211" s="452">
        <f t="shared" si="476"/>
        <v>16.95</v>
      </c>
      <c r="BU211" s="492">
        <f t="shared" si="477"/>
        <v>1.3449999999999998</v>
      </c>
      <c r="BV211" s="493">
        <f>IF(BT211="","",
IF(AND(BT211&gt;'Данные ТНПА'!$K$8,BT211&lt;='Данные ТНПА'!$L$8),'Данные ТНПА'!$N$8,
IF(AND(BT211&gt;'Данные ТНПА'!$K$9,BT211&lt;='Данные ТНПА'!$L$9),'Данные ТНПА'!$N$9,
IF(AND(BT211&gt;'Данные ТНПА'!$K$10,BT211&lt;='Данные ТНПА'!$L$10),'Данные ТНПА'!$N$10,
IF(AND(BT211&gt;'Данные ТНПА'!$K$11,BT211&lt;='Данные ТНПА'!$L$11),'Данные ТНПА'!$N$11,
IF(AND(BT211&gt;'Данные ТНПА'!$K$12,BT211&lt;='Данные ТНПА'!$L$12),'Данные ТНПА'!$N$12,
IF(AND(BT211&gt;'Данные ТНПА'!$K$13,BT211&lt;='Данные ТНПА'!$L$13),'Данные ТНПА'!$N$13,
IF(AND(BT211&gt;'Данные ТНПА'!$K$14,BT211&lt;='Данные ТНПА'!$L$14),'Данные ТНПА'!$N$14))))))))</f>
        <v>1.7</v>
      </c>
      <c r="BW211" s="493">
        <f t="shared" si="478"/>
        <v>20.349999999999998</v>
      </c>
      <c r="BX211" s="457">
        <f t="shared" si="498"/>
        <v>2160</v>
      </c>
      <c r="BY211" s="457">
        <f t="shared" si="499"/>
        <v>0</v>
      </c>
      <c r="BZ211" s="457">
        <f t="shared" si="500"/>
        <v>183.4686339785255</v>
      </c>
      <c r="CA211" s="457" t="e">
        <f t="shared" si="479"/>
        <v>#REF!</v>
      </c>
      <c r="CB211" s="458">
        <f t="shared" si="480"/>
        <v>0</v>
      </c>
      <c r="CC211" s="457">
        <f t="shared" si="481"/>
        <v>0</v>
      </c>
      <c r="CD211" s="457">
        <f t="shared" si="482"/>
        <v>0</v>
      </c>
      <c r="CE211" s="457">
        <f t="shared" si="483"/>
        <v>0</v>
      </c>
      <c r="CF211" s="457">
        <f t="shared" si="484"/>
        <v>0</v>
      </c>
      <c r="CG211" s="458">
        <f t="shared" si="501"/>
        <v>0</v>
      </c>
      <c r="CH211" s="457">
        <f t="shared" si="485"/>
        <v>0</v>
      </c>
      <c r="CI211" s="457">
        <f t="shared" si="486"/>
        <v>0</v>
      </c>
      <c r="CJ211" s="458">
        <f t="shared" si="487"/>
        <v>0</v>
      </c>
      <c r="CK211" s="458">
        <f t="shared" si="502"/>
        <v>145.02370803948571</v>
      </c>
      <c r="CL211" s="457">
        <f t="shared" si="503"/>
        <v>2488.4923420180112</v>
      </c>
      <c r="CM211" s="504"/>
      <c r="CN211" s="504"/>
    </row>
    <row r="212" spans="1:92" ht="14.25" hidden="1" customHeight="1" x14ac:dyDescent="0.25">
      <c r="A212" s="389" t="str">
        <f>IF(D212="",CONCATENATE("Кабель ",IF(C212="а","А",""),$A$9),CONCATENATE("Кабель ",IF(C212="а","А",""),$A$9," ",D212,"*",F212,IF(G212="ок"," (ож)","")," - ",B212," ",IF(G212="мс"," фас. ",""),$A$2))</f>
        <v>Кабель АВВГ 1*1000 - 1 ГОСТ 16442-80</v>
      </c>
      <c r="B212" s="450">
        <v>1</v>
      </c>
      <c r="C212" s="451" t="s">
        <v>164</v>
      </c>
      <c r="D212" s="412">
        <v>1</v>
      </c>
      <c r="E212" s="413" t="s">
        <v>40</v>
      </c>
      <c r="F212" s="423">
        <v>1000</v>
      </c>
      <c r="G212" s="414" t="s">
        <v>154</v>
      </c>
      <c r="H212" s="461">
        <v>4.0599999999999996</v>
      </c>
      <c r="I212" s="478">
        <v>83</v>
      </c>
      <c r="J212" s="477" t="s">
        <v>40</v>
      </c>
      <c r="K212" s="470">
        <f>ROUNDUP(SQRT(F212/I212/PI()*4*1.07),2)</f>
        <v>4.0599999999999996</v>
      </c>
      <c r="L212" s="501">
        <v>12.950000000000001</v>
      </c>
      <c r="M212" s="475"/>
      <c r="N212" s="475"/>
      <c r="O212" s="475"/>
      <c r="P212" s="475"/>
      <c r="Q212" s="483">
        <f t="shared" si="439"/>
        <v>2.6</v>
      </c>
      <c r="R212" s="484">
        <f>IF(B212=0.66,VLOOKUP(F212,'Данные ТНПА'!$B$8:$C$16,2,0),
IF(B212=1,VLOOKUP(F212,'Данные ТНПА'!$B$17:$C$37,2,0),"ошибка"))</f>
        <v>3</v>
      </c>
      <c r="S212" s="485">
        <f t="shared" si="488"/>
        <v>18.150000000000002</v>
      </c>
      <c r="T212" s="486"/>
      <c r="U212" s="487"/>
      <c r="V212" s="485">
        <f t="shared" si="489"/>
        <v>18.950000000000003</v>
      </c>
      <c r="W212" s="486"/>
      <c r="X212" s="487"/>
      <c r="Y212" s="489">
        <f t="shared" si="490"/>
        <v>0</v>
      </c>
      <c r="Z212" s="491">
        <f t="shared" si="491"/>
        <v>18.950000000000003</v>
      </c>
      <c r="AA212" s="237">
        <f t="shared" si="492"/>
        <v>0</v>
      </c>
      <c r="AB212" s="452">
        <f t="shared" si="440"/>
        <v>18.950000000000003</v>
      </c>
      <c r="AC212" s="201">
        <f t="shared" si="493"/>
        <v>0</v>
      </c>
      <c r="AD212" s="203">
        <f t="shared" si="441"/>
        <v>0</v>
      </c>
      <c r="AE212" s="37" t="str">
        <f t="shared" si="494"/>
        <v/>
      </c>
      <c r="AF212" s="202">
        <f t="shared" si="442"/>
        <v>0</v>
      </c>
      <c r="AG212" s="201">
        <f t="shared" si="443"/>
        <v>0</v>
      </c>
      <c r="AH212" s="61">
        <f t="shared" si="495"/>
        <v>18.950000000000003</v>
      </c>
      <c r="AI212" s="443">
        <f t="shared" si="397"/>
        <v>0</v>
      </c>
      <c r="AJ212" s="444">
        <f t="shared" si="444"/>
        <v>0</v>
      </c>
      <c r="AK212" s="445">
        <f t="shared" si="445"/>
        <v>0</v>
      </c>
      <c r="AL212" s="446">
        <f t="shared" si="446"/>
        <v>0</v>
      </c>
      <c r="AM212" s="447">
        <f t="shared" si="447"/>
        <v>0</v>
      </c>
      <c r="AN212" s="24">
        <f t="shared" si="448"/>
        <v>18.950000000000003</v>
      </c>
      <c r="AO212" s="443">
        <f t="shared" si="496"/>
        <v>0</v>
      </c>
      <c r="AP212" s="444">
        <f t="shared" si="449"/>
        <v>0</v>
      </c>
      <c r="AQ212" s="445">
        <f t="shared" si="450"/>
        <v>0</v>
      </c>
      <c r="AR212" s="446">
        <f t="shared" si="451"/>
        <v>0</v>
      </c>
      <c r="AS212" s="447">
        <f t="shared" si="452"/>
        <v>0</v>
      </c>
      <c r="AT212" s="24">
        <f t="shared" si="453"/>
        <v>18.950000000000003</v>
      </c>
      <c r="AU212" s="443">
        <f t="shared" si="497"/>
        <v>0</v>
      </c>
      <c r="AV212" s="444">
        <f t="shared" si="454"/>
        <v>0</v>
      </c>
      <c r="AW212" s="445">
        <f t="shared" si="455"/>
        <v>0</v>
      </c>
      <c r="AX212" s="446">
        <f t="shared" si="456"/>
        <v>0</v>
      </c>
      <c r="AY212" s="447">
        <f t="shared" si="457"/>
        <v>0</v>
      </c>
      <c r="AZ212" s="24">
        <f t="shared" si="458"/>
        <v>18.950000000000003</v>
      </c>
      <c r="BA212" s="43">
        <f>IF(BB212=0,0,
IF(D212=1,
(IF(AND(AH212&gt;'Данные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"ошибка_1"))))))),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"ошибка_2"))))))))</f>
        <v>0</v>
      </c>
      <c r="BB212" s="43">
        <f>IF(OR($AI$9=0,AND(D212&gt;1,F212&gt;10)),0,
IF(D212=1,
(IF(AND(AH212&gt;'Данные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"ошибка_1"))))))),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IF(AND(AH212&gt;'Данные ТНПА'!#REF!,AH212&lt;='Данные ТНПА'!#REF!),'Данные ТНПА'!#REF!,
"ошибка_2"))))))))</f>
        <v>0</v>
      </c>
      <c r="BC212" s="43">
        <f t="shared" si="459"/>
        <v>18.950000000000003</v>
      </c>
      <c r="BD212" s="237">
        <f t="shared" si="460"/>
        <v>0</v>
      </c>
      <c r="BE212" s="43">
        <f t="shared" si="461"/>
        <v>0</v>
      </c>
      <c r="BF212" s="201">
        <f t="shared" si="462"/>
        <v>0</v>
      </c>
      <c r="BG212" s="201">
        <f t="shared" si="463"/>
        <v>0</v>
      </c>
      <c r="BH212" s="61">
        <f t="shared" si="464"/>
        <v>18.950000000000003</v>
      </c>
      <c r="BI212" s="237">
        <f t="shared" si="465"/>
        <v>0</v>
      </c>
      <c r="BJ212" s="247">
        <f t="shared" si="466"/>
        <v>0</v>
      </c>
      <c r="BK212" s="431">
        <f t="shared" si="467"/>
        <v>0</v>
      </c>
      <c r="BL212" s="250">
        <f t="shared" si="468"/>
        <v>0</v>
      </c>
      <c r="BM212" s="237">
        <f t="shared" si="469"/>
        <v>0</v>
      </c>
      <c r="BN212" s="452">
        <f t="shared" si="470"/>
        <v>18.950000000000003</v>
      </c>
      <c r="BO212" s="237">
        <f t="shared" si="471"/>
        <v>0</v>
      </c>
      <c r="BP212" s="432">
        <f t="shared" si="472"/>
        <v>0</v>
      </c>
      <c r="BQ212" s="22" t="str">
        <f t="shared" si="473"/>
        <v/>
      </c>
      <c r="BR212" s="250">
        <f t="shared" si="474"/>
        <v>0</v>
      </c>
      <c r="BS212" s="237">
        <f t="shared" si="475"/>
        <v>0</v>
      </c>
      <c r="BT212" s="452">
        <f t="shared" si="476"/>
        <v>18.950000000000003</v>
      </c>
      <c r="BU212" s="492">
        <f t="shared" si="477"/>
        <v>1.3449999999999998</v>
      </c>
      <c r="BV212" s="493">
        <f>IF(BT212="","",
IF(AND(BT212&gt;'Данные ТНПА'!$K$8,BT212&lt;='Данные ТНПА'!$L$8),'Данные ТНПА'!$N$8,
IF(AND(BT212&gt;'Данные ТНПА'!$K$9,BT212&lt;='Данные ТНПА'!$L$9),'Данные ТНПА'!$N$9,
IF(AND(BT212&gt;'Данные ТНПА'!$K$10,BT212&lt;='Данные ТНПА'!$L$10),'Данные ТНПА'!$N$10,
IF(AND(BT212&gt;'Данные ТНПА'!$K$11,BT212&lt;='Данные ТНПА'!$L$11),'Данные ТНПА'!$N$11,
IF(AND(BT212&gt;'Данные ТНПА'!$K$12,BT212&lt;='Данные ТНПА'!$L$12),'Данные ТНПА'!$N$12,
IF(AND(BT212&gt;'Данные ТНПА'!$K$13,BT212&lt;='Данные ТНПА'!$L$13),'Данные ТНПА'!$N$13,
IF(AND(BT212&gt;'Данные ТНПА'!$K$14,BT212&lt;='Данные ТНПА'!$L$14),'Данные ТНПА'!$N$14))))))))</f>
        <v>1.7</v>
      </c>
      <c r="BW212" s="493">
        <f t="shared" si="478"/>
        <v>22.35</v>
      </c>
      <c r="BX212" s="457">
        <f t="shared" si="498"/>
        <v>2700</v>
      </c>
      <c r="BY212" s="457">
        <f t="shared" si="499"/>
        <v>0</v>
      </c>
      <c r="BZ212" s="457">
        <f t="shared" si="500"/>
        <v>221.57935729107641</v>
      </c>
      <c r="CA212" s="457" t="e">
        <f t="shared" si="479"/>
        <v>#REF!</v>
      </c>
      <c r="CB212" s="458">
        <f t="shared" si="480"/>
        <v>0</v>
      </c>
      <c r="CC212" s="457">
        <f t="shared" si="481"/>
        <v>0</v>
      </c>
      <c r="CD212" s="457">
        <f t="shared" si="482"/>
        <v>0</v>
      </c>
      <c r="CE212" s="457">
        <f t="shared" si="483"/>
        <v>0</v>
      </c>
      <c r="CF212" s="457">
        <f t="shared" si="484"/>
        <v>0</v>
      </c>
      <c r="CG212" s="458">
        <f t="shared" si="501"/>
        <v>0</v>
      </c>
      <c r="CH212" s="457">
        <f t="shared" si="485"/>
        <v>0</v>
      </c>
      <c r="CI212" s="457">
        <f t="shared" si="486"/>
        <v>0</v>
      </c>
      <c r="CJ212" s="458">
        <f t="shared" si="487"/>
        <v>0</v>
      </c>
      <c r="CK212" s="458">
        <f t="shared" si="502"/>
        <v>160.57584831181666</v>
      </c>
      <c r="CL212" s="457">
        <f t="shared" si="503"/>
        <v>3082.1552056028931</v>
      </c>
      <c r="CM212" s="504"/>
      <c r="CN212" s="504"/>
    </row>
    <row r="213" spans="1:92" ht="14.25" hidden="1" customHeight="1" x14ac:dyDescent="0.25">
      <c r="A213" s="389" t="str">
        <f>IF(D213="",CONCATENATE("Кабель ",IF(C213="а","А",""),$A$9),CONCATENATE("Кабель ",IF(C213="а","А",""),$A$9," ",D213,"*",F213,IF(G213="ок"," (ож)","")," - ",B213," ",IF(G213="мс"," фас. ",""),$A$2))</f>
        <v>Кабель АВВГ 1*2,5 (ож) - 1 ГОСТ 16442-80</v>
      </c>
      <c r="B213" s="450">
        <v>1</v>
      </c>
      <c r="C213" s="451" t="s">
        <v>164</v>
      </c>
      <c r="D213" s="412">
        <v>1</v>
      </c>
      <c r="E213" s="413" t="s">
        <v>40</v>
      </c>
      <c r="F213" s="423">
        <v>2.5</v>
      </c>
      <c r="G213" s="414" t="str">
        <f>IF(I213=1,"ок","мк")</f>
        <v>ок</v>
      </c>
      <c r="H213" s="461">
        <v>1.79</v>
      </c>
      <c r="I213" s="497">
        <v>1</v>
      </c>
      <c r="J213" s="498" t="s">
        <v>40</v>
      </c>
      <c r="K213" s="496">
        <f>ROUNDUP(SQRT(F213/PI()*4),2)</f>
        <v>1.79</v>
      </c>
      <c r="L213" s="501">
        <v>14.25</v>
      </c>
      <c r="M213" s="475"/>
      <c r="N213" s="475"/>
      <c r="O213" s="475"/>
      <c r="P213" s="475"/>
      <c r="Q213" s="483">
        <f t="shared" si="439"/>
        <v>0.62000000000000011</v>
      </c>
      <c r="R213" s="484">
        <f>IF(B213=0.66,VLOOKUP(F213,'Данные ТНПА'!$B$8:$C$16,2,0),
IF(B213=1,VLOOKUP(F213,'Данные ТНПА'!$B$17:$C$37,2,0),"ошибка"))</f>
        <v>0.8</v>
      </c>
      <c r="S213" s="485">
        <f t="shared" si="488"/>
        <v>3.0300000000000002</v>
      </c>
      <c r="T213" s="486"/>
      <c r="U213" s="487"/>
      <c r="V213" s="485">
        <f t="shared" si="489"/>
        <v>3.39</v>
      </c>
      <c r="W213" s="486"/>
      <c r="X213" s="487"/>
      <c r="Y213" s="489">
        <f t="shared" si="490"/>
        <v>0</v>
      </c>
      <c r="Z213" s="491">
        <f t="shared" si="491"/>
        <v>3.39</v>
      </c>
      <c r="AA213" s="237">
        <f t="shared" si="492"/>
        <v>0</v>
      </c>
      <c r="AB213" s="452">
        <f t="shared" si="440"/>
        <v>3.39</v>
      </c>
      <c r="AC213" s="201">
        <f t="shared" si="493"/>
        <v>0</v>
      </c>
      <c r="AD213" s="203">
        <f t="shared" si="441"/>
        <v>0</v>
      </c>
      <c r="AE213" s="37" t="str">
        <f t="shared" si="494"/>
        <v/>
      </c>
      <c r="AF213" s="202">
        <f t="shared" si="442"/>
        <v>0</v>
      </c>
      <c r="AG213" s="201">
        <f t="shared" si="443"/>
        <v>0</v>
      </c>
      <c r="AH213" s="61">
        <f t="shared" si="495"/>
        <v>3.39</v>
      </c>
      <c r="AI213" s="443">
        <f t="shared" si="397"/>
        <v>0</v>
      </c>
      <c r="AJ213" s="444">
        <f t="shared" si="444"/>
        <v>0</v>
      </c>
      <c r="AK213" s="445">
        <f t="shared" si="445"/>
        <v>0</v>
      </c>
      <c r="AL213" s="446">
        <f t="shared" si="446"/>
        <v>0</v>
      </c>
      <c r="AM213" s="447">
        <f t="shared" si="447"/>
        <v>0</v>
      </c>
      <c r="AN213" s="24">
        <f t="shared" si="448"/>
        <v>3.39</v>
      </c>
      <c r="AO213" s="443">
        <f t="shared" si="496"/>
        <v>0</v>
      </c>
      <c r="AP213" s="444">
        <f t="shared" si="449"/>
        <v>0</v>
      </c>
      <c r="AQ213" s="445">
        <f t="shared" si="450"/>
        <v>0</v>
      </c>
      <c r="AR213" s="446">
        <f t="shared" si="451"/>
        <v>0</v>
      </c>
      <c r="AS213" s="447">
        <f t="shared" si="452"/>
        <v>0</v>
      </c>
      <c r="AT213" s="24">
        <f t="shared" si="453"/>
        <v>3.39</v>
      </c>
      <c r="AU213" s="443">
        <f t="shared" si="497"/>
        <v>0</v>
      </c>
      <c r="AV213" s="444">
        <f t="shared" si="454"/>
        <v>0</v>
      </c>
      <c r="AW213" s="445">
        <f t="shared" si="455"/>
        <v>0</v>
      </c>
      <c r="AX213" s="446">
        <f t="shared" si="456"/>
        <v>0</v>
      </c>
      <c r="AY213" s="447">
        <f t="shared" si="457"/>
        <v>0</v>
      </c>
      <c r="AZ213" s="24">
        <f t="shared" si="458"/>
        <v>3.39</v>
      </c>
      <c r="BA213" s="43">
        <f>IF(BB213=0,0,
IF(D213=1,
(IF(AND(AH213&gt;'Данные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"ошибка_1"))))))),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"ошибка_2"))))))))</f>
        <v>0</v>
      </c>
      <c r="BB213" s="43">
        <f>IF(OR($AI$9=0,AND(D213&gt;1,F213&gt;10)),0,
IF(D213=1,
(IF(AND(AH213&gt;'Данные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"ошибка_1"))))))),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IF(AND(AH213&gt;'Данные ТНПА'!#REF!,AH213&lt;='Данные ТНПА'!#REF!),'Данные ТНПА'!#REF!,
"ошибка_2"))))))))</f>
        <v>0</v>
      </c>
      <c r="BC213" s="43">
        <f t="shared" si="459"/>
        <v>3.39</v>
      </c>
      <c r="BD213" s="237">
        <f t="shared" si="460"/>
        <v>0</v>
      </c>
      <c r="BE213" s="43">
        <f t="shared" si="461"/>
        <v>0</v>
      </c>
      <c r="BF213" s="201">
        <f t="shared" si="462"/>
        <v>0</v>
      </c>
      <c r="BG213" s="201">
        <f t="shared" si="463"/>
        <v>0</v>
      </c>
      <c r="BH213" s="61">
        <f t="shared" si="464"/>
        <v>3.39</v>
      </c>
      <c r="BI213" s="237">
        <f t="shared" si="465"/>
        <v>0</v>
      </c>
      <c r="BJ213" s="247">
        <f t="shared" si="466"/>
        <v>0</v>
      </c>
      <c r="BK213" s="431">
        <f t="shared" si="467"/>
        <v>0</v>
      </c>
      <c r="BL213" s="250">
        <f t="shared" si="468"/>
        <v>0</v>
      </c>
      <c r="BM213" s="237">
        <f t="shared" si="469"/>
        <v>0</v>
      </c>
      <c r="BN213" s="452">
        <f t="shared" si="470"/>
        <v>3.39</v>
      </c>
      <c r="BO213" s="237">
        <f t="shared" si="471"/>
        <v>0</v>
      </c>
      <c r="BP213" s="432">
        <f t="shared" si="472"/>
        <v>0</v>
      </c>
      <c r="BQ213" s="22" t="str">
        <f t="shared" si="473"/>
        <v/>
      </c>
      <c r="BR213" s="250">
        <f t="shared" si="474"/>
        <v>0</v>
      </c>
      <c r="BS213" s="237">
        <f t="shared" si="475"/>
        <v>0</v>
      </c>
      <c r="BT213" s="452">
        <f t="shared" si="476"/>
        <v>3.39</v>
      </c>
      <c r="BU213" s="492">
        <f t="shared" si="477"/>
        <v>0.92</v>
      </c>
      <c r="BV213" s="493">
        <f>IF(BT213="","",
IF(AND(BT213&gt;'Данные ТНПА'!$K$8,BT213&lt;='Данные ТНПА'!$L$8),'Данные ТНПА'!$N$8,
IF(AND(BT213&gt;'Данные ТНПА'!$K$9,BT213&lt;='Данные ТНПА'!$L$9),'Данные ТНПА'!$N$9,
IF(AND(BT213&gt;'Данные ТНПА'!$K$10,BT213&lt;='Данные ТНПА'!$L$10),'Данные ТНПА'!$N$10,
IF(AND(BT213&gt;'Данные ТНПА'!$K$11,BT213&lt;='Данные ТНПА'!$L$11),'Данные ТНПА'!$N$11,
IF(AND(BT213&gt;'Данные ТНПА'!$K$12,BT213&lt;='Данные ТНПА'!$L$12),'Данные ТНПА'!$N$12,
IF(AND(BT213&gt;'Данные ТНПА'!$K$13,BT213&lt;='Данные ТНПА'!$L$13),'Данные ТНПА'!$N$13,
IF(AND(BT213&gt;'Данные ТНПА'!$K$14,BT213&lt;='Данные ТНПА'!$L$14),'Данные ТНПА'!$N$14))))))))</f>
        <v>1.2</v>
      </c>
      <c r="BW213" s="493">
        <f t="shared" si="478"/>
        <v>5.79</v>
      </c>
      <c r="BX213" s="457">
        <f t="shared" si="498"/>
        <v>6.75</v>
      </c>
      <c r="BY213" s="457">
        <f t="shared" si="499"/>
        <v>0</v>
      </c>
      <c r="BZ213" s="457">
        <f t="shared" si="500"/>
        <v>8.7225691708389892</v>
      </c>
      <c r="CA213" s="457" t="e">
        <f t="shared" si="479"/>
        <v>#REF!</v>
      </c>
      <c r="CB213" s="458">
        <f t="shared" si="480"/>
        <v>0</v>
      </c>
      <c r="CC213" s="457">
        <f t="shared" si="481"/>
        <v>0</v>
      </c>
      <c r="CD213" s="457">
        <f t="shared" si="482"/>
        <v>0</v>
      </c>
      <c r="CE213" s="457">
        <f t="shared" si="483"/>
        <v>0</v>
      </c>
      <c r="CF213" s="457">
        <f t="shared" si="484"/>
        <v>0</v>
      </c>
      <c r="CG213" s="458">
        <f t="shared" si="501"/>
        <v>0</v>
      </c>
      <c r="CH213" s="457">
        <f t="shared" si="485"/>
        <v>0</v>
      </c>
      <c r="CI213" s="457">
        <f t="shared" si="486"/>
        <v>0</v>
      </c>
      <c r="CJ213" s="458">
        <f t="shared" si="487"/>
        <v>0</v>
      </c>
      <c r="CK213" s="458">
        <f t="shared" si="502"/>
        <v>25.194467241176074</v>
      </c>
      <c r="CL213" s="457">
        <f t="shared" si="503"/>
        <v>40.667036412015065</v>
      </c>
      <c r="CM213" s="504"/>
      <c r="CN213" s="504"/>
    </row>
    <row r="214" spans="1:92" ht="14.25" hidden="1" customHeight="1" x14ac:dyDescent="0.25">
      <c r="A214" s="389" t="str">
        <f>IF(D214="",CONCATENATE("Кабель ",IF(C214="а","А",""),$A$9),CONCATENATE("Кабель ",IF(C214="а","А",""),$A$9," ",D214,"*",F214,IF(G214="ок"," (ож)","")," - ",B214," ",IF(G214="мс"," фас. ",""),$A$2))</f>
        <v>Кабель АВВГ 1*4 (ож) - 1 ГОСТ 16442-80</v>
      </c>
      <c r="B214" s="450">
        <v>1</v>
      </c>
      <c r="C214" s="451" t="s">
        <v>164</v>
      </c>
      <c r="D214" s="412">
        <v>1</v>
      </c>
      <c r="E214" s="413" t="s">
        <v>40</v>
      </c>
      <c r="F214" s="423">
        <v>4</v>
      </c>
      <c r="G214" s="414" t="s">
        <v>153</v>
      </c>
      <c r="H214" s="461">
        <v>2.2599999999999998</v>
      </c>
      <c r="I214" s="499">
        <v>1</v>
      </c>
      <c r="J214" s="498" t="s">
        <v>40</v>
      </c>
      <c r="K214" s="496">
        <f>ROUNDUP(SQRT(F214/PI()*4),2)</f>
        <v>2.2599999999999998</v>
      </c>
      <c r="L214" s="501">
        <v>15.950000000000001</v>
      </c>
      <c r="M214" s="475"/>
      <c r="N214" s="475"/>
      <c r="O214" s="475"/>
      <c r="P214" s="475"/>
      <c r="Q214" s="483">
        <f t="shared" si="439"/>
        <v>0.8</v>
      </c>
      <c r="R214" s="484">
        <f>IF(B214=0.66,VLOOKUP(F214,'Данные ТНПА'!$B$8:$C$16,2,0),
IF(B214=1,VLOOKUP(F214,'Данные ТНПА'!$B$17:$C$37,2,0),"ошибка"))</f>
        <v>1</v>
      </c>
      <c r="S214" s="485">
        <f t="shared" si="488"/>
        <v>3.86</v>
      </c>
      <c r="T214" s="486"/>
      <c r="U214" s="487"/>
      <c r="V214" s="485">
        <f t="shared" si="489"/>
        <v>4.26</v>
      </c>
      <c r="W214" s="486"/>
      <c r="X214" s="487"/>
      <c r="Y214" s="489">
        <f t="shared" si="490"/>
        <v>0</v>
      </c>
      <c r="Z214" s="491">
        <f t="shared" si="491"/>
        <v>4.26</v>
      </c>
      <c r="AA214" s="237">
        <f t="shared" si="492"/>
        <v>0</v>
      </c>
      <c r="AB214" s="452">
        <f t="shared" si="440"/>
        <v>4.26</v>
      </c>
      <c r="AC214" s="201">
        <f t="shared" si="493"/>
        <v>0</v>
      </c>
      <c r="AD214" s="203">
        <f t="shared" si="441"/>
        <v>0</v>
      </c>
      <c r="AE214" s="37" t="str">
        <f t="shared" si="494"/>
        <v/>
      </c>
      <c r="AF214" s="202">
        <f t="shared" si="442"/>
        <v>0</v>
      </c>
      <c r="AG214" s="201">
        <f t="shared" si="443"/>
        <v>0</v>
      </c>
      <c r="AH214" s="61">
        <f t="shared" si="495"/>
        <v>4.26</v>
      </c>
      <c r="AI214" s="443">
        <f t="shared" si="397"/>
        <v>0</v>
      </c>
      <c r="AJ214" s="444">
        <f t="shared" si="444"/>
        <v>0</v>
      </c>
      <c r="AK214" s="445">
        <f t="shared" si="445"/>
        <v>0</v>
      </c>
      <c r="AL214" s="446">
        <f t="shared" si="446"/>
        <v>0</v>
      </c>
      <c r="AM214" s="447">
        <f t="shared" si="447"/>
        <v>0</v>
      </c>
      <c r="AN214" s="24">
        <f t="shared" si="448"/>
        <v>4.26</v>
      </c>
      <c r="AO214" s="443">
        <f t="shared" si="496"/>
        <v>0</v>
      </c>
      <c r="AP214" s="444">
        <f t="shared" si="449"/>
        <v>0</v>
      </c>
      <c r="AQ214" s="445">
        <f t="shared" si="450"/>
        <v>0</v>
      </c>
      <c r="AR214" s="446">
        <f t="shared" si="451"/>
        <v>0</v>
      </c>
      <c r="AS214" s="447">
        <f t="shared" si="452"/>
        <v>0</v>
      </c>
      <c r="AT214" s="24">
        <f t="shared" si="453"/>
        <v>4.26</v>
      </c>
      <c r="AU214" s="443">
        <f t="shared" si="497"/>
        <v>0</v>
      </c>
      <c r="AV214" s="444">
        <f t="shared" si="454"/>
        <v>0</v>
      </c>
      <c r="AW214" s="445">
        <f t="shared" si="455"/>
        <v>0</v>
      </c>
      <c r="AX214" s="446">
        <f t="shared" si="456"/>
        <v>0</v>
      </c>
      <c r="AY214" s="447">
        <f t="shared" si="457"/>
        <v>0</v>
      </c>
      <c r="AZ214" s="24">
        <f t="shared" si="458"/>
        <v>4.26</v>
      </c>
      <c r="BA214" s="43">
        <f>IF(BB214=0,0,
IF(D214=1,
(IF(AND(AH214&gt;'Данные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"ошибка_1"))))))),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"ошибка_2"))))))))</f>
        <v>0</v>
      </c>
      <c r="BB214" s="43">
        <f>IF(OR($AI$9=0,AND(D214&gt;1,F214&gt;10)),0,
IF(D214=1,
(IF(AND(AH214&gt;'Данные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"ошибка_1"))))))),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IF(AND(AH214&gt;'Данные ТНПА'!#REF!,AH214&lt;='Данные ТНПА'!#REF!),'Данные ТНПА'!#REF!,
"ошибка_2"))))))))</f>
        <v>0</v>
      </c>
      <c r="BC214" s="43">
        <f t="shared" si="459"/>
        <v>4.26</v>
      </c>
      <c r="BD214" s="237">
        <f t="shared" si="460"/>
        <v>0</v>
      </c>
      <c r="BE214" s="43">
        <f t="shared" si="461"/>
        <v>0</v>
      </c>
      <c r="BF214" s="201">
        <f t="shared" si="462"/>
        <v>0</v>
      </c>
      <c r="BG214" s="201">
        <f t="shared" si="463"/>
        <v>0</v>
      </c>
      <c r="BH214" s="61">
        <f t="shared" si="464"/>
        <v>4.26</v>
      </c>
      <c r="BI214" s="237">
        <f t="shared" si="465"/>
        <v>0</v>
      </c>
      <c r="BJ214" s="247">
        <f t="shared" si="466"/>
        <v>0</v>
      </c>
      <c r="BK214" s="431">
        <f t="shared" si="467"/>
        <v>0</v>
      </c>
      <c r="BL214" s="250">
        <f t="shared" si="468"/>
        <v>0</v>
      </c>
      <c r="BM214" s="237">
        <f t="shared" si="469"/>
        <v>0</v>
      </c>
      <c r="BN214" s="452">
        <f t="shared" si="470"/>
        <v>4.26</v>
      </c>
      <c r="BO214" s="237">
        <f t="shared" si="471"/>
        <v>0</v>
      </c>
      <c r="BP214" s="432">
        <f t="shared" si="472"/>
        <v>0</v>
      </c>
      <c r="BQ214" s="22" t="str">
        <f t="shared" si="473"/>
        <v/>
      </c>
      <c r="BR214" s="250">
        <f t="shared" si="474"/>
        <v>0</v>
      </c>
      <c r="BS214" s="237">
        <f t="shared" si="475"/>
        <v>0</v>
      </c>
      <c r="BT214" s="452">
        <f t="shared" si="476"/>
        <v>4.26</v>
      </c>
      <c r="BU214" s="492">
        <f t="shared" si="477"/>
        <v>0.92</v>
      </c>
      <c r="BV214" s="493">
        <f>IF(BT214="","",
IF(AND(BT214&gt;'Данные ТНПА'!$K$8,BT214&lt;='Данные ТНПА'!$L$8),'Данные ТНПА'!$N$8,
IF(AND(BT214&gt;'Данные ТНПА'!$K$9,BT214&lt;='Данные ТНПА'!$L$9),'Данные ТНПА'!$N$9,
IF(AND(BT214&gt;'Данные ТНПА'!$K$10,BT214&lt;='Данные ТНПА'!$L$10),'Данные ТНПА'!$N$10,
IF(AND(BT214&gt;'Данные ТНПА'!$K$11,BT214&lt;='Данные ТНПА'!$L$11),'Данные ТНПА'!$N$11,
IF(AND(BT214&gt;'Данные ТНПА'!$K$12,BT214&lt;='Данные ТНПА'!$L$12),'Данные ТНПА'!$N$12,
IF(AND(BT214&gt;'Данные ТНПА'!$K$13,BT214&lt;='Данные ТНПА'!$L$13),'Данные ТНПА'!$N$13,
IF(AND(BT214&gt;'Данные ТНПА'!$K$14,BT214&lt;='Данные ТНПА'!$L$14),'Данные ТНПА'!$N$14))))))))</f>
        <v>1.2</v>
      </c>
      <c r="BW214" s="493">
        <f t="shared" si="478"/>
        <v>6.66</v>
      </c>
      <c r="BX214" s="457">
        <f t="shared" si="498"/>
        <v>10.8</v>
      </c>
      <c r="BY214" s="457">
        <f t="shared" si="499"/>
        <v>0</v>
      </c>
      <c r="BZ214" s="457">
        <f t="shared" si="500"/>
        <v>13.723733347941652</v>
      </c>
      <c r="CA214" s="457" t="e">
        <f t="shared" si="479"/>
        <v>#REF!</v>
      </c>
      <c r="CB214" s="458">
        <f t="shared" si="480"/>
        <v>0</v>
      </c>
      <c r="CC214" s="457">
        <f t="shared" si="481"/>
        <v>0</v>
      </c>
      <c r="CD214" s="457">
        <f t="shared" si="482"/>
        <v>0</v>
      </c>
      <c r="CE214" s="457">
        <f t="shared" si="483"/>
        <v>0</v>
      </c>
      <c r="CF214" s="457">
        <f t="shared" si="484"/>
        <v>0</v>
      </c>
      <c r="CG214" s="458">
        <f t="shared" si="501"/>
        <v>0</v>
      </c>
      <c r="CH214" s="457">
        <f t="shared" si="485"/>
        <v>0</v>
      </c>
      <c r="CI214" s="457">
        <f t="shared" si="486"/>
        <v>0</v>
      </c>
      <c r="CJ214" s="458">
        <f t="shared" si="487"/>
        <v>0</v>
      </c>
      <c r="CK214" s="458">
        <f t="shared" si="502"/>
        <v>29.96988913656239</v>
      </c>
      <c r="CL214" s="457">
        <f t="shared" si="503"/>
        <v>54.493622484504044</v>
      </c>
      <c r="CM214" s="504"/>
      <c r="CN214" s="504"/>
    </row>
    <row r="215" spans="1:92" ht="14.25" hidden="1" customHeight="1" x14ac:dyDescent="0.25">
      <c r="A215" s="389" t="str">
        <f>IF(D215="",CONCATENATE("Кабель ",IF(C215="а","А",""),$A$9),CONCATENATE("Кабель ",IF(C215="а","А",""),$A$9," ",D215,"*",F215,IF(G215="ок"," (ож)","")," - ",B215," ",IF(G215="мс"," фас. ",""),$A$2))</f>
        <v>Кабель АВВГ 1*6 (ож) - 1 ГОСТ 16442-80</v>
      </c>
      <c r="B215" s="450">
        <v>1</v>
      </c>
      <c r="C215" s="451" t="s">
        <v>164</v>
      </c>
      <c r="D215" s="412">
        <v>1</v>
      </c>
      <c r="E215" s="413" t="s">
        <v>40</v>
      </c>
      <c r="F215" s="423">
        <v>6</v>
      </c>
      <c r="G215" s="414" t="s">
        <v>153</v>
      </c>
      <c r="H215" s="461">
        <v>2.7699999999999996</v>
      </c>
      <c r="I215" s="499">
        <v>1</v>
      </c>
      <c r="J215" s="498" t="s">
        <v>40</v>
      </c>
      <c r="K215" s="496">
        <f>ROUNDUP(SQRT(F215/PI()*4),2)</f>
        <v>2.7699999999999996</v>
      </c>
      <c r="L215" s="501">
        <v>18.549999999999997</v>
      </c>
      <c r="M215" s="475"/>
      <c r="N215" s="475"/>
      <c r="O215" s="475"/>
      <c r="P215" s="475"/>
      <c r="Q215" s="483">
        <f t="shared" si="439"/>
        <v>0.8</v>
      </c>
      <c r="R215" s="484">
        <f>IF(B215=0.66,VLOOKUP(F215,'Данные ТНПА'!$B$8:$C$16,2,0),
IF(B215=1,VLOOKUP(F215,'Данные ТНПА'!$B$17:$C$37,2,0),"ошибка"))</f>
        <v>1</v>
      </c>
      <c r="S215" s="485">
        <f t="shared" si="488"/>
        <v>4.3699999999999992</v>
      </c>
      <c r="T215" s="486"/>
      <c r="U215" s="487"/>
      <c r="V215" s="485">
        <f t="shared" si="489"/>
        <v>4.7699999999999996</v>
      </c>
      <c r="W215" s="486"/>
      <c r="X215" s="487"/>
      <c r="Y215" s="489">
        <f t="shared" si="490"/>
        <v>0</v>
      </c>
      <c r="Z215" s="491">
        <f t="shared" si="491"/>
        <v>4.7699999999999996</v>
      </c>
      <c r="AA215" s="237">
        <f t="shared" si="492"/>
        <v>0</v>
      </c>
      <c r="AB215" s="452">
        <f t="shared" si="440"/>
        <v>4.7699999999999996</v>
      </c>
      <c r="AC215" s="201">
        <f t="shared" si="493"/>
        <v>0</v>
      </c>
      <c r="AD215" s="203">
        <f t="shared" si="441"/>
        <v>0</v>
      </c>
      <c r="AE215" s="37" t="str">
        <f t="shared" si="494"/>
        <v/>
      </c>
      <c r="AF215" s="202">
        <f t="shared" si="442"/>
        <v>0</v>
      </c>
      <c r="AG215" s="201">
        <f t="shared" si="443"/>
        <v>0</v>
      </c>
      <c r="AH215" s="61">
        <f t="shared" si="495"/>
        <v>4.7699999999999996</v>
      </c>
      <c r="AI215" s="443">
        <f t="shared" si="397"/>
        <v>0</v>
      </c>
      <c r="AJ215" s="444">
        <f t="shared" si="444"/>
        <v>0</v>
      </c>
      <c r="AK215" s="445">
        <f t="shared" si="445"/>
        <v>0</v>
      </c>
      <c r="AL215" s="446">
        <f t="shared" si="446"/>
        <v>0</v>
      </c>
      <c r="AM215" s="447">
        <f t="shared" si="447"/>
        <v>0</v>
      </c>
      <c r="AN215" s="24">
        <f t="shared" si="448"/>
        <v>4.7699999999999996</v>
      </c>
      <c r="AO215" s="443">
        <f t="shared" si="496"/>
        <v>0</v>
      </c>
      <c r="AP215" s="444">
        <f t="shared" si="449"/>
        <v>0</v>
      </c>
      <c r="AQ215" s="445">
        <f t="shared" si="450"/>
        <v>0</v>
      </c>
      <c r="AR215" s="446">
        <f t="shared" si="451"/>
        <v>0</v>
      </c>
      <c r="AS215" s="447">
        <f t="shared" si="452"/>
        <v>0</v>
      </c>
      <c r="AT215" s="24">
        <f t="shared" si="453"/>
        <v>4.7699999999999996</v>
      </c>
      <c r="AU215" s="443">
        <f t="shared" si="497"/>
        <v>0</v>
      </c>
      <c r="AV215" s="444">
        <f t="shared" si="454"/>
        <v>0</v>
      </c>
      <c r="AW215" s="445">
        <f t="shared" si="455"/>
        <v>0</v>
      </c>
      <c r="AX215" s="446">
        <f t="shared" si="456"/>
        <v>0</v>
      </c>
      <c r="AY215" s="447">
        <f t="shared" si="457"/>
        <v>0</v>
      </c>
      <c r="AZ215" s="24">
        <f t="shared" si="458"/>
        <v>4.7699999999999996</v>
      </c>
      <c r="BA215" s="43">
        <f>IF(BB215=0,0,
IF(D215=1,
(IF(AND(AH215&gt;'Данные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"ошибка_1"))))))),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"ошибка_2"))))))))</f>
        <v>0</v>
      </c>
      <c r="BB215" s="43">
        <f>IF(OR($AI$9=0,AND(D215&gt;1,F215&gt;10)),0,
IF(D215=1,
(IF(AND(AH215&gt;'Данные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"ошибка_1"))))))),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IF(AND(AH215&gt;'Данные ТНПА'!#REF!,AH215&lt;='Данные ТНПА'!#REF!),'Данные ТНПА'!#REF!,
"ошибка_2"))))))))</f>
        <v>0</v>
      </c>
      <c r="BC215" s="43">
        <f t="shared" si="459"/>
        <v>4.7699999999999996</v>
      </c>
      <c r="BD215" s="237">
        <f t="shared" si="460"/>
        <v>0</v>
      </c>
      <c r="BE215" s="43">
        <f t="shared" si="461"/>
        <v>0</v>
      </c>
      <c r="BF215" s="201">
        <f t="shared" si="462"/>
        <v>0</v>
      </c>
      <c r="BG215" s="201">
        <f t="shared" si="463"/>
        <v>0</v>
      </c>
      <c r="BH215" s="61">
        <f t="shared" si="464"/>
        <v>4.7699999999999996</v>
      </c>
      <c r="BI215" s="237">
        <f t="shared" si="465"/>
        <v>0</v>
      </c>
      <c r="BJ215" s="247">
        <f t="shared" si="466"/>
        <v>0</v>
      </c>
      <c r="BK215" s="431">
        <f t="shared" si="467"/>
        <v>0</v>
      </c>
      <c r="BL215" s="250">
        <f t="shared" si="468"/>
        <v>0</v>
      </c>
      <c r="BM215" s="237">
        <f t="shared" si="469"/>
        <v>0</v>
      </c>
      <c r="BN215" s="452">
        <f t="shared" si="470"/>
        <v>4.7699999999999996</v>
      </c>
      <c r="BO215" s="237">
        <f t="shared" si="471"/>
        <v>0</v>
      </c>
      <c r="BP215" s="432">
        <f t="shared" si="472"/>
        <v>0</v>
      </c>
      <c r="BQ215" s="22" t="str">
        <f t="shared" si="473"/>
        <v/>
      </c>
      <c r="BR215" s="250">
        <f t="shared" si="474"/>
        <v>0</v>
      </c>
      <c r="BS215" s="237">
        <f t="shared" si="475"/>
        <v>0</v>
      </c>
      <c r="BT215" s="452">
        <f t="shared" si="476"/>
        <v>4.7699999999999996</v>
      </c>
      <c r="BU215" s="492">
        <f t="shared" si="477"/>
        <v>0.92</v>
      </c>
      <c r="BV215" s="493">
        <f>IF(BT215="","",
IF(AND(BT215&gt;'Данные ТНПА'!$K$8,BT215&lt;='Данные ТНПА'!$L$8),'Данные ТНПА'!$N$8,
IF(AND(BT215&gt;'Данные ТНПА'!$K$9,BT215&lt;='Данные ТНПА'!$L$9),'Данные ТНПА'!$N$9,
IF(AND(BT215&gt;'Данные ТНПА'!$K$10,BT215&lt;='Данные ТНПА'!$L$10),'Данные ТНПА'!$N$10,
IF(AND(BT215&gt;'Данные ТНПА'!$K$11,BT215&lt;='Данные ТНПА'!$L$11),'Данные ТНПА'!$N$11,
IF(AND(BT215&gt;'Данные ТНПА'!$K$12,BT215&lt;='Данные ТНПА'!$L$12),'Данные ТНПА'!$N$12,
IF(AND(BT215&gt;'Данные ТНПА'!$K$13,BT215&lt;='Данные ТНПА'!$L$13),'Данные ТНПА'!$N$13,
IF(AND(BT215&gt;'Данные ТНПА'!$K$14,BT215&lt;='Данные ТНПА'!$L$14),'Данные ТНПА'!$N$14))))))))</f>
        <v>1.2</v>
      </c>
      <c r="BW215" s="493">
        <f t="shared" si="478"/>
        <v>7.17</v>
      </c>
      <c r="BX215" s="457">
        <f t="shared" si="498"/>
        <v>16.200000000000003</v>
      </c>
      <c r="BY215" s="457">
        <f t="shared" si="499"/>
        <v>0</v>
      </c>
      <c r="BZ215" s="457">
        <f t="shared" si="500"/>
        <v>15.870697767404916</v>
      </c>
      <c r="CA215" s="457" t="e">
        <f t="shared" si="479"/>
        <v>#REF!</v>
      </c>
      <c r="CB215" s="458">
        <f t="shared" si="480"/>
        <v>0</v>
      </c>
      <c r="CC215" s="457">
        <f t="shared" si="481"/>
        <v>0</v>
      </c>
      <c r="CD215" s="457">
        <f t="shared" si="482"/>
        <v>0</v>
      </c>
      <c r="CE215" s="457">
        <f t="shared" si="483"/>
        <v>0</v>
      </c>
      <c r="CF215" s="457">
        <f t="shared" si="484"/>
        <v>0</v>
      </c>
      <c r="CG215" s="458">
        <f t="shared" si="501"/>
        <v>0</v>
      </c>
      <c r="CH215" s="457">
        <f t="shared" si="485"/>
        <v>0</v>
      </c>
      <c r="CI215" s="457">
        <f t="shared" si="486"/>
        <v>0</v>
      </c>
      <c r="CJ215" s="458">
        <f t="shared" si="487"/>
        <v>0</v>
      </c>
      <c r="CK215" s="458">
        <f t="shared" si="502"/>
        <v>32.769274385581951</v>
      </c>
      <c r="CL215" s="457">
        <f t="shared" si="503"/>
        <v>64.839972152986874</v>
      </c>
      <c r="CM215" s="504"/>
      <c r="CN215" s="504"/>
    </row>
    <row r="216" spans="1:92" ht="14.25" hidden="1" customHeight="1" x14ac:dyDescent="0.25">
      <c r="A216" s="389" t="str">
        <f>IF(D216="",CONCATENATE("Кабель ",IF(C216="а","А",""),$A$9),CONCATENATE("Кабель ",IF(C216="а","А",""),$A$9," ",D216,"*",F216,IF(G216="ок"," (ож)","")," - ",B216," ",IF(G216="мс"," фас. ",""),$A$2))</f>
        <v>Кабель АВВГ 1*10 (ож) - 1 ГОСТ 16442-80</v>
      </c>
      <c r="B216" s="450">
        <v>1</v>
      </c>
      <c r="C216" s="451" t="s">
        <v>164</v>
      </c>
      <c r="D216" s="412">
        <v>1</v>
      </c>
      <c r="E216" s="413" t="s">
        <v>40</v>
      </c>
      <c r="F216" s="423">
        <v>10</v>
      </c>
      <c r="G216" s="414" t="s">
        <v>153</v>
      </c>
      <c r="H216" s="461">
        <v>3.57</v>
      </c>
      <c r="I216" s="499">
        <v>1</v>
      </c>
      <c r="J216" s="498" t="s">
        <v>40</v>
      </c>
      <c r="K216" s="496">
        <f>ROUNDUP(SQRT(F216/PI()*4),2)</f>
        <v>3.57</v>
      </c>
      <c r="L216" s="501">
        <v>20.149999999999999</v>
      </c>
      <c r="M216" s="475"/>
      <c r="N216" s="475"/>
      <c r="O216" s="475"/>
      <c r="P216" s="475"/>
      <c r="Q216" s="483">
        <f t="shared" si="439"/>
        <v>0.8</v>
      </c>
      <c r="R216" s="484">
        <f>IF(B216=0.66,VLOOKUP(F216,'Данные ТНПА'!$B$8:$C$16,2,0),
IF(B216=1,VLOOKUP(F216,'Данные ТНПА'!$B$17:$C$37,2,0),"ошибка"))</f>
        <v>1</v>
      </c>
      <c r="S216" s="485">
        <f t="shared" si="488"/>
        <v>5.17</v>
      </c>
      <c r="T216" s="486"/>
      <c r="U216" s="487"/>
      <c r="V216" s="485">
        <f t="shared" si="489"/>
        <v>5.57</v>
      </c>
      <c r="W216" s="486"/>
      <c r="X216" s="487"/>
      <c r="Y216" s="489">
        <f t="shared" si="490"/>
        <v>0</v>
      </c>
      <c r="Z216" s="491">
        <f t="shared" si="491"/>
        <v>5.57</v>
      </c>
      <c r="AA216" s="237">
        <f t="shared" si="492"/>
        <v>0</v>
      </c>
      <c r="AB216" s="452">
        <f t="shared" si="440"/>
        <v>5.57</v>
      </c>
      <c r="AC216" s="201">
        <f t="shared" si="493"/>
        <v>0</v>
      </c>
      <c r="AD216" s="203">
        <f t="shared" si="441"/>
        <v>0</v>
      </c>
      <c r="AE216" s="37" t="str">
        <f t="shared" si="494"/>
        <v/>
      </c>
      <c r="AF216" s="202">
        <f t="shared" si="442"/>
        <v>0</v>
      </c>
      <c r="AG216" s="201">
        <f t="shared" si="443"/>
        <v>0</v>
      </c>
      <c r="AH216" s="61">
        <f t="shared" si="495"/>
        <v>5.57</v>
      </c>
      <c r="AI216" s="443">
        <f t="shared" ref="AI216:AI261" si="504">IF(OR($AI$9=0,AH216&lt;=10,D216=1,AND(D216&gt;1,F216&lt;=10,OR(G216="ок",G216="мк"))),0,1)</f>
        <v>0</v>
      </c>
      <c r="AJ216" s="444">
        <f t="shared" si="444"/>
        <v>0</v>
      </c>
      <c r="AK216" s="445">
        <f t="shared" si="445"/>
        <v>0</v>
      </c>
      <c r="AL216" s="446">
        <f t="shared" si="446"/>
        <v>0</v>
      </c>
      <c r="AM216" s="447">
        <f t="shared" si="447"/>
        <v>0</v>
      </c>
      <c r="AN216" s="24">
        <f t="shared" si="448"/>
        <v>5.57</v>
      </c>
      <c r="AO216" s="443">
        <f t="shared" si="496"/>
        <v>0</v>
      </c>
      <c r="AP216" s="444">
        <f t="shared" si="449"/>
        <v>0</v>
      </c>
      <c r="AQ216" s="445">
        <f t="shared" si="450"/>
        <v>0</v>
      </c>
      <c r="AR216" s="446">
        <f t="shared" si="451"/>
        <v>0</v>
      </c>
      <c r="AS216" s="447">
        <f t="shared" si="452"/>
        <v>0</v>
      </c>
      <c r="AT216" s="24">
        <f t="shared" si="453"/>
        <v>5.57</v>
      </c>
      <c r="AU216" s="443">
        <f t="shared" si="497"/>
        <v>0</v>
      </c>
      <c r="AV216" s="444">
        <f t="shared" si="454"/>
        <v>0</v>
      </c>
      <c r="AW216" s="445">
        <f t="shared" si="455"/>
        <v>0</v>
      </c>
      <c r="AX216" s="446">
        <f t="shared" si="456"/>
        <v>0</v>
      </c>
      <c r="AY216" s="447">
        <f t="shared" si="457"/>
        <v>0</v>
      </c>
      <c r="AZ216" s="24">
        <f t="shared" si="458"/>
        <v>5.57</v>
      </c>
      <c r="BA216" s="43">
        <f>IF(BB216=0,0,
IF(D216=1,
(IF(AND(AH216&gt;'Данные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"ошибка_1"))))))),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"ошибка_2"))))))))</f>
        <v>0</v>
      </c>
      <c r="BB216" s="43">
        <f>IF(OR($AI$9=0,AND(D216&gt;1,F216&gt;10)),0,
IF(D216=1,
(IF(AND(AH216&gt;'Данные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"ошибка_1"))))))),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IF(AND(AH216&gt;'Данные ТНПА'!#REF!,AH216&lt;='Данные ТНПА'!#REF!),'Данные ТНПА'!#REF!,
"ошибка_2"))))))))</f>
        <v>0</v>
      </c>
      <c r="BC216" s="43">
        <f t="shared" si="459"/>
        <v>5.57</v>
      </c>
      <c r="BD216" s="237">
        <f t="shared" si="460"/>
        <v>0</v>
      </c>
      <c r="BE216" s="43">
        <f t="shared" si="461"/>
        <v>0</v>
      </c>
      <c r="BF216" s="201">
        <f t="shared" si="462"/>
        <v>0</v>
      </c>
      <c r="BG216" s="201">
        <f t="shared" si="463"/>
        <v>0</v>
      </c>
      <c r="BH216" s="61">
        <f t="shared" si="464"/>
        <v>5.57</v>
      </c>
      <c r="BI216" s="237">
        <f t="shared" si="465"/>
        <v>0</v>
      </c>
      <c r="BJ216" s="247">
        <f t="shared" si="466"/>
        <v>0</v>
      </c>
      <c r="BK216" s="431">
        <f t="shared" si="467"/>
        <v>0</v>
      </c>
      <c r="BL216" s="250">
        <f t="shared" si="468"/>
        <v>0</v>
      </c>
      <c r="BM216" s="237">
        <f t="shared" si="469"/>
        <v>0</v>
      </c>
      <c r="BN216" s="452">
        <f t="shared" si="470"/>
        <v>5.57</v>
      </c>
      <c r="BO216" s="237">
        <f t="shared" si="471"/>
        <v>0</v>
      </c>
      <c r="BP216" s="432">
        <f t="shared" si="472"/>
        <v>0</v>
      </c>
      <c r="BQ216" s="22" t="str">
        <f t="shared" si="473"/>
        <v/>
      </c>
      <c r="BR216" s="250">
        <f t="shared" si="474"/>
        <v>0</v>
      </c>
      <c r="BS216" s="237">
        <f t="shared" si="475"/>
        <v>0</v>
      </c>
      <c r="BT216" s="452">
        <f t="shared" si="476"/>
        <v>5.57</v>
      </c>
      <c r="BU216" s="492">
        <f t="shared" si="477"/>
        <v>0.92</v>
      </c>
      <c r="BV216" s="493">
        <f>IF(BT216="","",
IF(AND(BT216&gt;'Данные ТНПА'!$K$8,BT216&lt;='Данные ТНПА'!$L$8),'Данные ТНПА'!$N$8,
IF(AND(BT216&gt;'Данные ТНПА'!$K$9,BT216&lt;='Данные ТНПА'!$L$9),'Данные ТНПА'!$N$9,
IF(AND(BT216&gt;'Данные ТНПА'!$K$10,BT216&lt;='Данные ТНПА'!$L$10),'Данные ТНПА'!$N$10,
IF(AND(BT216&gt;'Данные ТНПА'!$K$11,BT216&lt;='Данные ТНПА'!$L$11),'Данные ТНПА'!$N$11,
IF(AND(BT216&gt;'Данные ТНПА'!$K$12,BT216&lt;='Данные ТНПА'!$L$12),'Данные ТНПА'!$N$12,
IF(AND(BT216&gt;'Данные ТНПА'!$K$13,BT216&lt;='Данные ТНПА'!$L$13),'Данные ТНПА'!$N$13,
IF(AND(BT216&gt;'Данные ТНПА'!$K$14,BT216&lt;='Данные ТНПА'!$L$14),'Данные ТНПА'!$N$14))))))))</f>
        <v>1.2</v>
      </c>
      <c r="BW216" s="493">
        <f t="shared" si="478"/>
        <v>7.9700000000000006</v>
      </c>
      <c r="BX216" s="457">
        <f t="shared" si="498"/>
        <v>27</v>
      </c>
      <c r="BY216" s="457">
        <f t="shared" si="499"/>
        <v>0</v>
      </c>
      <c r="BZ216" s="457">
        <f t="shared" si="500"/>
        <v>19.238485092053178</v>
      </c>
      <c r="CA216" s="457" t="e">
        <f t="shared" si="479"/>
        <v>#REF!</v>
      </c>
      <c r="CB216" s="458">
        <f t="shared" si="480"/>
        <v>0</v>
      </c>
      <c r="CC216" s="457">
        <f t="shared" si="481"/>
        <v>0</v>
      </c>
      <c r="CD216" s="457">
        <f t="shared" si="482"/>
        <v>0</v>
      </c>
      <c r="CE216" s="457">
        <f t="shared" si="483"/>
        <v>0</v>
      </c>
      <c r="CF216" s="457">
        <f t="shared" si="484"/>
        <v>0</v>
      </c>
      <c r="CG216" s="458">
        <f t="shared" si="501"/>
        <v>0</v>
      </c>
      <c r="CH216" s="457">
        <f t="shared" si="485"/>
        <v>0</v>
      </c>
      <c r="CI216" s="457">
        <f t="shared" si="486"/>
        <v>0</v>
      </c>
      <c r="CJ216" s="458">
        <f t="shared" si="487"/>
        <v>0</v>
      </c>
      <c r="CK216" s="458">
        <f t="shared" si="502"/>
        <v>37.160466933063624</v>
      </c>
      <c r="CL216" s="457">
        <f t="shared" si="503"/>
        <v>83.398952025116813</v>
      </c>
      <c r="CM216" s="504"/>
      <c r="CN216" s="504"/>
    </row>
    <row r="217" spans="1:92" ht="14.25" hidden="1" customHeight="1" x14ac:dyDescent="0.25">
      <c r="A217" s="389" t="str">
        <f>IF(D217="",CONCATENATE("Кабель ",IF(C217="а","А",""),$A$9),CONCATENATE("Кабель ",IF(C217="а","А",""),$A$9," ",D217,"*",F217,IF(G217="ок"," (ож)","")," - ",B217," ",IF(G217="мс"," фас. ",""),$A$2))</f>
        <v>Кабель АВВГ 1*16 (ож) - 1 ГОСТ 16442-80</v>
      </c>
      <c r="B217" s="450">
        <v>1</v>
      </c>
      <c r="C217" s="451" t="s">
        <v>164</v>
      </c>
      <c r="D217" s="412">
        <v>1</v>
      </c>
      <c r="E217" s="413" t="s">
        <v>40</v>
      </c>
      <c r="F217" s="423">
        <v>16</v>
      </c>
      <c r="G217" s="414" t="s">
        <v>153</v>
      </c>
      <c r="H217" s="461">
        <v>4.5199999999999996</v>
      </c>
      <c r="I217" s="499">
        <v>1</v>
      </c>
      <c r="J217" s="498" t="s">
        <v>40</v>
      </c>
      <c r="K217" s="496">
        <f>ROUNDUP(SQRT(F217/PI()*4),2)</f>
        <v>4.5199999999999996</v>
      </c>
      <c r="L217" s="501">
        <v>22.95</v>
      </c>
      <c r="M217" s="475"/>
      <c r="N217" s="475"/>
      <c r="O217" s="475"/>
      <c r="P217" s="475"/>
      <c r="Q217" s="483">
        <f t="shared" si="439"/>
        <v>0.8</v>
      </c>
      <c r="R217" s="484">
        <f>IF(B217=0.66,VLOOKUP(F217,'Данные ТНПА'!$B$8:$C$16,2,0),
IF(B217=1,VLOOKUP(F217,'Данные ТНПА'!$B$17:$C$37,2,0),"ошибка"))</f>
        <v>1</v>
      </c>
      <c r="S217" s="485">
        <f t="shared" si="488"/>
        <v>6.1199999999999992</v>
      </c>
      <c r="T217" s="486"/>
      <c r="U217" s="487"/>
      <c r="V217" s="485">
        <f t="shared" si="489"/>
        <v>6.52</v>
      </c>
      <c r="W217" s="486"/>
      <c r="X217" s="487"/>
      <c r="Y217" s="489">
        <f t="shared" si="490"/>
        <v>0</v>
      </c>
      <c r="Z217" s="491">
        <f t="shared" si="491"/>
        <v>6.52</v>
      </c>
      <c r="AA217" s="237">
        <f t="shared" si="492"/>
        <v>0</v>
      </c>
      <c r="AB217" s="452">
        <f t="shared" si="440"/>
        <v>6.52</v>
      </c>
      <c r="AC217" s="201">
        <f t="shared" si="493"/>
        <v>0</v>
      </c>
      <c r="AD217" s="203">
        <f t="shared" si="441"/>
        <v>0</v>
      </c>
      <c r="AE217" s="37" t="str">
        <f t="shared" si="494"/>
        <v/>
      </c>
      <c r="AF217" s="202">
        <f t="shared" si="442"/>
        <v>0</v>
      </c>
      <c r="AG217" s="201">
        <f t="shared" si="443"/>
        <v>0</v>
      </c>
      <c r="AH217" s="61">
        <f t="shared" si="495"/>
        <v>6.52</v>
      </c>
      <c r="AI217" s="443">
        <f t="shared" si="504"/>
        <v>0</v>
      </c>
      <c r="AJ217" s="444">
        <f t="shared" si="444"/>
        <v>0</v>
      </c>
      <c r="AK217" s="445">
        <f t="shared" si="445"/>
        <v>0</v>
      </c>
      <c r="AL217" s="446">
        <f t="shared" si="446"/>
        <v>0</v>
      </c>
      <c r="AM217" s="447">
        <f t="shared" si="447"/>
        <v>0</v>
      </c>
      <c r="AN217" s="24">
        <f t="shared" si="448"/>
        <v>6.52</v>
      </c>
      <c r="AO217" s="443">
        <f t="shared" si="496"/>
        <v>0</v>
      </c>
      <c r="AP217" s="444">
        <f t="shared" si="449"/>
        <v>0</v>
      </c>
      <c r="AQ217" s="445">
        <f t="shared" si="450"/>
        <v>0</v>
      </c>
      <c r="AR217" s="446">
        <f t="shared" si="451"/>
        <v>0</v>
      </c>
      <c r="AS217" s="447">
        <f t="shared" si="452"/>
        <v>0</v>
      </c>
      <c r="AT217" s="24">
        <f t="shared" si="453"/>
        <v>6.52</v>
      </c>
      <c r="AU217" s="443">
        <f t="shared" si="497"/>
        <v>0</v>
      </c>
      <c r="AV217" s="444">
        <f t="shared" si="454"/>
        <v>0</v>
      </c>
      <c r="AW217" s="445">
        <f t="shared" si="455"/>
        <v>0</v>
      </c>
      <c r="AX217" s="446">
        <f t="shared" si="456"/>
        <v>0</v>
      </c>
      <c r="AY217" s="447">
        <f t="shared" si="457"/>
        <v>0</v>
      </c>
      <c r="AZ217" s="24">
        <f t="shared" si="458"/>
        <v>6.52</v>
      </c>
      <c r="BA217" s="43">
        <f>IF(BB217=0,0,
IF(D217=1,
(IF(AND(AH217&gt;'Данные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"ошибка_1"))))))),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"ошибка_2"))))))))</f>
        <v>0</v>
      </c>
      <c r="BB217" s="43">
        <f>IF(OR($AI$9=0,AND(D217&gt;1,F217&gt;10)),0,
IF(D217=1,
(IF(AND(AH217&gt;'Данные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"ошибка_1"))))))),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IF(AND(AH217&gt;'Данные ТНПА'!#REF!,AH217&lt;='Данные ТНПА'!#REF!),'Данные ТНПА'!#REF!,
"ошибка_2"))))))))</f>
        <v>0</v>
      </c>
      <c r="BC217" s="43">
        <f t="shared" si="459"/>
        <v>6.52</v>
      </c>
      <c r="BD217" s="237">
        <f t="shared" si="460"/>
        <v>0</v>
      </c>
      <c r="BE217" s="43">
        <f t="shared" si="461"/>
        <v>0</v>
      </c>
      <c r="BF217" s="201">
        <f t="shared" si="462"/>
        <v>0</v>
      </c>
      <c r="BG217" s="201">
        <f t="shared" si="463"/>
        <v>0</v>
      </c>
      <c r="BH217" s="61">
        <f t="shared" si="464"/>
        <v>6.52</v>
      </c>
      <c r="BI217" s="237">
        <f t="shared" si="465"/>
        <v>0</v>
      </c>
      <c r="BJ217" s="247">
        <f t="shared" si="466"/>
        <v>0</v>
      </c>
      <c r="BK217" s="431">
        <f t="shared" si="467"/>
        <v>0</v>
      </c>
      <c r="BL217" s="250">
        <f t="shared" si="468"/>
        <v>0</v>
      </c>
      <c r="BM217" s="237">
        <f t="shared" si="469"/>
        <v>0</v>
      </c>
      <c r="BN217" s="452">
        <f t="shared" si="470"/>
        <v>6.52</v>
      </c>
      <c r="BO217" s="237">
        <f t="shared" si="471"/>
        <v>0</v>
      </c>
      <c r="BP217" s="432">
        <f t="shared" si="472"/>
        <v>0</v>
      </c>
      <c r="BQ217" s="22" t="str">
        <f t="shared" si="473"/>
        <v/>
      </c>
      <c r="BR217" s="250">
        <f t="shared" si="474"/>
        <v>0</v>
      </c>
      <c r="BS217" s="237">
        <f t="shared" si="475"/>
        <v>0</v>
      </c>
      <c r="BT217" s="452">
        <f t="shared" si="476"/>
        <v>6.52</v>
      </c>
      <c r="BU217" s="492">
        <f t="shared" si="477"/>
        <v>1.1749999999999998</v>
      </c>
      <c r="BV217" s="493">
        <f>IF(BT217="","",
IF(AND(BT217&gt;'Данные ТНПА'!$K$8,BT217&lt;='Данные ТНПА'!$L$8),'Данные ТНПА'!$N$8,
IF(AND(BT217&gt;'Данные ТНПА'!$K$9,BT217&lt;='Данные ТНПА'!$L$9),'Данные ТНПА'!$N$9,
IF(AND(BT217&gt;'Данные ТНПА'!$K$10,BT217&lt;='Данные ТНПА'!$L$10),'Данные ТНПА'!$N$10,
IF(AND(BT217&gt;'Данные ТНПА'!$K$11,BT217&lt;='Данные ТНПА'!$L$11),'Данные ТНПА'!$N$11,
IF(AND(BT217&gt;'Данные ТНПА'!$K$12,BT217&lt;='Данные ТНПА'!$L$12),'Данные ТНПА'!$N$12,
IF(AND(BT217&gt;'Данные ТНПА'!$K$13,BT217&lt;='Данные ТНПА'!$L$13),'Данные ТНПА'!$N$13,
IF(AND(BT217&gt;'Данные ТНПА'!$K$14,BT217&lt;='Данные ТНПА'!$L$14),'Данные ТНПА'!$N$14))))))))</f>
        <v>1.5</v>
      </c>
      <c r="BW217" s="493">
        <f t="shared" si="478"/>
        <v>9.52</v>
      </c>
      <c r="BX217" s="457">
        <f t="shared" si="498"/>
        <v>43.2</v>
      </c>
      <c r="BY217" s="457">
        <f t="shared" si="499"/>
        <v>0</v>
      </c>
      <c r="BZ217" s="457">
        <f t="shared" si="500"/>
        <v>23.23773254007298</v>
      </c>
      <c r="CA217" s="457" t="e">
        <f t="shared" si="479"/>
        <v>#REF!</v>
      </c>
      <c r="CB217" s="458">
        <f t="shared" si="480"/>
        <v>0</v>
      </c>
      <c r="CC217" s="457">
        <f t="shared" si="481"/>
        <v>0</v>
      </c>
      <c r="CD217" s="457">
        <f t="shared" si="482"/>
        <v>0</v>
      </c>
      <c r="CE217" s="457">
        <f t="shared" si="483"/>
        <v>0</v>
      </c>
      <c r="CF217" s="457">
        <f t="shared" si="484"/>
        <v>0</v>
      </c>
      <c r="CG217" s="458">
        <f t="shared" si="501"/>
        <v>0</v>
      </c>
      <c r="CH217" s="457">
        <f t="shared" si="485"/>
        <v>0</v>
      </c>
      <c r="CI217" s="457">
        <f t="shared" si="486"/>
        <v>0</v>
      </c>
      <c r="CJ217" s="458">
        <f t="shared" si="487"/>
        <v>0</v>
      </c>
      <c r="CK217" s="458">
        <f t="shared" si="502"/>
        <v>55.027131610629667</v>
      </c>
      <c r="CL217" s="457">
        <f t="shared" si="503"/>
        <v>121.46486415070265</v>
      </c>
      <c r="CM217" s="504"/>
      <c r="CN217" s="504"/>
    </row>
    <row r="218" spans="1:92" ht="14.25" hidden="1" customHeight="1" x14ac:dyDescent="0.25">
      <c r="A218" s="389" t="str">
        <f>IF(D218="",CONCATENATE("Кабель ",IF(C218="а","А",""),$A$9),CONCATENATE("Кабель ",IF(C218="а","А",""),$A$9," ",D218,"*",F218,IF(G218="ок"," (ож)","")," - ",B218," ",IF(G218="мс"," фас. ",""),$A$2))</f>
        <v>Кабель АВВГ 1*25 (ож) - 1 ГОСТ 16442-80</v>
      </c>
      <c r="B218" s="450">
        <v>1</v>
      </c>
      <c r="C218" s="451" t="s">
        <v>164</v>
      </c>
      <c r="D218" s="412">
        <v>1</v>
      </c>
      <c r="E218" s="413" t="s">
        <v>40</v>
      </c>
      <c r="F218" s="423">
        <v>25</v>
      </c>
      <c r="G218" s="414" t="s">
        <v>153</v>
      </c>
      <c r="H218" s="461">
        <v>5.6499999999999995</v>
      </c>
      <c r="I218" s="499">
        <v>1</v>
      </c>
      <c r="J218" s="498" t="s">
        <v>40</v>
      </c>
      <c r="K218" s="496">
        <f>ROUNDUP(SQRT(F218/PI()*4),2)</f>
        <v>5.6499999999999995</v>
      </c>
      <c r="L218" s="501">
        <v>25.95</v>
      </c>
      <c r="M218" s="475"/>
      <c r="N218" s="475"/>
      <c r="O218" s="475"/>
      <c r="P218" s="475"/>
      <c r="Q218" s="483">
        <f t="shared" si="439"/>
        <v>0.98000000000000009</v>
      </c>
      <c r="R218" s="484">
        <f>IF(B218=0.66,VLOOKUP(F218,'Данные ТНПА'!$B$8:$C$16,2,0),
IF(B218=1,VLOOKUP(F218,'Данные ТНПА'!$B$17:$C$37,2,0),"ошибка"))</f>
        <v>1.2</v>
      </c>
      <c r="S218" s="485">
        <f t="shared" si="488"/>
        <v>7.6099999999999994</v>
      </c>
      <c r="T218" s="486"/>
      <c r="U218" s="487"/>
      <c r="V218" s="485">
        <f t="shared" si="489"/>
        <v>8.0499999999999989</v>
      </c>
      <c r="W218" s="486"/>
      <c r="X218" s="487"/>
      <c r="Y218" s="489">
        <f t="shared" si="490"/>
        <v>0</v>
      </c>
      <c r="Z218" s="491">
        <f t="shared" si="491"/>
        <v>8.0499999999999989</v>
      </c>
      <c r="AA218" s="237">
        <f t="shared" si="492"/>
        <v>0</v>
      </c>
      <c r="AB218" s="452">
        <f t="shared" si="440"/>
        <v>8.0499999999999989</v>
      </c>
      <c r="AC218" s="201">
        <f t="shared" si="493"/>
        <v>0</v>
      </c>
      <c r="AD218" s="203">
        <f t="shared" si="441"/>
        <v>0</v>
      </c>
      <c r="AE218" s="37" t="str">
        <f t="shared" si="494"/>
        <v/>
      </c>
      <c r="AF218" s="202">
        <f t="shared" si="442"/>
        <v>0</v>
      </c>
      <c r="AG218" s="201">
        <f t="shared" si="443"/>
        <v>0</v>
      </c>
      <c r="AH218" s="61">
        <f t="shared" si="495"/>
        <v>8.0499999999999989</v>
      </c>
      <c r="AI218" s="443">
        <f t="shared" si="504"/>
        <v>0</v>
      </c>
      <c r="AJ218" s="444">
        <f t="shared" si="444"/>
        <v>0</v>
      </c>
      <c r="AK218" s="445">
        <f t="shared" si="445"/>
        <v>0</v>
      </c>
      <c r="AL218" s="446">
        <f t="shared" si="446"/>
        <v>0</v>
      </c>
      <c r="AM218" s="447">
        <f t="shared" si="447"/>
        <v>0</v>
      </c>
      <c r="AN218" s="24">
        <f t="shared" si="448"/>
        <v>8.0499999999999989</v>
      </c>
      <c r="AO218" s="443">
        <f t="shared" si="496"/>
        <v>0</v>
      </c>
      <c r="AP218" s="444">
        <f t="shared" si="449"/>
        <v>0</v>
      </c>
      <c r="AQ218" s="445">
        <f t="shared" si="450"/>
        <v>0</v>
      </c>
      <c r="AR218" s="446">
        <f t="shared" si="451"/>
        <v>0</v>
      </c>
      <c r="AS218" s="447">
        <f t="shared" si="452"/>
        <v>0</v>
      </c>
      <c r="AT218" s="24">
        <f t="shared" si="453"/>
        <v>8.0499999999999989</v>
      </c>
      <c r="AU218" s="443">
        <f t="shared" si="497"/>
        <v>0</v>
      </c>
      <c r="AV218" s="444">
        <f t="shared" si="454"/>
        <v>0</v>
      </c>
      <c r="AW218" s="445">
        <f t="shared" si="455"/>
        <v>0</v>
      </c>
      <c r="AX218" s="446">
        <f t="shared" si="456"/>
        <v>0</v>
      </c>
      <c r="AY218" s="447">
        <f t="shared" si="457"/>
        <v>0</v>
      </c>
      <c r="AZ218" s="24">
        <f t="shared" si="458"/>
        <v>8.0499999999999989</v>
      </c>
      <c r="BA218" s="43">
        <f>IF(BB218=0,0,
IF(D218=1,
(IF(AND(AH218&gt;'Данные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"ошибка_1"))))))),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"ошибка_2"))))))))</f>
        <v>0</v>
      </c>
      <c r="BB218" s="43">
        <f>IF(OR($AI$9=0,AND(D218&gt;1,F218&gt;10)),0,
IF(D218=1,
(IF(AND(AH218&gt;'Данные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"ошибка_1"))))))),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IF(AND(AH218&gt;'Данные ТНПА'!#REF!,AH218&lt;='Данные ТНПА'!#REF!),'Данные ТНПА'!#REF!,
"ошибка_2"))))))))</f>
        <v>0</v>
      </c>
      <c r="BC218" s="43">
        <f t="shared" si="459"/>
        <v>8.0499999999999989</v>
      </c>
      <c r="BD218" s="237">
        <f t="shared" si="460"/>
        <v>0</v>
      </c>
      <c r="BE218" s="43">
        <f t="shared" si="461"/>
        <v>0</v>
      </c>
      <c r="BF218" s="201">
        <f t="shared" si="462"/>
        <v>0</v>
      </c>
      <c r="BG218" s="201">
        <f t="shared" si="463"/>
        <v>0</v>
      </c>
      <c r="BH218" s="61">
        <f t="shared" si="464"/>
        <v>8.0499999999999989</v>
      </c>
      <c r="BI218" s="237">
        <f t="shared" si="465"/>
        <v>0</v>
      </c>
      <c r="BJ218" s="247">
        <f t="shared" si="466"/>
        <v>0</v>
      </c>
      <c r="BK218" s="431">
        <f t="shared" si="467"/>
        <v>0</v>
      </c>
      <c r="BL218" s="250">
        <f t="shared" si="468"/>
        <v>0</v>
      </c>
      <c r="BM218" s="237">
        <f t="shared" si="469"/>
        <v>0</v>
      </c>
      <c r="BN218" s="452">
        <f t="shared" si="470"/>
        <v>8.0499999999999989</v>
      </c>
      <c r="BO218" s="237">
        <f t="shared" si="471"/>
        <v>0</v>
      </c>
      <c r="BP218" s="432">
        <f t="shared" si="472"/>
        <v>0</v>
      </c>
      <c r="BQ218" s="22" t="str">
        <f t="shared" si="473"/>
        <v/>
      </c>
      <c r="BR218" s="250">
        <f t="shared" si="474"/>
        <v>0</v>
      </c>
      <c r="BS218" s="237">
        <f t="shared" si="475"/>
        <v>0</v>
      </c>
      <c r="BT218" s="452">
        <f t="shared" si="476"/>
        <v>8.0499999999999989</v>
      </c>
      <c r="BU218" s="492">
        <f t="shared" si="477"/>
        <v>1.1749999999999998</v>
      </c>
      <c r="BV218" s="493">
        <f>IF(BT218="","",
IF(AND(BT218&gt;'Данные ТНПА'!$K$8,BT218&lt;='Данные ТНПА'!$L$8),'Данные ТНПА'!$N$8,
IF(AND(BT218&gt;'Данные ТНПА'!$K$9,BT218&lt;='Данные ТНПА'!$L$9),'Данные ТНПА'!$N$9,
IF(AND(BT218&gt;'Данные ТНПА'!$K$10,BT218&lt;='Данные ТНПА'!$L$10),'Данные ТНПА'!$N$10,
IF(AND(BT218&gt;'Данные ТНПА'!$K$11,BT218&lt;='Данные ТНПА'!$L$11),'Данные ТНПА'!$N$11,
IF(AND(BT218&gt;'Данные ТНПА'!$K$12,BT218&lt;='Данные ТНПА'!$L$12),'Данные ТНПА'!$N$12,
IF(AND(BT218&gt;'Данные ТНПА'!$K$13,BT218&lt;='Данные ТНПА'!$L$13),'Данные ТНПА'!$N$13,
IF(AND(BT218&gt;'Данные ТНПА'!$K$14,BT218&lt;='Данные ТНПА'!$L$14),'Данные ТНПА'!$N$14))))))))</f>
        <v>1.5</v>
      </c>
      <c r="BW218" s="493">
        <f t="shared" si="478"/>
        <v>11.049999999999999</v>
      </c>
      <c r="BX218" s="457">
        <f t="shared" si="498"/>
        <v>67.5</v>
      </c>
      <c r="BY218" s="457">
        <f t="shared" si="499"/>
        <v>0</v>
      </c>
      <c r="BZ218" s="457">
        <f t="shared" si="500"/>
        <v>34.604014760760847</v>
      </c>
      <c r="CA218" s="457" t="e">
        <f t="shared" si="479"/>
        <v>#REF!</v>
      </c>
      <c r="CB218" s="458">
        <f t="shared" si="480"/>
        <v>0</v>
      </c>
      <c r="CC218" s="457">
        <f t="shared" si="481"/>
        <v>0</v>
      </c>
      <c r="CD218" s="457">
        <f t="shared" si="482"/>
        <v>0</v>
      </c>
      <c r="CE218" s="457">
        <f t="shared" si="483"/>
        <v>0</v>
      </c>
      <c r="CF218" s="457">
        <f t="shared" si="484"/>
        <v>0</v>
      </c>
      <c r="CG218" s="458">
        <f t="shared" si="501"/>
        <v>0</v>
      </c>
      <c r="CH218" s="457">
        <f t="shared" si="485"/>
        <v>0</v>
      </c>
      <c r="CI218" s="457">
        <f t="shared" si="486"/>
        <v>0</v>
      </c>
      <c r="CJ218" s="458">
        <f t="shared" si="487"/>
        <v>0</v>
      </c>
      <c r="CK218" s="458">
        <f t="shared" si="502"/>
        <v>65.524826294453021</v>
      </c>
      <c r="CL218" s="457">
        <f t="shared" si="503"/>
        <v>167.62884105521385</v>
      </c>
      <c r="CM218" s="504"/>
      <c r="CN218" s="504"/>
    </row>
    <row r="219" spans="1:92" ht="14.25" hidden="1" customHeight="1" x14ac:dyDescent="0.25">
      <c r="A219" s="389" t="str">
        <f>IF(D219="",CONCATENATE("Кабель ",IF(C219="а","А",""),$A$9),CONCATENATE("Кабель ",IF(C219="а","А",""),$A$9," ",D219,"*",F219,IF(G219="ок"," (ож)","")," - ",B219," ",IF(G219="мс"," фас. ",""),$A$2))</f>
        <v>Кабель АВВГ 1*35 (ож) - 1 ГОСТ 16442-80</v>
      </c>
      <c r="B219" s="450">
        <v>1</v>
      </c>
      <c r="C219" s="451" t="s">
        <v>164</v>
      </c>
      <c r="D219" s="412">
        <v>1</v>
      </c>
      <c r="E219" s="413" t="s">
        <v>40</v>
      </c>
      <c r="F219" s="423">
        <v>35</v>
      </c>
      <c r="G219" s="414" t="s">
        <v>153</v>
      </c>
      <c r="H219" s="461">
        <v>6.68</v>
      </c>
      <c r="I219" s="499">
        <v>1</v>
      </c>
      <c r="J219" s="498" t="s">
        <v>40</v>
      </c>
      <c r="K219" s="496">
        <f>ROUNDUP(SQRT(F219/PI()*4),2)</f>
        <v>6.68</v>
      </c>
      <c r="L219" s="501">
        <v>29.45</v>
      </c>
      <c r="M219" s="475"/>
      <c r="N219" s="475"/>
      <c r="O219" s="475"/>
      <c r="P219" s="475"/>
      <c r="Q219" s="483">
        <f t="shared" si="439"/>
        <v>0.98000000000000009</v>
      </c>
      <c r="R219" s="484">
        <f>IF(B219=0.66,VLOOKUP(F219,'Данные ТНПА'!$B$8:$C$16,2,0),
IF(B219=1,VLOOKUP(F219,'Данные ТНПА'!$B$17:$C$37,2,0),"ошибка"))</f>
        <v>1.2</v>
      </c>
      <c r="S219" s="485">
        <f t="shared" si="488"/>
        <v>8.64</v>
      </c>
      <c r="T219" s="486"/>
      <c r="U219" s="487"/>
      <c r="V219" s="485">
        <f t="shared" si="489"/>
        <v>9.08</v>
      </c>
      <c r="W219" s="486"/>
      <c r="X219" s="487"/>
      <c r="Y219" s="489">
        <f t="shared" si="490"/>
        <v>0</v>
      </c>
      <c r="Z219" s="491">
        <f t="shared" si="491"/>
        <v>9.08</v>
      </c>
      <c r="AA219" s="237">
        <f t="shared" si="492"/>
        <v>0</v>
      </c>
      <c r="AB219" s="452">
        <f t="shared" si="440"/>
        <v>9.08</v>
      </c>
      <c r="AC219" s="201">
        <f t="shared" si="493"/>
        <v>0</v>
      </c>
      <c r="AD219" s="203">
        <f t="shared" si="441"/>
        <v>0</v>
      </c>
      <c r="AE219" s="37" t="str">
        <f t="shared" si="494"/>
        <v/>
      </c>
      <c r="AF219" s="202">
        <f t="shared" si="442"/>
        <v>0</v>
      </c>
      <c r="AG219" s="201">
        <f t="shared" si="443"/>
        <v>0</v>
      </c>
      <c r="AH219" s="61">
        <f t="shared" si="495"/>
        <v>9.08</v>
      </c>
      <c r="AI219" s="443">
        <f t="shared" si="504"/>
        <v>0</v>
      </c>
      <c r="AJ219" s="444">
        <f t="shared" si="444"/>
        <v>0</v>
      </c>
      <c r="AK219" s="445">
        <f t="shared" si="445"/>
        <v>0</v>
      </c>
      <c r="AL219" s="446">
        <f t="shared" si="446"/>
        <v>0</v>
      </c>
      <c r="AM219" s="447">
        <f t="shared" si="447"/>
        <v>0</v>
      </c>
      <c r="AN219" s="24">
        <f t="shared" si="448"/>
        <v>9.08</v>
      </c>
      <c r="AO219" s="443">
        <f t="shared" si="496"/>
        <v>0</v>
      </c>
      <c r="AP219" s="444">
        <f t="shared" si="449"/>
        <v>0</v>
      </c>
      <c r="AQ219" s="445">
        <f t="shared" si="450"/>
        <v>0</v>
      </c>
      <c r="AR219" s="446">
        <f t="shared" si="451"/>
        <v>0</v>
      </c>
      <c r="AS219" s="447">
        <f t="shared" si="452"/>
        <v>0</v>
      </c>
      <c r="AT219" s="24">
        <f t="shared" si="453"/>
        <v>9.08</v>
      </c>
      <c r="AU219" s="443">
        <f t="shared" si="497"/>
        <v>0</v>
      </c>
      <c r="AV219" s="444">
        <f t="shared" si="454"/>
        <v>0</v>
      </c>
      <c r="AW219" s="445">
        <f t="shared" si="455"/>
        <v>0</v>
      </c>
      <c r="AX219" s="446">
        <f t="shared" si="456"/>
        <v>0</v>
      </c>
      <c r="AY219" s="447">
        <f t="shared" si="457"/>
        <v>0</v>
      </c>
      <c r="AZ219" s="24">
        <f t="shared" si="458"/>
        <v>9.08</v>
      </c>
      <c r="BA219" s="43">
        <f>IF(BB219=0,0,
IF(D219=1,
(IF(AND(AH219&gt;'Данные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"ошибка_1"))))))),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"ошибка_2"))))))))</f>
        <v>0</v>
      </c>
      <c r="BB219" s="43">
        <f>IF(OR($AI$9=0,AND(D219&gt;1,F219&gt;10)),0,
IF(D219=1,
(IF(AND(AH219&gt;'Данные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"ошибка_1"))))))),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IF(AND(AH219&gt;'Данные ТНПА'!#REF!,AH219&lt;='Данные ТНПА'!#REF!),'Данные ТНПА'!#REF!,
"ошибка_2"))))))))</f>
        <v>0</v>
      </c>
      <c r="BC219" s="43">
        <f t="shared" si="459"/>
        <v>9.08</v>
      </c>
      <c r="BD219" s="237">
        <f t="shared" si="460"/>
        <v>0</v>
      </c>
      <c r="BE219" s="43">
        <f t="shared" si="461"/>
        <v>0</v>
      </c>
      <c r="BF219" s="201">
        <f t="shared" si="462"/>
        <v>0</v>
      </c>
      <c r="BG219" s="201">
        <f t="shared" si="463"/>
        <v>0</v>
      </c>
      <c r="BH219" s="61">
        <f t="shared" si="464"/>
        <v>9.08</v>
      </c>
      <c r="BI219" s="237">
        <f t="shared" si="465"/>
        <v>0</v>
      </c>
      <c r="BJ219" s="247">
        <f t="shared" si="466"/>
        <v>0</v>
      </c>
      <c r="BK219" s="431">
        <f t="shared" si="467"/>
        <v>0</v>
      </c>
      <c r="BL219" s="250">
        <f t="shared" si="468"/>
        <v>0</v>
      </c>
      <c r="BM219" s="237">
        <f t="shared" si="469"/>
        <v>0</v>
      </c>
      <c r="BN219" s="452">
        <f t="shared" si="470"/>
        <v>9.08</v>
      </c>
      <c r="BO219" s="237">
        <f t="shared" si="471"/>
        <v>0</v>
      </c>
      <c r="BP219" s="432">
        <f t="shared" si="472"/>
        <v>0</v>
      </c>
      <c r="BQ219" s="22" t="str">
        <f t="shared" si="473"/>
        <v/>
      </c>
      <c r="BR219" s="250">
        <f t="shared" si="474"/>
        <v>0</v>
      </c>
      <c r="BS219" s="237">
        <f t="shared" si="475"/>
        <v>0</v>
      </c>
      <c r="BT219" s="452">
        <f t="shared" si="476"/>
        <v>9.08</v>
      </c>
      <c r="BU219" s="492">
        <f t="shared" si="477"/>
        <v>1.1749999999999998</v>
      </c>
      <c r="BV219" s="493">
        <f>IF(BT219="","",
IF(AND(BT219&gt;'Данные ТНПА'!$K$8,BT219&lt;='Данные ТНПА'!$L$8),'Данные ТНПА'!$N$8,
IF(AND(BT219&gt;'Данные ТНПА'!$K$9,BT219&lt;='Данные ТНПА'!$L$9),'Данные ТНПА'!$N$9,
IF(AND(BT219&gt;'Данные ТНПА'!$K$10,BT219&lt;='Данные ТНПА'!$L$10),'Данные ТНПА'!$N$10,
IF(AND(BT219&gt;'Данные ТНПА'!$K$11,BT219&lt;='Данные ТНПА'!$L$11),'Данные ТНПА'!$N$11,
IF(AND(BT219&gt;'Данные ТНПА'!$K$12,BT219&lt;='Данные ТНПА'!$L$12),'Данные ТНПА'!$N$12,
IF(AND(BT219&gt;'Данные ТНПА'!$K$13,BT219&lt;='Данные ТНПА'!$L$13),'Данные ТНПА'!$N$13,
IF(AND(BT219&gt;'Данные ТНПА'!$K$14,BT219&lt;='Данные ТНПА'!$L$14),'Данные ТНПА'!$N$14))))))))</f>
        <v>1.5</v>
      </c>
      <c r="BW219" s="493">
        <f t="shared" si="478"/>
        <v>12.08</v>
      </c>
      <c r="BX219" s="457">
        <f t="shared" si="498"/>
        <v>94.5</v>
      </c>
      <c r="BY219" s="457">
        <f t="shared" si="499"/>
        <v>0</v>
      </c>
      <c r="BZ219" s="457">
        <f t="shared" si="500"/>
        <v>39.807246177342407</v>
      </c>
      <c r="CA219" s="457" t="e">
        <f t="shared" si="479"/>
        <v>#REF!</v>
      </c>
      <c r="CB219" s="458">
        <f t="shared" si="480"/>
        <v>0</v>
      </c>
      <c r="CC219" s="457">
        <f t="shared" si="481"/>
        <v>0</v>
      </c>
      <c r="CD219" s="457">
        <f t="shared" si="482"/>
        <v>0</v>
      </c>
      <c r="CE219" s="457">
        <f t="shared" si="483"/>
        <v>0</v>
      </c>
      <c r="CF219" s="457">
        <f t="shared" si="484"/>
        <v>0</v>
      </c>
      <c r="CG219" s="458">
        <f t="shared" si="501"/>
        <v>0</v>
      </c>
      <c r="CH219" s="457">
        <f t="shared" si="485"/>
        <v>0</v>
      </c>
      <c r="CI219" s="457">
        <f t="shared" si="486"/>
        <v>0</v>
      </c>
      <c r="CJ219" s="458">
        <f t="shared" si="487"/>
        <v>0</v>
      </c>
      <c r="CK219" s="458">
        <f t="shared" si="502"/>
        <v>72.591901800556343</v>
      </c>
      <c r="CL219" s="457">
        <f t="shared" si="503"/>
        <v>206.89914797789874</v>
      </c>
      <c r="CM219" s="504"/>
      <c r="CN219" s="504"/>
    </row>
    <row r="220" spans="1:92" ht="14.25" hidden="1" customHeight="1" x14ac:dyDescent="0.25">
      <c r="A220" s="389" t="str">
        <f>IF(D220="",CONCATENATE("Кабель ",IF(C220="а","А",""),$A$9),CONCATENATE("Кабель ",IF(C220="а","А",""),$A$9," ",D220,"*",F220,IF(G220="ок"," (ож)","")," - ",B220," ",IF(G220="мс"," фас. ",""),$A$2))</f>
        <v>Кабель АВВГ 1*50 (ож) - 1 ГОСТ 16442-80</v>
      </c>
      <c r="B220" s="450">
        <v>1</v>
      </c>
      <c r="C220" s="451" t="s">
        <v>164</v>
      </c>
      <c r="D220" s="412">
        <v>1</v>
      </c>
      <c r="E220" s="413" t="s">
        <v>40</v>
      </c>
      <c r="F220" s="423">
        <v>50</v>
      </c>
      <c r="G220" s="414" t="s">
        <v>153</v>
      </c>
      <c r="H220" s="461">
        <v>7.9799999999999995</v>
      </c>
      <c r="I220" s="499">
        <v>1</v>
      </c>
      <c r="J220" s="498" t="s">
        <v>40</v>
      </c>
      <c r="K220" s="496">
        <f>ROUNDUP(SQRT(F220/PI()*4),2)</f>
        <v>7.9799999999999995</v>
      </c>
      <c r="L220" s="501">
        <v>33.25</v>
      </c>
      <c r="M220" s="475"/>
      <c r="N220" s="475"/>
      <c r="O220" s="475"/>
      <c r="P220" s="475"/>
      <c r="Q220" s="483">
        <f t="shared" ref="Q220:Q221" si="505">0.9*R220-0.1</f>
        <v>1.1599999999999999</v>
      </c>
      <c r="R220" s="484">
        <f>IF(B220=0.66,VLOOKUP(F220,'Данные ТНПА'!$B$8:$C$16,2,0),
IF(B220=1,VLOOKUP(F220,'Данные ТНПА'!$B$17:$C$37,2,0),"ошибка"))</f>
        <v>1.4</v>
      </c>
      <c r="S220" s="485">
        <f t="shared" si="488"/>
        <v>10.299999999999999</v>
      </c>
      <c r="T220" s="486"/>
      <c r="U220" s="487"/>
      <c r="V220" s="485">
        <f t="shared" si="489"/>
        <v>10.78</v>
      </c>
      <c r="W220" s="486"/>
      <c r="X220" s="487"/>
      <c r="Y220" s="489">
        <f t="shared" si="490"/>
        <v>0</v>
      </c>
      <c r="Z220" s="491">
        <f t="shared" si="491"/>
        <v>10.78</v>
      </c>
      <c r="AA220" s="237">
        <f t="shared" si="492"/>
        <v>0</v>
      </c>
      <c r="AB220" s="452">
        <f t="shared" ref="AB220:AB221" si="506">IF(Z220="","",Z220)</f>
        <v>10.78</v>
      </c>
      <c r="AC220" s="201">
        <f t="shared" si="493"/>
        <v>0</v>
      </c>
      <c r="AD220" s="203">
        <f t="shared" ref="AD220:AD221" si="507">IF(AC220="","",IF(AC220&gt;0,IF(AND(Z220&gt;=10,Z220&lt;=20),0.035,IF(Z220&gt;20,0.05,"ошибка")),0))</f>
        <v>0</v>
      </c>
      <c r="AE220" s="37" t="str">
        <f t="shared" si="494"/>
        <v/>
      </c>
      <c r="AF220" s="202">
        <f t="shared" ref="AF220:AF221" si="508">IF(AC220="","",IF(AC220&gt;0,IF(AND(Z220&gt;=10,Z220&lt;=20),50,IF(Z220&gt;20,60,"ошибка")),0))</f>
        <v>0</v>
      </c>
      <c r="AG220" s="201">
        <f t="shared" ref="AG220:AG221" si="509">IF(AC220="","",IF(AC220&gt;0,IF(AND(Z220&gt;=10,Z220&lt;=13),40,IF(AND(Z220&gt;=13,Z220&lt;=16),30,IF(Z220&gt;16,25,"ошибка"))),0))</f>
        <v>0</v>
      </c>
      <c r="AH220" s="61">
        <f t="shared" si="495"/>
        <v>10.78</v>
      </c>
      <c r="AI220" s="443">
        <f t="shared" si="504"/>
        <v>0</v>
      </c>
      <c r="AJ220" s="444">
        <f t="shared" ref="AJ220:AJ221" si="510">IF(AI220=0,0,$AJ$9)</f>
        <v>0</v>
      </c>
      <c r="AK220" s="445">
        <f t="shared" ref="AK220:AK221" si="511">IF(AI220="","",IF(AI220=0,0,"×"))</f>
        <v>0</v>
      </c>
      <c r="AL220" s="446">
        <f t="shared" ref="AL220:AL221" si="512">IF(AI220=0,0,$AL$9)</f>
        <v>0</v>
      </c>
      <c r="AM220" s="447">
        <f t="shared" ref="AM220:AM221" si="513">IF(AI220=0,0,
IF(AND(AH220&gt;10,AH220&lt;=13),55,
IF(AND(AH220&gt;13,AH220&lt;=15),45,
IF(AND(AH220&gt;15,AH220&lt;=18),35,
IF(AND(AH220&gt;18,AH220&lt;=20),30,
IF(AH220&gt;20,15,
0))))))</f>
        <v>0</v>
      </c>
      <c r="AN220" s="24">
        <f t="shared" ref="AN220:AN221" si="514">AH220+2*AI220*AJ220*(IF(AM220&lt;25,1,IF(AM220&gt;33,2,1.5)))</f>
        <v>10.78</v>
      </c>
      <c r="AO220" s="443">
        <f t="shared" si="496"/>
        <v>0</v>
      </c>
      <c r="AP220" s="444">
        <f t="shared" ref="AP220:AP221" si="515">IF(OR(AO220=0,AN220&gt;23),0,$AP$9)</f>
        <v>0</v>
      </c>
      <c r="AQ220" s="445">
        <f t="shared" ref="AQ220:AQ221" si="516">IF(OR(AN220&gt;23,AO220=0),0,"×")</f>
        <v>0</v>
      </c>
      <c r="AR220" s="446">
        <f t="shared" ref="AR220:AR221" si="517">IF(OR(AN220&gt;23,AO220=0),0,$AR$9)</f>
        <v>0</v>
      </c>
      <c r="AS220" s="447">
        <f t="shared" ref="AS220:AS221" si="518">IF(AO220=0,0,
IF(AND(AH220&gt;10,AH220&lt;=13),55,
IF(AND(AH220&gt;13,AH220&lt;=15),45,
IF(AND(AH220&gt;15,AH220&lt;=18),35,
IF(AND(AH220&gt;18,AH220&lt;=20),30,
IF(AND(AH220&gt;20,AH220&lt;=23),15,
0))))))</f>
        <v>0</v>
      </c>
      <c r="AT220" s="24">
        <f t="shared" ref="AT220:AT221" si="519">AN220+2*AO220*AP220*(IF(AS220&lt;25,1,IF(AS220&gt;33,2,1.5)))</f>
        <v>10.78</v>
      </c>
      <c r="AU220" s="443">
        <f t="shared" si="497"/>
        <v>0</v>
      </c>
      <c r="AV220" s="444">
        <f t="shared" ref="AV220:AV221" si="520">IF(OR(AU220=0,AN220&lt;=23),0,$AV$9)</f>
        <v>0</v>
      </c>
      <c r="AW220" s="445">
        <f t="shared" ref="AW220:AW221" si="521">IF(OR(AN220&lt;=23,AU220=0),0,"×")</f>
        <v>0</v>
      </c>
      <c r="AX220" s="446">
        <f t="shared" ref="AX220:AX221" si="522">IF(OR(AN220&lt;=23,AU220=0),0,$AX$9)</f>
        <v>0</v>
      </c>
      <c r="AY220" s="447">
        <f t="shared" ref="AY220:AY221" si="523">IF(AU220=0,0,15)</f>
        <v>0</v>
      </c>
      <c r="AZ220" s="24">
        <f t="shared" ref="AZ220:AZ221" si="524">AT220+2*AU220*AV220*(IF(AY220&lt;25,1,IF(AY220&gt;33,2,1.5)))</f>
        <v>10.78</v>
      </c>
      <c r="BA220" s="43">
        <f>IF(BB220=0,0,
IF(D220=1,
(IF(AND(AH220&gt;'Данные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"ошибка_1"))))))),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"ошибка_2"))))))))</f>
        <v>0</v>
      </c>
      <c r="BB220" s="43">
        <f>IF(OR($AI$9=0,AND(D220&gt;1,F220&gt;10)),0,
IF(D220=1,
(IF(AND(AH220&gt;'Данные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"ошибка_1"))))))),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IF(AND(AH220&gt;'Данные ТНПА'!#REF!,AH220&lt;='Данные ТНПА'!#REF!),'Данные ТНПА'!#REF!,
"ошибка_2"))))))))</f>
        <v>0</v>
      </c>
      <c r="BC220" s="43">
        <f t="shared" ref="BC220:BC221" si="525">AZ220+2*BB220</f>
        <v>10.78</v>
      </c>
      <c r="BD220" s="237">
        <f t="shared" ref="BD220:BD221" si="526">IF(BC220="","",
IF(BC220=0,0,$BD$9))</f>
        <v>0</v>
      </c>
      <c r="BE220" s="43">
        <f t="shared" ref="BE220:BE221" si="527">IF(BC220="","",
IF(BC220=0,0,$BE$9))</f>
        <v>0</v>
      </c>
      <c r="BF220" s="201">
        <f t="shared" ref="BF220:BF221" si="528">IF(BC220="","",
IF($BD$9=0,0,
IF(BC220&lt;=13,20,
IF(AND(BC220&gt;13,BC220&lt;=18),30,
IF(AND(BC220&gt;18,BC220&lt;=23),40,
IF(AND(BC220&gt;23,BC220&lt;=30),50,
60))))))</f>
        <v>0</v>
      </c>
      <c r="BG220" s="201">
        <f t="shared" ref="BG220:BG221" si="529">IF(BC220="","",$BG$9)</f>
        <v>0</v>
      </c>
      <c r="BH220" s="61">
        <f t="shared" ref="BH220:BH221" si="530">IF(BC220="","",BC220+2*BD220*BE220*IF(BG220&lt;=25,1,IF(BG220&gt;33,2,1.5)))</f>
        <v>10.78</v>
      </c>
      <c r="BI220" s="237">
        <f t="shared" ref="BI220:BI221" si="531">IF(BC220="","",$BI$9)</f>
        <v>0</v>
      </c>
      <c r="BJ220" s="247">
        <f t="shared" ref="BJ220:BJ221" si="532">IF(BC220="","",$BJ$9)</f>
        <v>0</v>
      </c>
      <c r="BK220" s="431">
        <f t="shared" ref="BK220:BK221" si="533">IF(BJ220="","",IF(BJ220&lt;&gt;0,"×",0))</f>
        <v>0</v>
      </c>
      <c r="BL220" s="250">
        <f t="shared" ref="BL220:BL221" si="534">IF(BK220="","",
IF(BJ220&lt;&gt;0,
IF(AND(BC220&gt;7,BC220&lt;=10),15,
IF(AND(BC220&gt;10,BC220&lt;=13),20,
IF(AND(BC220&gt;13,BC220&lt;=21),30,
IF(AND(BC220&gt;21,BC220&lt;=31),40,
IF(AND(BC220&gt;31,BC220&lt;=70),50,
IF(AND(BC220&gt;70,BC220&lt;=80),60,
"ошибка")))))),0))</f>
        <v>0</v>
      </c>
      <c r="BM220" s="237">
        <f t="shared" ref="BM220:BM221" si="535">IF(BL220="","",$BM$9)</f>
        <v>0</v>
      </c>
      <c r="BN220" s="452">
        <f t="shared" ref="BN220:BN221" si="536">IF(BH220="","",BH220+2*BI220*BJ220)</f>
        <v>10.78</v>
      </c>
      <c r="BO220" s="237">
        <f t="shared" ref="BO220:BO221" si="537">IF(BN220="","",$BO$9)</f>
        <v>0</v>
      </c>
      <c r="BP220" s="432">
        <f t="shared" ref="BP220:BP221" si="538">IF(BO220="","",IF(BO220&gt;0,$BP$9,0))</f>
        <v>0</v>
      </c>
      <c r="BQ220" s="22" t="str">
        <f t="shared" ref="BQ220:BQ221" si="539">IF(BP220="","",IF(BP220&gt;0,"×",""))</f>
        <v/>
      </c>
      <c r="BR220" s="250">
        <f t="shared" ref="BR220:BR221" si="540">IF(BN220="","",IF(BO220=0,0,IF(BN220&lt;=19,30,IF(AND(BN220&gt;19,BN220&lt;=23),40,50))))</f>
        <v>0</v>
      </c>
      <c r="BS220" s="237">
        <f t="shared" ref="BS220:BS221" si="541">IF(BO220="","",IF(BO220=0,0,$BS$9))</f>
        <v>0</v>
      </c>
      <c r="BT220" s="452">
        <f t="shared" ref="BT220:BT221" si="542">IF(BN220="","",BN220+2*BO220*BP220*IF(BS220&lt;=25,1,IF(BS220&gt;33,2,1.5)))</f>
        <v>10.78</v>
      </c>
      <c r="BU220" s="492">
        <f t="shared" ref="BU220:BU221" si="543">0.85*BV220-0.1</f>
        <v>1.1749999999999998</v>
      </c>
      <c r="BV220" s="493">
        <f>IF(BT220="","",
IF(AND(BT220&gt;'Данные ТНПА'!$K$8,BT220&lt;='Данные ТНПА'!$L$8),'Данные ТНПА'!$N$8,
IF(AND(BT220&gt;'Данные ТНПА'!$K$9,BT220&lt;='Данные ТНПА'!$L$9),'Данные ТНПА'!$N$9,
IF(AND(BT220&gt;'Данные ТНПА'!$K$10,BT220&lt;='Данные ТНПА'!$L$10),'Данные ТНПА'!$N$10,
IF(AND(BT220&gt;'Данные ТНПА'!$K$11,BT220&lt;='Данные ТНПА'!$L$11),'Данные ТНПА'!$N$11,
IF(AND(BT220&gt;'Данные ТНПА'!$K$12,BT220&lt;='Данные ТНПА'!$L$12),'Данные ТНПА'!$N$12,
IF(AND(BT220&gt;'Данные ТНПА'!$K$13,BT220&lt;='Данные ТНПА'!$L$13),'Данные ТНПА'!$N$13,
IF(AND(BT220&gt;'Данные ТНПА'!$K$14,BT220&lt;='Данные ТНПА'!$L$14),'Данные ТНПА'!$N$14))))))))</f>
        <v>1.5</v>
      </c>
      <c r="BW220" s="493">
        <f t="shared" ref="BW220:BW221" si="544">BT220+2*BV220</f>
        <v>13.78</v>
      </c>
      <c r="BX220" s="457">
        <f t="shared" si="498"/>
        <v>135</v>
      </c>
      <c r="BY220" s="457">
        <f t="shared" si="499"/>
        <v>0</v>
      </c>
      <c r="BZ220" s="457">
        <f t="shared" si="500"/>
        <v>55.282228934101148</v>
      </c>
      <c r="CA220" s="457" t="e">
        <f t="shared" ref="CA220:CA221" si="545">PI()*POWER(Y220,2)/4*$CA$9</f>
        <v>#REF!</v>
      </c>
      <c r="CB220" s="458">
        <f t="shared" ref="CB220:CB221" si="546">IF(AA220="","",
IF(AA220=2,SQRT((Z220*PI()/50)^2+1)*$CB$9*AA220,0))</f>
        <v>0</v>
      </c>
      <c r="CC220" s="457">
        <f t="shared" ref="CC220:CC221" si="547">PI()*(Z220+AC220*AD220)*AC220*AD220*$CC$9*ROUND(100/(100-AG220),2)</f>
        <v>0</v>
      </c>
      <c r="CD220" s="457">
        <f t="shared" ref="CD220:CD221" si="548">PI()*(AH220+AI220*AJ220)*AI220*AJ220*$CD$9*ROUND(100/(100-AM220),2)</f>
        <v>0</v>
      </c>
      <c r="CE220" s="457">
        <f t="shared" ref="CE220:CE221" si="549">PI()*(AN220+AO220*AP220)*AO220*AP220*$CE$9*ROUND(100/(100-AS220),2)</f>
        <v>0</v>
      </c>
      <c r="CF220" s="457">
        <f t="shared" ref="CF220:CF221" si="550">PI()*(AT220+AU220*AV220)*AU220*AV220*$CF$9*ROUND(100/(100-AY220),2)</f>
        <v>0</v>
      </c>
      <c r="CG220" s="458">
        <f t="shared" si="501"/>
        <v>0</v>
      </c>
      <c r="CH220" s="457">
        <f t="shared" ref="CH220:CH221" si="551">IF(BE220="","",
IF(BD220=0,0,
PI()*(BC220+BD220*BE220)*BD220*BE220*$CH$9*ROUND(100/(100-BG220),2)))</f>
        <v>0</v>
      </c>
      <c r="CI220" s="457">
        <f t="shared" ref="CI220:CI221" si="552">IF(BH220="","",
PI()*(BH220+BI220*BJ220)*BI220*BJ220*$CI$9*ROUND(100/(100+BM220),2))</f>
        <v>0</v>
      </c>
      <c r="CJ220" s="458">
        <f t="shared" ref="CJ220:CJ221" si="553">IF(BO220="","",PI()*(BN220+BO220*BP220)*BO220*BP220*$CJ$9*ROUND(100/(100-BS220),2))</f>
        <v>0</v>
      </c>
      <c r="CK220" s="458">
        <f t="shared" si="502"/>
        <v>84.256007004804516</v>
      </c>
      <c r="CL220" s="457">
        <f t="shared" si="503"/>
        <v>274.53823593890564</v>
      </c>
      <c r="CM220" s="504"/>
      <c r="CN220" s="504"/>
    </row>
    <row r="221" spans="1:92" ht="14.25" hidden="1" customHeight="1" x14ac:dyDescent="0.25">
      <c r="A221" s="389" t="str">
        <f>IF(D221="",CONCATENATE("Кабель ",IF(C221="а","А",""),$A$9),CONCATENATE("Кабель ",IF(C221="а","А",""),$A$9," ",D221,"*",F221,IF(G221="ок"," (ож)","")," - ",B221," ",IF(G221="мс"," фас. ",""),$A$2))</f>
        <v>Кабель АВВГ 1*70 (ож) - 1 ГОСТ 16442-80</v>
      </c>
      <c r="B221" s="450">
        <v>1</v>
      </c>
      <c r="C221" s="451" t="s">
        <v>164</v>
      </c>
      <c r="D221" s="412">
        <v>1</v>
      </c>
      <c r="E221" s="413" t="s">
        <v>40</v>
      </c>
      <c r="F221" s="423">
        <v>70</v>
      </c>
      <c r="G221" s="414" t="s">
        <v>153</v>
      </c>
      <c r="H221" s="461">
        <v>9.4499999999999993</v>
      </c>
      <c r="I221" s="499">
        <v>1</v>
      </c>
      <c r="J221" s="498" t="s">
        <v>40</v>
      </c>
      <c r="K221" s="496">
        <f>ROUNDUP(SQRT(F221/PI()*4),2)</f>
        <v>9.4499999999999993</v>
      </c>
      <c r="L221" s="501">
        <v>38.35</v>
      </c>
      <c r="M221" s="475"/>
      <c r="N221" s="475"/>
      <c r="O221" s="475"/>
      <c r="P221" s="475"/>
      <c r="Q221" s="483">
        <f t="shared" si="505"/>
        <v>1.1599999999999999</v>
      </c>
      <c r="R221" s="484">
        <f>IF(B221=0.66,VLOOKUP(F221,'Данные ТНПА'!$B$8:$C$16,2,0),
IF(B221=1,VLOOKUP(F221,'Данные ТНПА'!$B$17:$C$37,2,0),"ошибка"))</f>
        <v>1.4</v>
      </c>
      <c r="S221" s="485">
        <f t="shared" si="488"/>
        <v>11.77</v>
      </c>
      <c r="T221" s="486"/>
      <c r="U221" s="487"/>
      <c r="V221" s="485">
        <f t="shared" si="489"/>
        <v>12.25</v>
      </c>
      <c r="W221" s="486"/>
      <c r="X221" s="487"/>
      <c r="Y221" s="489">
        <f t="shared" si="490"/>
        <v>0</v>
      </c>
      <c r="Z221" s="491">
        <f t="shared" si="491"/>
        <v>12.25</v>
      </c>
      <c r="AA221" s="237">
        <f t="shared" si="492"/>
        <v>0</v>
      </c>
      <c r="AB221" s="452">
        <f t="shared" si="506"/>
        <v>12.25</v>
      </c>
      <c r="AC221" s="201">
        <f t="shared" si="493"/>
        <v>0</v>
      </c>
      <c r="AD221" s="203">
        <f t="shared" si="507"/>
        <v>0</v>
      </c>
      <c r="AE221" s="37" t="str">
        <f t="shared" si="494"/>
        <v/>
      </c>
      <c r="AF221" s="202">
        <f t="shared" si="508"/>
        <v>0</v>
      </c>
      <c r="AG221" s="201">
        <f t="shared" si="509"/>
        <v>0</v>
      </c>
      <c r="AH221" s="61">
        <f t="shared" si="495"/>
        <v>12.25</v>
      </c>
      <c r="AI221" s="443">
        <f t="shared" si="504"/>
        <v>0</v>
      </c>
      <c r="AJ221" s="444">
        <f t="shared" si="510"/>
        <v>0</v>
      </c>
      <c r="AK221" s="445">
        <f t="shared" si="511"/>
        <v>0</v>
      </c>
      <c r="AL221" s="446">
        <f t="shared" si="512"/>
        <v>0</v>
      </c>
      <c r="AM221" s="447">
        <f t="shared" si="513"/>
        <v>0</v>
      </c>
      <c r="AN221" s="24">
        <f t="shared" si="514"/>
        <v>12.25</v>
      </c>
      <c r="AO221" s="443">
        <f t="shared" si="496"/>
        <v>0</v>
      </c>
      <c r="AP221" s="444">
        <f t="shared" si="515"/>
        <v>0</v>
      </c>
      <c r="AQ221" s="445">
        <f t="shared" si="516"/>
        <v>0</v>
      </c>
      <c r="AR221" s="446">
        <f t="shared" si="517"/>
        <v>0</v>
      </c>
      <c r="AS221" s="447">
        <f t="shared" si="518"/>
        <v>0</v>
      </c>
      <c r="AT221" s="24">
        <f t="shared" si="519"/>
        <v>12.25</v>
      </c>
      <c r="AU221" s="443">
        <f t="shared" si="497"/>
        <v>0</v>
      </c>
      <c r="AV221" s="444">
        <f t="shared" si="520"/>
        <v>0</v>
      </c>
      <c r="AW221" s="445">
        <f t="shared" si="521"/>
        <v>0</v>
      </c>
      <c r="AX221" s="446">
        <f t="shared" si="522"/>
        <v>0</v>
      </c>
      <c r="AY221" s="447">
        <f t="shared" si="523"/>
        <v>0</v>
      </c>
      <c r="AZ221" s="24">
        <f t="shared" si="524"/>
        <v>12.25</v>
      </c>
      <c r="BA221" s="43">
        <f>IF(BB221=0,0,
IF(D221=1,
(IF(AND(AH221&gt;'Данные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"ошибка_1"))))))),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"ошибка_2"))))))))</f>
        <v>0</v>
      </c>
      <c r="BB221" s="43">
        <f>IF(OR($AI$9=0,AND(D221&gt;1,F221&gt;10)),0,
IF(D221=1,
(IF(AND(AH221&gt;'Данные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"ошибка_1"))))))),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IF(AND(AH221&gt;'Данные ТНПА'!#REF!,AH221&lt;='Данные ТНПА'!#REF!),'Данные ТНПА'!#REF!,
"ошибка_2"))))))))</f>
        <v>0</v>
      </c>
      <c r="BC221" s="43">
        <f t="shared" si="525"/>
        <v>12.25</v>
      </c>
      <c r="BD221" s="237">
        <f t="shared" si="526"/>
        <v>0</v>
      </c>
      <c r="BE221" s="43">
        <f t="shared" si="527"/>
        <v>0</v>
      </c>
      <c r="BF221" s="201">
        <f t="shared" si="528"/>
        <v>0</v>
      </c>
      <c r="BG221" s="201">
        <f t="shared" si="529"/>
        <v>0</v>
      </c>
      <c r="BH221" s="61">
        <f t="shared" si="530"/>
        <v>12.25</v>
      </c>
      <c r="BI221" s="237">
        <f t="shared" si="531"/>
        <v>0</v>
      </c>
      <c r="BJ221" s="247">
        <f t="shared" si="532"/>
        <v>0</v>
      </c>
      <c r="BK221" s="431">
        <f t="shared" si="533"/>
        <v>0</v>
      </c>
      <c r="BL221" s="250">
        <f t="shared" si="534"/>
        <v>0</v>
      </c>
      <c r="BM221" s="237">
        <f t="shared" si="535"/>
        <v>0</v>
      </c>
      <c r="BN221" s="452">
        <f t="shared" si="536"/>
        <v>12.25</v>
      </c>
      <c r="BO221" s="237">
        <f t="shared" si="537"/>
        <v>0</v>
      </c>
      <c r="BP221" s="432">
        <f t="shared" si="538"/>
        <v>0</v>
      </c>
      <c r="BQ221" s="22" t="str">
        <f t="shared" si="539"/>
        <v/>
      </c>
      <c r="BR221" s="250">
        <f t="shared" si="540"/>
        <v>0</v>
      </c>
      <c r="BS221" s="237">
        <f t="shared" si="541"/>
        <v>0</v>
      </c>
      <c r="BT221" s="452">
        <f t="shared" si="542"/>
        <v>12.25</v>
      </c>
      <c r="BU221" s="492">
        <f t="shared" si="543"/>
        <v>1.1749999999999998</v>
      </c>
      <c r="BV221" s="493">
        <f>IF(BT221="","",
IF(AND(BT221&gt;'Данные ТНПА'!$K$8,BT221&lt;='Данные ТНПА'!$L$8),'Данные ТНПА'!$N$8,
IF(AND(BT221&gt;'Данные ТНПА'!$K$9,BT221&lt;='Данные ТНПА'!$L$9),'Данные ТНПА'!$N$9,
IF(AND(BT221&gt;'Данные ТНПА'!$K$10,BT221&lt;='Данные ТНПА'!$L$10),'Данные ТНПА'!$N$10,
IF(AND(BT221&gt;'Данные ТНПА'!$K$11,BT221&lt;='Данные ТНПА'!$L$11),'Данные ТНПА'!$N$11,
IF(AND(BT221&gt;'Данные ТНПА'!$K$12,BT221&lt;='Данные ТНПА'!$L$12),'Данные ТНПА'!$N$12,
IF(AND(BT221&gt;'Данные ТНПА'!$K$13,BT221&lt;='Данные ТНПА'!$L$13),'Данные ТНПА'!$N$13,
IF(AND(BT221&gt;'Данные ТНПА'!$K$14,BT221&lt;='Данные ТНПА'!$L$14),'Данные ТНПА'!$N$14))))))))</f>
        <v>1.5</v>
      </c>
      <c r="BW221" s="493">
        <f t="shared" si="544"/>
        <v>15.25</v>
      </c>
      <c r="BX221" s="457">
        <f t="shared" si="498"/>
        <v>189</v>
      </c>
      <c r="BY221" s="457">
        <f t="shared" si="499"/>
        <v>0</v>
      </c>
      <c r="BZ221" s="457">
        <f t="shared" si="500"/>
        <v>63.945861826758808</v>
      </c>
      <c r="CA221" s="457" t="e">
        <f t="shared" si="545"/>
        <v>#REF!</v>
      </c>
      <c r="CB221" s="458">
        <f t="shared" si="546"/>
        <v>0</v>
      </c>
      <c r="CC221" s="457">
        <f t="shared" si="547"/>
        <v>0</v>
      </c>
      <c r="CD221" s="457">
        <f t="shared" si="548"/>
        <v>0</v>
      </c>
      <c r="CE221" s="457">
        <f t="shared" si="549"/>
        <v>0</v>
      </c>
      <c r="CF221" s="457">
        <f t="shared" si="550"/>
        <v>0</v>
      </c>
      <c r="CG221" s="458">
        <f t="shared" si="501"/>
        <v>0</v>
      </c>
      <c r="CH221" s="457">
        <f t="shared" si="551"/>
        <v>0</v>
      </c>
      <c r="CI221" s="457">
        <f t="shared" si="552"/>
        <v>0</v>
      </c>
      <c r="CJ221" s="458">
        <f t="shared" si="553"/>
        <v>0</v>
      </c>
      <c r="CK221" s="458">
        <f t="shared" si="502"/>
        <v>94.342027387301485</v>
      </c>
      <c r="CL221" s="457">
        <f t="shared" si="503"/>
        <v>347.28788921406027</v>
      </c>
      <c r="CM221" s="504"/>
      <c r="CN221" s="504"/>
    </row>
    <row r="222" spans="1:92" ht="14.25" hidden="1" customHeight="1" x14ac:dyDescent="0.25">
      <c r="A222" s="389" t="str">
        <f>IF(D222="",CONCATENATE("Кабель ",IF(C222="а","А",""),$A$9),CONCATENATE("Кабель ",IF(C222="а","А",""),$A$9," ",D222,"*",F222,IF(G222="ок"," (ож)","")," - ",B222," ",IF(G222="мс"," фас. ",""),$A$2))</f>
        <v>Кабель АВВГ 2*25 - 1 ГОСТ 16442-80</v>
      </c>
      <c r="B222" s="450">
        <v>1</v>
      </c>
      <c r="C222" s="451" t="s">
        <v>164</v>
      </c>
      <c r="D222" s="412">
        <v>2</v>
      </c>
      <c r="E222" s="413" t="s">
        <v>40</v>
      </c>
      <c r="F222" s="423">
        <v>25</v>
      </c>
      <c r="G222" s="414" t="str">
        <f>IF(I222=1,"ок","мк")</f>
        <v>мк</v>
      </c>
      <c r="H222" s="461">
        <v>2.21</v>
      </c>
      <c r="I222" s="476">
        <v>7</v>
      </c>
      <c r="J222" s="477" t="s">
        <v>40</v>
      </c>
      <c r="K222" s="470">
        <f>ROUNDUP(SQRT(F222/I222/PI()*4*1.07),2)</f>
        <v>2.21</v>
      </c>
      <c r="L222" s="501">
        <v>1.79</v>
      </c>
      <c r="M222" s="475"/>
      <c r="N222" s="475"/>
      <c r="O222" s="475"/>
      <c r="P222" s="475"/>
      <c r="Q222" s="483">
        <f t="shared" ref="Q222:Q231" si="554">0.9*R222-0.1</f>
        <v>0.98000000000000009</v>
      </c>
      <c r="R222" s="484">
        <f>IF(B222=0.66,VLOOKUP(F222,'Данные ТНПА'!$B$8:$C$16,2,0),
IF(B222=1,VLOOKUP(F222,'Данные ТНПА'!$B$17:$C$37,2,0),"ошибка"))</f>
        <v>1.2</v>
      </c>
      <c r="S222" s="485">
        <f t="shared" si="488"/>
        <v>3.75</v>
      </c>
      <c r="T222" s="486"/>
      <c r="U222" s="487"/>
      <c r="V222" s="485">
        <f t="shared" si="489"/>
        <v>4.1899999999999995</v>
      </c>
      <c r="W222" s="486"/>
      <c r="X222" s="487"/>
      <c r="Y222" s="489">
        <f t="shared" si="490"/>
        <v>0</v>
      </c>
      <c r="Z222" s="491">
        <f t="shared" si="491"/>
        <v>8.379999999999999</v>
      </c>
      <c r="AA222" s="237">
        <f t="shared" si="492"/>
        <v>0</v>
      </c>
      <c r="AB222" s="452">
        <f t="shared" si="412"/>
        <v>8.379999999999999</v>
      </c>
      <c r="AC222" s="201">
        <f t="shared" si="493"/>
        <v>0</v>
      </c>
      <c r="AD222" s="203">
        <f t="shared" si="413"/>
        <v>0</v>
      </c>
      <c r="AE222" s="37" t="str">
        <f t="shared" si="494"/>
        <v/>
      </c>
      <c r="AF222" s="202">
        <f t="shared" si="414"/>
        <v>0</v>
      </c>
      <c r="AG222" s="201">
        <f t="shared" si="415"/>
        <v>0</v>
      </c>
      <c r="AH222" s="61">
        <f t="shared" si="495"/>
        <v>8.379999999999999</v>
      </c>
      <c r="AI222" s="443">
        <f t="shared" si="504"/>
        <v>0</v>
      </c>
      <c r="AJ222" s="444">
        <f t="shared" ref="AJ222:AJ261" si="555">IF(AI222=0,0,$AJ$9)</f>
        <v>0</v>
      </c>
      <c r="AK222" s="445">
        <f t="shared" ref="AK222:AK261" si="556">IF(AI222="","",IF(AI222=0,0,"×"))</f>
        <v>0</v>
      </c>
      <c r="AL222" s="446">
        <f t="shared" ref="AL222:AL261" si="557">IF(AI222=0,0,$AL$9)</f>
        <v>0</v>
      </c>
      <c r="AM222" s="447">
        <f t="shared" ref="AM222:AM261" si="558">IF(AI222=0,0,
IF(AND(AH222&gt;10,AH222&lt;=13),55,
IF(AND(AH222&gt;13,AH222&lt;=15),45,
IF(AND(AH222&gt;15,AH222&lt;=18),35,
IF(AND(AH222&gt;18,AH222&lt;=20),30,
IF(AH222&gt;20,15,
0))))))</f>
        <v>0</v>
      </c>
      <c r="AN222" s="24">
        <f t="shared" ref="AN222:AN261" si="559">AH222+2*AI222*AJ222*(IF(AM222&lt;25,1,IF(AM222&gt;33,2,1.5)))</f>
        <v>8.379999999999999</v>
      </c>
      <c r="AO222" s="443">
        <f t="shared" si="496"/>
        <v>0</v>
      </c>
      <c r="AP222" s="444">
        <f t="shared" ref="AP222:AP261" si="560">IF(OR(AO222=0,AN222&gt;23),0,$AP$9)</f>
        <v>0</v>
      </c>
      <c r="AQ222" s="445">
        <f t="shared" ref="AQ222:AQ261" si="561">IF(OR(AN222&gt;23,AO222=0),0,"×")</f>
        <v>0</v>
      </c>
      <c r="AR222" s="446">
        <f t="shared" ref="AR222:AR261" si="562">IF(OR(AN222&gt;23,AO222=0),0,$AR$9)</f>
        <v>0</v>
      </c>
      <c r="AS222" s="447">
        <f t="shared" ref="AS222:AS261" si="563">IF(AO222=0,0,
IF(AND(AH222&gt;10,AH222&lt;=13),55,
IF(AND(AH222&gt;13,AH222&lt;=15),45,
IF(AND(AH222&gt;15,AH222&lt;=18),35,
IF(AND(AH222&gt;18,AH222&lt;=20),30,
IF(AND(AH222&gt;20,AH222&lt;=23),15,
0))))))</f>
        <v>0</v>
      </c>
      <c r="AT222" s="24">
        <f t="shared" ref="AT222:AT261" si="564">AN222+2*AO222*AP222*(IF(AS222&lt;25,1,IF(AS222&gt;33,2,1.5)))</f>
        <v>8.379999999999999</v>
      </c>
      <c r="AU222" s="443">
        <f t="shared" si="497"/>
        <v>0</v>
      </c>
      <c r="AV222" s="444">
        <f t="shared" ref="AV222:AV261" si="565">IF(OR(AU222=0,AN222&lt;=23),0,$AV$9)</f>
        <v>0</v>
      </c>
      <c r="AW222" s="445">
        <f t="shared" ref="AW222:AW261" si="566">IF(OR(AN222&lt;=23,AU222=0),0,"×")</f>
        <v>0</v>
      </c>
      <c r="AX222" s="446">
        <f t="shared" ref="AX222:AX261" si="567">IF(OR(AN222&lt;=23,AU222=0),0,$AX$9)</f>
        <v>0</v>
      </c>
      <c r="AY222" s="447">
        <f t="shared" ref="AY222:AY261" si="568">IF(AU222=0,0,15)</f>
        <v>0</v>
      </c>
      <c r="AZ222" s="24">
        <f t="shared" ref="AZ222:AZ261" si="569">AT222+2*AU222*AV222*(IF(AY222&lt;25,1,IF(AY222&gt;33,2,1.5)))</f>
        <v>8.379999999999999</v>
      </c>
      <c r="BA222" s="43">
        <f>IF(BB222=0,0,
IF(D222=1,
(IF(AND(AH222&gt;'Данные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"ошибка_1"))))))),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"ошибка_2"))))))))</f>
        <v>0</v>
      </c>
      <c r="BB222" s="43">
        <f>IF(OR($AI$9=0,AND(D222&gt;1,F222&gt;10)),0,
IF(D222=1,
(IF(AND(AH222&gt;'Данные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"ошибка_1"))))))),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IF(AND(AH222&gt;'Данные ТНПА'!#REF!,AH222&lt;='Данные ТНПА'!#REF!),'Данные ТНПА'!#REF!,
"ошибка_2"))))))))</f>
        <v>0</v>
      </c>
      <c r="BC222" s="43">
        <f t="shared" ref="BC222:BC261" si="570">AZ222+2*BB222</f>
        <v>8.379999999999999</v>
      </c>
      <c r="BD222" s="237">
        <f t="shared" ref="BD222:BD245" si="571">IF(BC222="","",
IF(BC222=0,0,$BD$9))</f>
        <v>0</v>
      </c>
      <c r="BE222" s="43">
        <f t="shared" ref="BE222:BE250" si="572">IF(BC222="","",
IF(BC222=0,0,$BE$9))</f>
        <v>0</v>
      </c>
      <c r="BF222" s="201">
        <f t="shared" ref="BF222:BF250" si="573">IF(BC222="","",
IF($BD$9=0,0,
IF(BC222&lt;=13,20,
IF(AND(BC222&gt;13,BC222&lt;=18),30,
IF(AND(BC222&gt;18,BC222&lt;=23),40,
IF(AND(BC222&gt;23,BC222&lt;=30),50,
60))))))</f>
        <v>0</v>
      </c>
      <c r="BG222" s="201">
        <f t="shared" ref="BG222:BG250" si="574">IF(BC222="","",$BG$9)</f>
        <v>0</v>
      </c>
      <c r="BH222" s="61">
        <f t="shared" si="403"/>
        <v>8.379999999999999</v>
      </c>
      <c r="BI222" s="237">
        <f t="shared" ref="BI222:BI250" si="575">IF(BC222="","",$BI$9)</f>
        <v>0</v>
      </c>
      <c r="BJ222" s="247">
        <f t="shared" ref="BJ222:BJ250" si="576">IF(BC222="","",$BJ$9)</f>
        <v>0</v>
      </c>
      <c r="BK222" s="431">
        <f t="shared" si="416"/>
        <v>0</v>
      </c>
      <c r="BL222" s="250">
        <f t="shared" si="421"/>
        <v>0</v>
      </c>
      <c r="BM222" s="237">
        <f t="shared" ref="BM222:BM245" si="577">IF(BL222="","",$BM$9)</f>
        <v>0</v>
      </c>
      <c r="BN222" s="452">
        <f t="shared" si="406"/>
        <v>8.379999999999999</v>
      </c>
      <c r="BO222" s="237">
        <f t="shared" ref="BO222:BO245" si="578">IF(BN222="","",$BO$9)</f>
        <v>0</v>
      </c>
      <c r="BP222" s="432">
        <f t="shared" ref="BP222:BP245" si="579">IF(BO222="","",IF(BO222&gt;0,$BP$9,0))</f>
        <v>0</v>
      </c>
      <c r="BQ222" s="22" t="str">
        <f t="shared" si="417"/>
        <v/>
      </c>
      <c r="BR222" s="250">
        <f t="shared" si="418"/>
        <v>0</v>
      </c>
      <c r="BS222" s="237">
        <f t="shared" ref="BS222:BS250" si="580">IF(BO222="","",IF(BO222=0,0,$BS$9))</f>
        <v>0</v>
      </c>
      <c r="BT222" s="452">
        <f t="shared" si="419"/>
        <v>8.379999999999999</v>
      </c>
      <c r="BU222" s="492">
        <f t="shared" ref="BU222:BU231" si="581">0.85*BV222-0.1</f>
        <v>1.1749999999999998</v>
      </c>
      <c r="BV222" s="493">
        <f>IF(BT222="","",
IF(AND(BT222&gt;'Данные ТНПА'!$K$8,BT222&lt;='Данные ТНПА'!$L$8),'Данные ТНПА'!$N$8,
IF(AND(BT222&gt;'Данные ТНПА'!$K$9,BT222&lt;='Данные ТНПА'!$L$9),'Данные ТНПА'!$N$9,
IF(AND(BT222&gt;'Данные ТНПА'!$K$10,BT222&lt;='Данные ТНПА'!$L$10),'Данные ТНПА'!$N$10,
IF(AND(BT222&gt;'Данные ТНПА'!$K$11,BT222&lt;='Данные ТНПА'!$L$11),'Данные ТНПА'!$N$11,
IF(AND(BT222&gt;'Данные ТНПА'!$K$12,BT222&lt;='Данные ТНПА'!$L$12),'Данные ТНПА'!$N$12,
IF(AND(BT222&gt;'Данные ТНПА'!$K$13,BT222&lt;='Данные ТНПА'!$L$13),'Данные ТНПА'!$N$13,
IF(AND(BT222&gt;'Данные ТНПА'!$K$14,BT222&lt;='Данные ТНПА'!$L$14),'Данные ТНПА'!$N$14))))))))</f>
        <v>1.5</v>
      </c>
      <c r="BW222" s="493">
        <f t="shared" ref="BW222:BW261" si="582">BT222+2*BV222</f>
        <v>11.379999999999999</v>
      </c>
      <c r="BX222" s="457">
        <f t="shared" si="498"/>
        <v>135.94499999999999</v>
      </c>
      <c r="BY222" s="457">
        <f t="shared" si="499"/>
        <v>0</v>
      </c>
      <c r="BZ222" s="457">
        <f t="shared" si="500"/>
        <v>33.462567235030498</v>
      </c>
      <c r="CA222" s="457" t="e">
        <f t="shared" ref="CA222:CA231" si="583">PI()*POWER(Y222,2)/4*$CA$9</f>
        <v>#REF!</v>
      </c>
      <c r="CB222" s="458">
        <f t="shared" ref="CB222:CB250" si="584">IF(AA222="","",
IF(AA222=2,SQRT((Z222*PI()/50)^2+1)*$CB$9*AA222,0))</f>
        <v>0</v>
      </c>
      <c r="CC222" s="457">
        <f t="shared" ref="CC222:CC261" si="585">PI()*(Z222+AC222*AD222)*AC222*AD222*$CC$9*ROUND(100/(100-AG222),2)</f>
        <v>0</v>
      </c>
      <c r="CD222" s="457">
        <f t="shared" ref="CD222:CD261" si="586">PI()*(AH222+AI222*AJ222)*AI222*AJ222*$CD$9*ROUND(100/(100-AM222),2)</f>
        <v>0</v>
      </c>
      <c r="CE222" s="457">
        <f t="shared" ref="CE222:CE261" si="587">PI()*(AN222+AO222*AP222)*AO222*AP222*$CE$9*ROUND(100/(100-AS222),2)</f>
        <v>0</v>
      </c>
      <c r="CF222" s="457">
        <f t="shared" ref="CF222:CF261" si="588">PI()*(AT222+AU222*AV222)*AU222*AV222*$CF$9*ROUND(100/(100-AY222),2)</f>
        <v>0</v>
      </c>
      <c r="CG222" s="458">
        <f t="shared" si="501"/>
        <v>0</v>
      </c>
      <c r="CH222" s="457">
        <f t="shared" ref="CH222:CH245" si="589">IF(BE222="","",
IF(BD222=0,0,
PI()*(BC222+BD222*BE222)*BD222*BE222*$CH$9*ROUND(100/(100-BG222),2)))</f>
        <v>0</v>
      </c>
      <c r="CI222" s="457">
        <f t="shared" ref="CI222:CI245" si="590">IF(BH222="","",
PI()*(BH222+BI222*BJ222)*BI222*BJ222*$CI$9*ROUND(100/(100+BM222),2))</f>
        <v>0</v>
      </c>
      <c r="CJ222" s="458">
        <f t="shared" ref="CJ222:CJ245" si="591">IF(BO222="","",PI()*(BN222+BO222*BP222)*BO222*BP222*$CJ$9*ROUND(100/(100-BS222),2))</f>
        <v>0</v>
      </c>
      <c r="CK222" s="458">
        <f t="shared" si="502"/>
        <v>67.789034951748263</v>
      </c>
      <c r="CL222" s="457">
        <f t="shared" si="503"/>
        <v>237.19660218677876</v>
      </c>
      <c r="CM222" s="504"/>
      <c r="CN222" s="504"/>
    </row>
    <row r="223" spans="1:92" ht="14.25" hidden="1" customHeight="1" x14ac:dyDescent="0.25">
      <c r="A223" s="389" t="str">
        <f>IF(D223="",CONCATENATE("Кабель ",IF(C223="а","А",""),$A$9),CONCATENATE("Кабель ",IF(C223="а","А",""),$A$9," ",D223,"*",F223,IF(G223="ок"," (ож)","")," - ",B223," ",IF(G223="мс"," фас. ",""),$A$2))</f>
        <v>Кабель АВВГ 2*35 - 1 ГОСТ 16442-80</v>
      </c>
      <c r="B223" s="450">
        <v>1</v>
      </c>
      <c r="C223" s="451" t="s">
        <v>164</v>
      </c>
      <c r="D223" s="412">
        <v>2</v>
      </c>
      <c r="E223" s="413" t="s">
        <v>40</v>
      </c>
      <c r="F223" s="423">
        <v>35</v>
      </c>
      <c r="G223" s="414" t="str">
        <f>IF(I223=1,"ок","мк")</f>
        <v>мк</v>
      </c>
      <c r="H223" s="461">
        <v>2.61</v>
      </c>
      <c r="I223" s="476">
        <v>7</v>
      </c>
      <c r="J223" s="477" t="s">
        <v>40</v>
      </c>
      <c r="K223" s="470">
        <f>ROUNDUP(SQRT(F223/I223/PI()*4*1.07),2)</f>
        <v>2.61</v>
      </c>
      <c r="L223" s="501">
        <v>2.2599999999999998</v>
      </c>
      <c r="M223" s="475"/>
      <c r="N223" s="475"/>
      <c r="O223" s="475"/>
      <c r="P223" s="475"/>
      <c r="Q223" s="483">
        <f t="shared" si="554"/>
        <v>0.98000000000000009</v>
      </c>
      <c r="R223" s="484">
        <f>IF(B223=0.66,VLOOKUP(F223,'Данные ТНПА'!$B$8:$C$16,2,0),
IF(B223=1,VLOOKUP(F223,'Данные ТНПА'!$B$17:$C$37,2,0),"ошибка"))</f>
        <v>1.2</v>
      </c>
      <c r="S223" s="485">
        <f t="shared" si="488"/>
        <v>4.22</v>
      </c>
      <c r="T223" s="486"/>
      <c r="U223" s="487"/>
      <c r="V223" s="485">
        <f t="shared" si="489"/>
        <v>4.66</v>
      </c>
      <c r="W223" s="486"/>
      <c r="X223" s="487"/>
      <c r="Y223" s="489">
        <f t="shared" si="490"/>
        <v>0</v>
      </c>
      <c r="Z223" s="491">
        <f t="shared" si="491"/>
        <v>9.32</v>
      </c>
      <c r="AA223" s="237">
        <f t="shared" si="492"/>
        <v>0</v>
      </c>
      <c r="AB223" s="452">
        <f t="shared" si="412"/>
        <v>9.32</v>
      </c>
      <c r="AC223" s="201">
        <f t="shared" si="493"/>
        <v>0</v>
      </c>
      <c r="AD223" s="203">
        <f t="shared" si="413"/>
        <v>0</v>
      </c>
      <c r="AE223" s="37" t="str">
        <f t="shared" si="494"/>
        <v/>
      </c>
      <c r="AF223" s="202">
        <f t="shared" si="414"/>
        <v>0</v>
      </c>
      <c r="AG223" s="201">
        <f t="shared" si="415"/>
        <v>0</v>
      </c>
      <c r="AH223" s="61">
        <f t="shared" si="495"/>
        <v>9.32</v>
      </c>
      <c r="AI223" s="443">
        <f t="shared" si="504"/>
        <v>0</v>
      </c>
      <c r="AJ223" s="444">
        <f t="shared" si="555"/>
        <v>0</v>
      </c>
      <c r="AK223" s="445">
        <f t="shared" si="556"/>
        <v>0</v>
      </c>
      <c r="AL223" s="446">
        <f t="shared" si="557"/>
        <v>0</v>
      </c>
      <c r="AM223" s="447">
        <f t="shared" si="558"/>
        <v>0</v>
      </c>
      <c r="AN223" s="24">
        <f t="shared" si="559"/>
        <v>9.32</v>
      </c>
      <c r="AO223" s="443">
        <f t="shared" si="496"/>
        <v>0</v>
      </c>
      <c r="AP223" s="444">
        <f t="shared" si="560"/>
        <v>0</v>
      </c>
      <c r="AQ223" s="445">
        <f t="shared" si="561"/>
        <v>0</v>
      </c>
      <c r="AR223" s="446">
        <f t="shared" si="562"/>
        <v>0</v>
      </c>
      <c r="AS223" s="447">
        <f t="shared" si="563"/>
        <v>0</v>
      </c>
      <c r="AT223" s="24">
        <f t="shared" si="564"/>
        <v>9.32</v>
      </c>
      <c r="AU223" s="443">
        <f t="shared" si="497"/>
        <v>0</v>
      </c>
      <c r="AV223" s="444">
        <f t="shared" si="565"/>
        <v>0</v>
      </c>
      <c r="AW223" s="445">
        <f t="shared" si="566"/>
        <v>0</v>
      </c>
      <c r="AX223" s="446">
        <f t="shared" si="567"/>
        <v>0</v>
      </c>
      <c r="AY223" s="447">
        <f t="shared" si="568"/>
        <v>0</v>
      </c>
      <c r="AZ223" s="24">
        <f t="shared" si="569"/>
        <v>9.32</v>
      </c>
      <c r="BA223" s="43">
        <f>IF(BB223=0,0,
IF(D223=1,
(IF(AND(AH223&gt;'Данные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"ошибка_1"))))))),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"ошибка_2"))))))))</f>
        <v>0</v>
      </c>
      <c r="BB223" s="43">
        <f>IF(OR($AI$9=0,AND(D223&gt;1,F223&gt;10)),0,
IF(D223=1,
(IF(AND(AH223&gt;'Данные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"ошибка_1"))))))),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IF(AND(AH223&gt;'Данные ТНПА'!#REF!,AH223&lt;='Данные ТНПА'!#REF!),'Данные ТНПА'!#REF!,
"ошибка_2"))))))))</f>
        <v>0</v>
      </c>
      <c r="BC223" s="43">
        <f t="shared" si="570"/>
        <v>9.32</v>
      </c>
      <c r="BD223" s="237">
        <f t="shared" si="571"/>
        <v>0</v>
      </c>
      <c r="BE223" s="43">
        <f t="shared" si="572"/>
        <v>0</v>
      </c>
      <c r="BF223" s="201">
        <f t="shared" si="573"/>
        <v>0</v>
      </c>
      <c r="BG223" s="201">
        <f t="shared" si="574"/>
        <v>0</v>
      </c>
      <c r="BH223" s="61">
        <f t="shared" si="403"/>
        <v>9.32</v>
      </c>
      <c r="BI223" s="237">
        <f t="shared" si="575"/>
        <v>0</v>
      </c>
      <c r="BJ223" s="247">
        <f t="shared" si="576"/>
        <v>0</v>
      </c>
      <c r="BK223" s="431">
        <f t="shared" si="416"/>
        <v>0</v>
      </c>
      <c r="BL223" s="250">
        <f t="shared" si="421"/>
        <v>0</v>
      </c>
      <c r="BM223" s="237">
        <f t="shared" si="577"/>
        <v>0</v>
      </c>
      <c r="BN223" s="452">
        <f t="shared" si="406"/>
        <v>9.32</v>
      </c>
      <c r="BO223" s="237">
        <f t="shared" si="578"/>
        <v>0</v>
      </c>
      <c r="BP223" s="432">
        <f t="shared" si="579"/>
        <v>0</v>
      </c>
      <c r="BQ223" s="22" t="str">
        <f t="shared" si="417"/>
        <v/>
      </c>
      <c r="BR223" s="250">
        <f t="shared" si="418"/>
        <v>0</v>
      </c>
      <c r="BS223" s="237">
        <f t="shared" si="580"/>
        <v>0</v>
      </c>
      <c r="BT223" s="452">
        <f t="shared" si="419"/>
        <v>9.32</v>
      </c>
      <c r="BU223" s="492">
        <f t="shared" si="581"/>
        <v>1.1749999999999998</v>
      </c>
      <c r="BV223" s="493">
        <f>IF(BT223="","",
IF(AND(BT223&gt;'Данные ТНПА'!$K$8,BT223&lt;='Данные ТНПА'!$L$8),'Данные ТНПА'!$N$8,
IF(AND(BT223&gt;'Данные ТНПА'!$K$9,BT223&lt;='Данные ТНПА'!$L$9),'Данные ТНПА'!$N$9,
IF(AND(BT223&gt;'Данные ТНПА'!$K$10,BT223&lt;='Данные ТНПА'!$L$10),'Данные ТНПА'!$N$10,
IF(AND(BT223&gt;'Данные ТНПА'!$K$11,BT223&lt;='Данные ТНПА'!$L$11),'Данные ТНПА'!$N$11,
IF(AND(BT223&gt;'Данные ТНПА'!$K$12,BT223&lt;='Данные ТНПА'!$L$12),'Данные ТНПА'!$N$12,
IF(AND(BT223&gt;'Данные ТНПА'!$K$13,BT223&lt;='Данные ТНПА'!$L$13),'Данные ТНПА'!$N$13,
IF(AND(BT223&gt;'Данные ТНПА'!$K$14,BT223&lt;='Данные ТНПА'!$L$14),'Данные ТНПА'!$N$14))))))))</f>
        <v>1.5</v>
      </c>
      <c r="BW223" s="493">
        <f t="shared" si="582"/>
        <v>12.32</v>
      </c>
      <c r="BX223" s="457">
        <f t="shared" si="498"/>
        <v>190.32299999999998</v>
      </c>
      <c r="BY223" s="457">
        <f t="shared" si="499"/>
        <v>0</v>
      </c>
      <c r="BZ223" s="457">
        <f t="shared" si="500"/>
        <v>38.722569442543644</v>
      </c>
      <c r="CA223" s="457" t="e">
        <f t="shared" si="583"/>
        <v>#REF!</v>
      </c>
      <c r="CB223" s="458">
        <f t="shared" si="584"/>
        <v>0</v>
      </c>
      <c r="CC223" s="457">
        <f t="shared" si="585"/>
        <v>0</v>
      </c>
      <c r="CD223" s="457">
        <f t="shared" si="586"/>
        <v>0</v>
      </c>
      <c r="CE223" s="457">
        <f t="shared" si="587"/>
        <v>0</v>
      </c>
      <c r="CF223" s="457">
        <f t="shared" si="588"/>
        <v>0</v>
      </c>
      <c r="CG223" s="458">
        <f t="shared" si="501"/>
        <v>0</v>
      </c>
      <c r="CH223" s="457">
        <f t="shared" si="589"/>
        <v>0</v>
      </c>
      <c r="CI223" s="457">
        <f t="shared" si="590"/>
        <v>0</v>
      </c>
      <c r="CJ223" s="458">
        <f t="shared" si="591"/>
        <v>0</v>
      </c>
      <c r="CK223" s="458">
        <f t="shared" si="502"/>
        <v>74.238599005861971</v>
      </c>
      <c r="CL223" s="457">
        <f t="shared" si="503"/>
        <v>303.28416844840558</v>
      </c>
      <c r="CM223" s="504"/>
      <c r="CN223" s="504"/>
    </row>
    <row r="224" spans="1:92" ht="14.25" hidden="1" customHeight="1" x14ac:dyDescent="0.25">
      <c r="A224" s="389" t="str">
        <f>IF(D224="",CONCATENATE("Кабель ",IF(C224="а","А",""),$A$9),CONCATENATE("Кабель ",IF(C224="а","А",""),$A$9," ",D224,"*",F224,IF(G224="ок"," (ож)","")," - ",B224," ",IF(G224="мс"," фас. ",""),$A$2))</f>
        <v>Кабель АВВГ 2*50 - 1 ГОСТ 16442-80</v>
      </c>
      <c r="B224" s="450">
        <v>1</v>
      </c>
      <c r="C224" s="451" t="s">
        <v>164</v>
      </c>
      <c r="D224" s="412">
        <v>2</v>
      </c>
      <c r="E224" s="413" t="s">
        <v>40</v>
      </c>
      <c r="F224" s="423">
        <v>50</v>
      </c>
      <c r="G224" s="414" t="str">
        <f>IF(I224=1,"ок","мк")</f>
        <v>мк</v>
      </c>
      <c r="H224" s="461">
        <v>3.1199999999999997</v>
      </c>
      <c r="I224" s="476">
        <v>7</v>
      </c>
      <c r="J224" s="477" t="s">
        <v>40</v>
      </c>
      <c r="K224" s="470">
        <f>ROUNDUP(SQRT(F224/I224/PI()*4*1.07),2)</f>
        <v>3.1199999999999997</v>
      </c>
      <c r="L224" s="501">
        <v>2.7699999999999996</v>
      </c>
      <c r="M224" s="475"/>
      <c r="N224" s="475"/>
      <c r="O224" s="475"/>
      <c r="P224" s="475"/>
      <c r="Q224" s="483">
        <f t="shared" si="554"/>
        <v>1.1599999999999999</v>
      </c>
      <c r="R224" s="484">
        <f>IF(B224=0.66,VLOOKUP(F224,'Данные ТНПА'!$B$8:$C$16,2,0),
IF(B224=1,VLOOKUP(F224,'Данные ТНПА'!$B$17:$C$37,2,0),"ошибка"))</f>
        <v>1.4</v>
      </c>
      <c r="S224" s="485">
        <f t="shared" si="488"/>
        <v>5.09</v>
      </c>
      <c r="T224" s="486"/>
      <c r="U224" s="487"/>
      <c r="V224" s="485">
        <f t="shared" si="489"/>
        <v>5.5699999999999994</v>
      </c>
      <c r="W224" s="486"/>
      <c r="X224" s="487"/>
      <c r="Y224" s="489">
        <f t="shared" si="490"/>
        <v>0</v>
      </c>
      <c r="Z224" s="491">
        <f t="shared" si="491"/>
        <v>11.139999999999999</v>
      </c>
      <c r="AA224" s="237">
        <f t="shared" si="492"/>
        <v>0</v>
      </c>
      <c r="AB224" s="452">
        <f t="shared" si="412"/>
        <v>11.139999999999999</v>
      </c>
      <c r="AC224" s="201">
        <f t="shared" si="493"/>
        <v>0</v>
      </c>
      <c r="AD224" s="203">
        <f t="shared" si="413"/>
        <v>0</v>
      </c>
      <c r="AE224" s="37" t="str">
        <f t="shared" si="494"/>
        <v/>
      </c>
      <c r="AF224" s="202">
        <f t="shared" si="414"/>
        <v>0</v>
      </c>
      <c r="AG224" s="201">
        <f t="shared" si="415"/>
        <v>0</v>
      </c>
      <c r="AH224" s="61">
        <f t="shared" si="495"/>
        <v>11.139999999999999</v>
      </c>
      <c r="AI224" s="443">
        <f t="shared" si="504"/>
        <v>0</v>
      </c>
      <c r="AJ224" s="444">
        <f t="shared" si="555"/>
        <v>0</v>
      </c>
      <c r="AK224" s="445">
        <f t="shared" si="556"/>
        <v>0</v>
      </c>
      <c r="AL224" s="446">
        <f t="shared" si="557"/>
        <v>0</v>
      </c>
      <c r="AM224" s="447">
        <f t="shared" si="558"/>
        <v>0</v>
      </c>
      <c r="AN224" s="24">
        <f t="shared" si="559"/>
        <v>11.139999999999999</v>
      </c>
      <c r="AO224" s="443">
        <f t="shared" si="496"/>
        <v>0</v>
      </c>
      <c r="AP224" s="444">
        <f t="shared" si="560"/>
        <v>0</v>
      </c>
      <c r="AQ224" s="445">
        <f t="shared" si="561"/>
        <v>0</v>
      </c>
      <c r="AR224" s="446">
        <f t="shared" si="562"/>
        <v>0</v>
      </c>
      <c r="AS224" s="447">
        <f t="shared" si="563"/>
        <v>0</v>
      </c>
      <c r="AT224" s="24">
        <f t="shared" si="564"/>
        <v>11.139999999999999</v>
      </c>
      <c r="AU224" s="443">
        <f t="shared" si="497"/>
        <v>0</v>
      </c>
      <c r="AV224" s="444">
        <f t="shared" si="565"/>
        <v>0</v>
      </c>
      <c r="AW224" s="445">
        <f t="shared" si="566"/>
        <v>0</v>
      </c>
      <c r="AX224" s="446">
        <f t="shared" si="567"/>
        <v>0</v>
      </c>
      <c r="AY224" s="447">
        <f t="shared" si="568"/>
        <v>0</v>
      </c>
      <c r="AZ224" s="24">
        <f t="shared" si="569"/>
        <v>11.139999999999999</v>
      </c>
      <c r="BA224" s="43">
        <f>IF(BB224=0,0,
IF(D224=1,
(IF(AND(AH224&gt;'Данные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"ошибка_1"))))))),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"ошибка_2"))))))))</f>
        <v>0</v>
      </c>
      <c r="BB224" s="43">
        <f>IF(OR($AI$9=0,AND(D224&gt;1,F224&gt;10)),0,
IF(D224=1,
(IF(AND(AH224&gt;'Данные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"ошибка_1"))))))),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IF(AND(AH224&gt;'Данные ТНПА'!#REF!,AH224&lt;='Данные ТНПА'!#REF!),'Данные ТНПА'!#REF!,
"ошибка_2"))))))))</f>
        <v>0</v>
      </c>
      <c r="BC224" s="43">
        <f t="shared" si="570"/>
        <v>11.139999999999999</v>
      </c>
      <c r="BD224" s="237">
        <f t="shared" si="571"/>
        <v>0</v>
      </c>
      <c r="BE224" s="43">
        <f t="shared" si="572"/>
        <v>0</v>
      </c>
      <c r="BF224" s="201">
        <f t="shared" si="573"/>
        <v>0</v>
      </c>
      <c r="BG224" s="201">
        <f t="shared" si="574"/>
        <v>0</v>
      </c>
      <c r="BH224" s="61">
        <f t="shared" si="403"/>
        <v>11.139999999999999</v>
      </c>
      <c r="BI224" s="237">
        <f t="shared" si="575"/>
        <v>0</v>
      </c>
      <c r="BJ224" s="247">
        <f t="shared" si="576"/>
        <v>0</v>
      </c>
      <c r="BK224" s="431">
        <f t="shared" si="416"/>
        <v>0</v>
      </c>
      <c r="BL224" s="250">
        <f t="shared" si="421"/>
        <v>0</v>
      </c>
      <c r="BM224" s="237">
        <f t="shared" si="577"/>
        <v>0</v>
      </c>
      <c r="BN224" s="452">
        <f t="shared" si="406"/>
        <v>11.139999999999999</v>
      </c>
      <c r="BO224" s="237">
        <f t="shared" si="578"/>
        <v>0</v>
      </c>
      <c r="BP224" s="432">
        <f t="shared" si="579"/>
        <v>0</v>
      </c>
      <c r="BQ224" s="22" t="str">
        <f t="shared" si="417"/>
        <v/>
      </c>
      <c r="BR224" s="250">
        <f t="shared" si="418"/>
        <v>0</v>
      </c>
      <c r="BS224" s="237">
        <f t="shared" si="580"/>
        <v>0</v>
      </c>
      <c r="BT224" s="452">
        <f t="shared" si="419"/>
        <v>11.139999999999999</v>
      </c>
      <c r="BU224" s="492">
        <f t="shared" si="581"/>
        <v>1.1749999999999998</v>
      </c>
      <c r="BV224" s="493">
        <f>IF(BT224="","",
IF(AND(BT224&gt;'Данные ТНПА'!$K$8,BT224&lt;='Данные ТНПА'!$L$8),'Данные ТНПА'!$N$8,
IF(AND(BT224&gt;'Данные ТНПА'!$K$9,BT224&lt;='Данные ТНПА'!$L$9),'Данные ТНПА'!$N$9,
IF(AND(BT224&gt;'Данные ТНПА'!$K$10,BT224&lt;='Данные ТНПА'!$L$10),'Данные ТНПА'!$N$10,
IF(AND(BT224&gt;'Данные ТНПА'!$K$11,BT224&lt;='Данные ТНПА'!$L$11),'Данные ТНПА'!$N$11,
IF(AND(BT224&gt;'Данные ТНПА'!$K$12,BT224&lt;='Данные ТНПА'!$L$12),'Данные ТНПА'!$N$12,
IF(AND(BT224&gt;'Данные ТНПА'!$K$13,BT224&lt;='Данные ТНПА'!$L$13),'Данные ТНПА'!$N$13,
IF(AND(BT224&gt;'Данные ТНПА'!$K$14,BT224&lt;='Данные ТНПА'!$L$14),'Данные ТНПА'!$N$14))))))))</f>
        <v>1.5</v>
      </c>
      <c r="BW224" s="493">
        <f t="shared" si="582"/>
        <v>14.139999999999999</v>
      </c>
      <c r="BX224" s="457">
        <f t="shared" si="498"/>
        <v>271.89</v>
      </c>
      <c r="BY224" s="457">
        <f t="shared" si="499"/>
        <v>0</v>
      </c>
      <c r="BZ224" s="457">
        <f t="shared" si="500"/>
        <v>54.446618594790422</v>
      </c>
      <c r="CA224" s="457" t="e">
        <f t="shared" si="583"/>
        <v>#REF!</v>
      </c>
      <c r="CB224" s="458">
        <f t="shared" si="584"/>
        <v>0</v>
      </c>
      <c r="CC224" s="457">
        <f t="shared" si="585"/>
        <v>0</v>
      </c>
      <c r="CD224" s="457">
        <f t="shared" si="586"/>
        <v>0</v>
      </c>
      <c r="CE224" s="457">
        <f t="shared" si="587"/>
        <v>0</v>
      </c>
      <c r="CF224" s="457">
        <f t="shared" si="588"/>
        <v>0</v>
      </c>
      <c r="CG224" s="458">
        <f t="shared" si="501"/>
        <v>0</v>
      </c>
      <c r="CH224" s="457">
        <f t="shared" si="589"/>
        <v>0</v>
      </c>
      <c r="CI224" s="457">
        <f t="shared" si="590"/>
        <v>0</v>
      </c>
      <c r="CJ224" s="458">
        <f t="shared" si="591"/>
        <v>0</v>
      </c>
      <c r="CK224" s="458">
        <f t="shared" si="502"/>
        <v>86.726052812762944</v>
      </c>
      <c r="CL224" s="457">
        <f t="shared" si="503"/>
        <v>413.06267140755335</v>
      </c>
      <c r="CM224" s="504"/>
      <c r="CN224" s="504"/>
    </row>
    <row r="225" spans="1:92" ht="14.25" hidden="1" customHeight="1" x14ac:dyDescent="0.25">
      <c r="A225" s="389" t="str">
        <f>IF(D225="",CONCATENATE("Кабель ",IF(C225="а","А",""),$A$9),CONCATENATE("Кабель ",IF(C225="а","А",""),$A$9," ",D225,"*",F225,IF(G225="ок"," (ож)","")," - ",B225," ",IF(G225="мс"," фас. ",""),$A$2))</f>
        <v>Кабель АВВГ 2*2,5 (ож) - 1 ГОСТ 16442-80</v>
      </c>
      <c r="B225" s="450">
        <v>1</v>
      </c>
      <c r="C225" s="451" t="s">
        <v>164</v>
      </c>
      <c r="D225" s="412">
        <v>2</v>
      </c>
      <c r="E225" s="413" t="s">
        <v>40</v>
      </c>
      <c r="F225" s="423">
        <v>2.5</v>
      </c>
      <c r="G225" s="414" t="str">
        <f>IF(I225=1,"ок","мк")</f>
        <v>ок</v>
      </c>
      <c r="H225" s="461">
        <v>1.79</v>
      </c>
      <c r="I225" s="497">
        <v>1</v>
      </c>
      <c r="J225" s="498" t="s">
        <v>40</v>
      </c>
      <c r="K225" s="496">
        <f>ROUNDUP(SQRT(F225/PI()*4),2)</f>
        <v>1.79</v>
      </c>
      <c r="L225" s="501">
        <v>3.57</v>
      </c>
      <c r="M225" s="475"/>
      <c r="N225" s="475"/>
      <c r="O225" s="475"/>
      <c r="P225" s="475"/>
      <c r="Q225" s="483">
        <f t="shared" si="554"/>
        <v>0.62000000000000011</v>
      </c>
      <c r="R225" s="484">
        <f>IF(B225=0.66,VLOOKUP(F225,'Данные ТНПА'!$B$8:$C$16,2,0),
IF(B225=1,VLOOKUP(F225,'Данные ТНПА'!$B$17:$C$37,2,0),"ошибка"))</f>
        <v>0.8</v>
      </c>
      <c r="S225" s="485">
        <f t="shared" si="488"/>
        <v>3.0300000000000002</v>
      </c>
      <c r="T225" s="486"/>
      <c r="U225" s="487"/>
      <c r="V225" s="485">
        <f t="shared" si="489"/>
        <v>3.39</v>
      </c>
      <c r="W225" s="486"/>
      <c r="X225" s="487"/>
      <c r="Y225" s="489">
        <f t="shared" si="490"/>
        <v>0</v>
      </c>
      <c r="Z225" s="491">
        <f t="shared" si="491"/>
        <v>6.78</v>
      </c>
      <c r="AA225" s="237">
        <f t="shared" si="492"/>
        <v>0</v>
      </c>
      <c r="AB225" s="452">
        <f t="shared" si="412"/>
        <v>6.78</v>
      </c>
      <c r="AC225" s="201">
        <f t="shared" si="493"/>
        <v>0</v>
      </c>
      <c r="AD225" s="203">
        <f t="shared" si="413"/>
        <v>0</v>
      </c>
      <c r="AE225" s="37" t="str">
        <f t="shared" si="494"/>
        <v/>
      </c>
      <c r="AF225" s="202">
        <f t="shared" si="414"/>
        <v>0</v>
      </c>
      <c r="AG225" s="201">
        <f t="shared" si="415"/>
        <v>0</v>
      </c>
      <c r="AH225" s="61">
        <f t="shared" si="495"/>
        <v>6.78</v>
      </c>
      <c r="AI225" s="443">
        <f t="shared" si="504"/>
        <v>0</v>
      </c>
      <c r="AJ225" s="444">
        <f t="shared" si="555"/>
        <v>0</v>
      </c>
      <c r="AK225" s="445">
        <f t="shared" si="556"/>
        <v>0</v>
      </c>
      <c r="AL225" s="446">
        <f t="shared" si="557"/>
        <v>0</v>
      </c>
      <c r="AM225" s="447">
        <f t="shared" si="558"/>
        <v>0</v>
      </c>
      <c r="AN225" s="24">
        <f t="shared" si="559"/>
        <v>6.78</v>
      </c>
      <c r="AO225" s="443">
        <f t="shared" si="496"/>
        <v>0</v>
      </c>
      <c r="AP225" s="444">
        <f t="shared" si="560"/>
        <v>0</v>
      </c>
      <c r="AQ225" s="445">
        <f t="shared" si="561"/>
        <v>0</v>
      </c>
      <c r="AR225" s="446">
        <f t="shared" si="562"/>
        <v>0</v>
      </c>
      <c r="AS225" s="447">
        <f t="shared" si="563"/>
        <v>0</v>
      </c>
      <c r="AT225" s="24">
        <f t="shared" si="564"/>
        <v>6.78</v>
      </c>
      <c r="AU225" s="443">
        <f t="shared" si="497"/>
        <v>0</v>
      </c>
      <c r="AV225" s="444">
        <f t="shared" si="565"/>
        <v>0</v>
      </c>
      <c r="AW225" s="445">
        <f t="shared" si="566"/>
        <v>0</v>
      </c>
      <c r="AX225" s="446">
        <f t="shared" si="567"/>
        <v>0</v>
      </c>
      <c r="AY225" s="447">
        <f t="shared" si="568"/>
        <v>0</v>
      </c>
      <c r="AZ225" s="24">
        <f t="shared" si="569"/>
        <v>6.78</v>
      </c>
      <c r="BA225" s="43">
        <f>IF(BB225=0,0,
IF(D225=1,
(IF(AND(AH225&gt;'Данные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"ошибка_1"))))))),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"ошибка_2"))))))))</f>
        <v>0</v>
      </c>
      <c r="BB225" s="43">
        <f>IF(OR($AI$9=0,AND(D225&gt;1,F225&gt;10)),0,
IF(D225=1,
(IF(AND(AH225&gt;'Данные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"ошибка_1"))))))),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IF(AND(AH225&gt;'Данные ТНПА'!#REF!,AH225&lt;='Данные ТНПА'!#REF!),'Данные ТНПА'!#REF!,
"ошибка_2"))))))))</f>
        <v>0</v>
      </c>
      <c r="BC225" s="43">
        <f t="shared" si="570"/>
        <v>6.78</v>
      </c>
      <c r="BD225" s="237">
        <f t="shared" si="571"/>
        <v>0</v>
      </c>
      <c r="BE225" s="43">
        <f t="shared" si="572"/>
        <v>0</v>
      </c>
      <c r="BF225" s="201">
        <f t="shared" si="573"/>
        <v>0</v>
      </c>
      <c r="BG225" s="201">
        <f t="shared" si="574"/>
        <v>0</v>
      </c>
      <c r="BH225" s="61">
        <f t="shared" si="403"/>
        <v>6.78</v>
      </c>
      <c r="BI225" s="237">
        <f t="shared" si="575"/>
        <v>0</v>
      </c>
      <c r="BJ225" s="247">
        <f t="shared" si="576"/>
        <v>0</v>
      </c>
      <c r="BK225" s="431">
        <f t="shared" si="416"/>
        <v>0</v>
      </c>
      <c r="BL225" s="250">
        <f t="shared" si="421"/>
        <v>0</v>
      </c>
      <c r="BM225" s="237">
        <f t="shared" si="577"/>
        <v>0</v>
      </c>
      <c r="BN225" s="452">
        <f t="shared" si="406"/>
        <v>6.78</v>
      </c>
      <c r="BO225" s="237">
        <f t="shared" si="578"/>
        <v>0</v>
      </c>
      <c r="BP225" s="432">
        <f t="shared" si="579"/>
        <v>0</v>
      </c>
      <c r="BQ225" s="22" t="str">
        <f t="shared" si="417"/>
        <v/>
      </c>
      <c r="BR225" s="250">
        <f t="shared" si="418"/>
        <v>0</v>
      </c>
      <c r="BS225" s="237">
        <f t="shared" si="580"/>
        <v>0</v>
      </c>
      <c r="BT225" s="452">
        <f t="shared" si="419"/>
        <v>6.78</v>
      </c>
      <c r="BU225" s="492">
        <f t="shared" si="581"/>
        <v>1.1749999999999998</v>
      </c>
      <c r="BV225" s="493">
        <f>IF(BT225="","",
IF(AND(BT225&gt;'Данные ТНПА'!$K$8,BT225&lt;='Данные ТНПА'!$L$8),'Данные ТНПА'!$N$8,
IF(AND(BT225&gt;'Данные ТНПА'!$K$9,BT225&lt;='Данные ТНПА'!$L$9),'Данные ТНПА'!$N$9,
IF(AND(BT225&gt;'Данные ТНПА'!$K$10,BT225&lt;='Данные ТНПА'!$L$10),'Данные ТНПА'!$N$10,
IF(AND(BT225&gt;'Данные ТНПА'!$K$11,BT225&lt;='Данные ТНПА'!$L$11),'Данные ТНПА'!$N$11,
IF(AND(BT225&gt;'Данные ТНПА'!$K$12,BT225&lt;='Данные ТНПА'!$L$12),'Данные ТНПА'!$N$12,
IF(AND(BT225&gt;'Данные ТНПА'!$K$13,BT225&lt;='Данные ТНПА'!$L$13),'Данные ТНПА'!$N$13,
IF(AND(BT225&gt;'Данные ТНПА'!$K$14,BT225&lt;='Данные ТНПА'!$L$14),'Данные ТНПА'!$N$14))))))))</f>
        <v>1.5</v>
      </c>
      <c r="BW225" s="493">
        <f t="shared" si="582"/>
        <v>9.7800000000000011</v>
      </c>
      <c r="BX225" s="457">
        <f t="shared" si="498"/>
        <v>13.594499999999998</v>
      </c>
      <c r="BY225" s="457">
        <f t="shared" si="499"/>
        <v>0</v>
      </c>
      <c r="BZ225" s="457">
        <f t="shared" si="500"/>
        <v>17.567254310069721</v>
      </c>
      <c r="CA225" s="457" t="e">
        <f t="shared" si="583"/>
        <v>#REF!</v>
      </c>
      <c r="CB225" s="458">
        <f t="shared" si="584"/>
        <v>0</v>
      </c>
      <c r="CC225" s="457">
        <f t="shared" si="585"/>
        <v>0</v>
      </c>
      <c r="CD225" s="457">
        <f t="shared" si="586"/>
        <v>0</v>
      </c>
      <c r="CE225" s="457">
        <f t="shared" si="587"/>
        <v>0</v>
      </c>
      <c r="CF225" s="457">
        <f t="shared" si="588"/>
        <v>0</v>
      </c>
      <c r="CG225" s="458">
        <f t="shared" si="501"/>
        <v>0</v>
      </c>
      <c r="CH225" s="457">
        <f t="shared" si="589"/>
        <v>0</v>
      </c>
      <c r="CI225" s="457">
        <f t="shared" si="590"/>
        <v>0</v>
      </c>
      <c r="CJ225" s="458">
        <f t="shared" si="591"/>
        <v>0</v>
      </c>
      <c r="CK225" s="458">
        <f t="shared" si="502"/>
        <v>56.811053583044092</v>
      </c>
      <c r="CL225" s="457">
        <f t="shared" si="503"/>
        <v>87.97280789311381</v>
      </c>
      <c r="CM225" s="504"/>
      <c r="CN225" s="504"/>
    </row>
    <row r="226" spans="1:92" ht="14.25" hidden="1" customHeight="1" x14ac:dyDescent="0.25">
      <c r="A226" s="389" t="str">
        <f>IF(D226="",CONCATENATE("Кабель ",IF(C226="а","А",""),$A$9),CONCATENATE("Кабель ",IF(C226="а","А",""),$A$9," ",D226,"*",F226,IF(G226="ок"," (ож)","")," - ",B226," ",IF(G226="мс"," фас. ",""),$A$2))</f>
        <v>Кабель АВВГ 2*4 (ож) - 1 ГОСТ 16442-80</v>
      </c>
      <c r="B226" s="450">
        <v>1</v>
      </c>
      <c r="C226" s="451" t="s">
        <v>164</v>
      </c>
      <c r="D226" s="412">
        <v>2</v>
      </c>
      <c r="E226" s="413" t="s">
        <v>40</v>
      </c>
      <c r="F226" s="423">
        <v>4</v>
      </c>
      <c r="G226" s="414" t="str">
        <f>IF(I226=1,"ок","мк")</f>
        <v>ок</v>
      </c>
      <c r="H226" s="461">
        <v>2.2599999999999998</v>
      </c>
      <c r="I226" s="497">
        <v>1</v>
      </c>
      <c r="J226" s="498" t="s">
        <v>40</v>
      </c>
      <c r="K226" s="496">
        <f>ROUNDUP(SQRT(F226/PI()*4),2)</f>
        <v>2.2599999999999998</v>
      </c>
      <c r="L226" s="501">
        <v>4.5199999999999996</v>
      </c>
      <c r="M226" s="475"/>
      <c r="N226" s="475"/>
      <c r="O226" s="475"/>
      <c r="P226" s="475"/>
      <c r="Q226" s="483">
        <f t="shared" si="554"/>
        <v>0.8</v>
      </c>
      <c r="R226" s="484">
        <f>IF(B226=0.66,VLOOKUP(F226,'Данные ТНПА'!$B$8:$C$16,2,0),
IF(B226=1,VLOOKUP(F226,'Данные ТНПА'!$B$17:$C$37,2,0),"ошибка"))</f>
        <v>1</v>
      </c>
      <c r="S226" s="485">
        <f t="shared" si="488"/>
        <v>3.86</v>
      </c>
      <c r="T226" s="486"/>
      <c r="U226" s="487"/>
      <c r="V226" s="485">
        <f t="shared" si="489"/>
        <v>4.26</v>
      </c>
      <c r="W226" s="486"/>
      <c r="X226" s="487"/>
      <c r="Y226" s="489">
        <f t="shared" si="490"/>
        <v>0</v>
      </c>
      <c r="Z226" s="491">
        <f t="shared" si="491"/>
        <v>8.52</v>
      </c>
      <c r="AA226" s="237">
        <f t="shared" si="492"/>
        <v>0</v>
      </c>
      <c r="AB226" s="452">
        <f t="shared" si="412"/>
        <v>8.52</v>
      </c>
      <c r="AC226" s="201">
        <f t="shared" si="493"/>
        <v>0</v>
      </c>
      <c r="AD226" s="203">
        <f t="shared" si="413"/>
        <v>0</v>
      </c>
      <c r="AE226" s="37" t="str">
        <f t="shared" si="494"/>
        <v/>
      </c>
      <c r="AF226" s="202">
        <f t="shared" si="414"/>
        <v>0</v>
      </c>
      <c r="AG226" s="201">
        <f t="shared" si="415"/>
        <v>0</v>
      </c>
      <c r="AH226" s="61">
        <f t="shared" si="495"/>
        <v>8.52</v>
      </c>
      <c r="AI226" s="443">
        <f t="shared" si="504"/>
        <v>0</v>
      </c>
      <c r="AJ226" s="444">
        <f t="shared" si="555"/>
        <v>0</v>
      </c>
      <c r="AK226" s="445">
        <f t="shared" si="556"/>
        <v>0</v>
      </c>
      <c r="AL226" s="446">
        <f t="shared" si="557"/>
        <v>0</v>
      </c>
      <c r="AM226" s="447">
        <f t="shared" si="558"/>
        <v>0</v>
      </c>
      <c r="AN226" s="24">
        <f t="shared" si="559"/>
        <v>8.52</v>
      </c>
      <c r="AO226" s="443">
        <f t="shared" si="496"/>
        <v>0</v>
      </c>
      <c r="AP226" s="444">
        <f t="shared" si="560"/>
        <v>0</v>
      </c>
      <c r="AQ226" s="445">
        <f t="shared" si="561"/>
        <v>0</v>
      </c>
      <c r="AR226" s="446">
        <f t="shared" si="562"/>
        <v>0</v>
      </c>
      <c r="AS226" s="447">
        <f t="shared" si="563"/>
        <v>0</v>
      </c>
      <c r="AT226" s="24">
        <f t="shared" si="564"/>
        <v>8.52</v>
      </c>
      <c r="AU226" s="443">
        <f t="shared" si="497"/>
        <v>0</v>
      </c>
      <c r="AV226" s="444">
        <f t="shared" si="565"/>
        <v>0</v>
      </c>
      <c r="AW226" s="445">
        <f t="shared" si="566"/>
        <v>0</v>
      </c>
      <c r="AX226" s="446">
        <f t="shared" si="567"/>
        <v>0</v>
      </c>
      <c r="AY226" s="447">
        <f t="shared" si="568"/>
        <v>0</v>
      </c>
      <c r="AZ226" s="24">
        <f t="shared" si="569"/>
        <v>8.52</v>
      </c>
      <c r="BA226" s="43">
        <f>IF(BB226=0,0,
IF(D226=1,
(IF(AND(AH226&gt;'Данные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"ошибка_1"))))))),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"ошибка_2"))))))))</f>
        <v>0</v>
      </c>
      <c r="BB226" s="43">
        <f>IF(OR($AI$9=0,AND(D226&gt;1,F226&gt;10)),0,
IF(D226=1,
(IF(AND(AH226&gt;'Данные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"ошибка_1"))))))),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IF(AND(AH226&gt;'Данные ТНПА'!#REF!,AH226&lt;='Данные ТНПА'!#REF!),'Данные ТНПА'!#REF!,
"ошибка_2"))))))))</f>
        <v>0</v>
      </c>
      <c r="BC226" s="43">
        <f t="shared" si="570"/>
        <v>8.52</v>
      </c>
      <c r="BD226" s="237">
        <f t="shared" si="571"/>
        <v>0</v>
      </c>
      <c r="BE226" s="43">
        <f t="shared" si="572"/>
        <v>0</v>
      </c>
      <c r="BF226" s="201">
        <f t="shared" si="573"/>
        <v>0</v>
      </c>
      <c r="BG226" s="201">
        <f t="shared" si="574"/>
        <v>0</v>
      </c>
      <c r="BH226" s="61">
        <f t="shared" si="403"/>
        <v>8.52</v>
      </c>
      <c r="BI226" s="237">
        <f t="shared" si="575"/>
        <v>0</v>
      </c>
      <c r="BJ226" s="247">
        <f t="shared" si="576"/>
        <v>0</v>
      </c>
      <c r="BK226" s="431">
        <f t="shared" si="416"/>
        <v>0</v>
      </c>
      <c r="BL226" s="250">
        <f t="shared" si="421"/>
        <v>0</v>
      </c>
      <c r="BM226" s="237">
        <f t="shared" si="577"/>
        <v>0</v>
      </c>
      <c r="BN226" s="452">
        <f t="shared" si="406"/>
        <v>8.52</v>
      </c>
      <c r="BO226" s="237">
        <f t="shared" si="578"/>
        <v>0</v>
      </c>
      <c r="BP226" s="432">
        <f t="shared" si="579"/>
        <v>0</v>
      </c>
      <c r="BQ226" s="22" t="str">
        <f t="shared" si="417"/>
        <v/>
      </c>
      <c r="BR226" s="250">
        <f t="shared" si="418"/>
        <v>0</v>
      </c>
      <c r="BS226" s="237">
        <f t="shared" si="580"/>
        <v>0</v>
      </c>
      <c r="BT226" s="452">
        <f t="shared" si="419"/>
        <v>8.52</v>
      </c>
      <c r="BU226" s="492">
        <f t="shared" si="581"/>
        <v>1.1749999999999998</v>
      </c>
      <c r="BV226" s="493">
        <f>IF(BT226="","",
IF(AND(BT226&gt;'Данные ТНПА'!$K$8,BT226&lt;='Данные ТНПА'!$L$8),'Данные ТНПА'!$N$8,
IF(AND(BT226&gt;'Данные ТНПА'!$K$9,BT226&lt;='Данные ТНПА'!$L$9),'Данные ТНПА'!$N$9,
IF(AND(BT226&gt;'Данные ТНПА'!$K$10,BT226&lt;='Данные ТНПА'!$L$10),'Данные ТНПА'!$N$10,
IF(AND(BT226&gt;'Данные ТНПА'!$K$11,BT226&lt;='Данные ТНПА'!$L$11),'Данные ТНПА'!$N$11,
IF(AND(BT226&gt;'Данные ТНПА'!$K$12,BT226&lt;='Данные ТНПА'!$L$12),'Данные ТНПА'!$N$12,
IF(AND(BT226&gt;'Данные ТНПА'!$K$13,BT226&lt;='Данные ТНПА'!$L$13),'Данные ТНПА'!$N$13,
IF(AND(BT226&gt;'Данные ТНПА'!$K$14,BT226&lt;='Данные ТНПА'!$L$14),'Данные ТНПА'!$N$14))))))))</f>
        <v>1.5</v>
      </c>
      <c r="BW226" s="493">
        <f t="shared" si="582"/>
        <v>11.52</v>
      </c>
      <c r="BX226" s="457">
        <f t="shared" si="498"/>
        <v>21.751200000000001</v>
      </c>
      <c r="BY226" s="457">
        <f t="shared" si="499"/>
        <v>0</v>
      </c>
      <c r="BZ226" s="457">
        <f t="shared" si="500"/>
        <v>27.639598962754484</v>
      </c>
      <c r="CA226" s="457" t="e">
        <f t="shared" si="583"/>
        <v>#REF!</v>
      </c>
      <c r="CB226" s="458">
        <f t="shared" si="584"/>
        <v>0</v>
      </c>
      <c r="CC226" s="457">
        <f t="shared" si="585"/>
        <v>0</v>
      </c>
      <c r="CD226" s="457">
        <f t="shared" si="586"/>
        <v>0</v>
      </c>
      <c r="CE226" s="457">
        <f t="shared" si="587"/>
        <v>0</v>
      </c>
      <c r="CF226" s="457">
        <f t="shared" si="588"/>
        <v>0</v>
      </c>
      <c r="CG226" s="458">
        <f t="shared" si="501"/>
        <v>0</v>
      </c>
      <c r="CH226" s="457">
        <f t="shared" si="589"/>
        <v>0</v>
      </c>
      <c r="CI226" s="457">
        <f t="shared" si="590"/>
        <v>0</v>
      </c>
      <c r="CJ226" s="458">
        <f t="shared" si="591"/>
        <v>0</v>
      </c>
      <c r="CK226" s="458">
        <f t="shared" si="502"/>
        <v>68.749608321509882</v>
      </c>
      <c r="CL226" s="457">
        <f t="shared" si="503"/>
        <v>118.14040728426437</v>
      </c>
      <c r="CM226" s="504"/>
      <c r="CN226" s="504"/>
    </row>
    <row r="227" spans="1:92" ht="14.25" hidden="1" customHeight="1" x14ac:dyDescent="0.25">
      <c r="A227" s="389" t="str">
        <f>IF(D227="",CONCATENATE("Кабель ",IF(C227="а","А",""),$A$9),CONCATENATE("Кабель ",IF(C227="а","А",""),$A$9," ",D227,"*",F227,IF(G227="ок"," (ож)","")," - ",B227," ",IF(G227="мс"," фас. ",""),$A$2))</f>
        <v>Кабель АВВГ 2*6 (ож) - 1 ГОСТ 16442-80</v>
      </c>
      <c r="B227" s="450">
        <v>1</v>
      </c>
      <c r="C227" s="451" t="s">
        <v>164</v>
      </c>
      <c r="D227" s="412">
        <v>2</v>
      </c>
      <c r="E227" s="413" t="s">
        <v>40</v>
      </c>
      <c r="F227" s="423">
        <v>6</v>
      </c>
      <c r="G227" s="414" t="str">
        <f>IF(I227=1,"ок","мк")</f>
        <v>ок</v>
      </c>
      <c r="H227" s="461">
        <v>2.7699999999999996</v>
      </c>
      <c r="I227" s="497">
        <v>1</v>
      </c>
      <c r="J227" s="498" t="s">
        <v>40</v>
      </c>
      <c r="K227" s="496">
        <f>ROUNDUP(SQRT(F227/PI()*4),2)</f>
        <v>2.7699999999999996</v>
      </c>
      <c r="L227" s="501">
        <v>5.6499999999999995</v>
      </c>
      <c r="M227" s="475"/>
      <c r="N227" s="475"/>
      <c r="O227" s="475"/>
      <c r="P227" s="475"/>
      <c r="Q227" s="483">
        <f t="shared" si="554"/>
        <v>0.8</v>
      </c>
      <c r="R227" s="484">
        <f>IF(B227=0.66,VLOOKUP(F227,'Данные ТНПА'!$B$8:$C$16,2,0),
IF(B227=1,VLOOKUP(F227,'Данные ТНПА'!$B$17:$C$37,2,0),"ошибка"))</f>
        <v>1</v>
      </c>
      <c r="S227" s="485">
        <f t="shared" si="488"/>
        <v>4.3699999999999992</v>
      </c>
      <c r="T227" s="486"/>
      <c r="U227" s="487"/>
      <c r="V227" s="485">
        <f t="shared" si="489"/>
        <v>4.7699999999999996</v>
      </c>
      <c r="W227" s="486"/>
      <c r="X227" s="487"/>
      <c r="Y227" s="489">
        <f t="shared" si="490"/>
        <v>0</v>
      </c>
      <c r="Z227" s="491">
        <f t="shared" si="491"/>
        <v>9.5399999999999991</v>
      </c>
      <c r="AA227" s="237">
        <f t="shared" si="492"/>
        <v>0</v>
      </c>
      <c r="AB227" s="452">
        <f t="shared" si="412"/>
        <v>9.5399999999999991</v>
      </c>
      <c r="AC227" s="201">
        <f t="shared" si="493"/>
        <v>0</v>
      </c>
      <c r="AD227" s="203">
        <f t="shared" si="413"/>
        <v>0</v>
      </c>
      <c r="AE227" s="37" t="str">
        <f t="shared" si="494"/>
        <v/>
      </c>
      <c r="AF227" s="202">
        <f t="shared" si="414"/>
        <v>0</v>
      </c>
      <c r="AG227" s="201">
        <f t="shared" si="415"/>
        <v>0</v>
      </c>
      <c r="AH227" s="61">
        <f t="shared" si="495"/>
        <v>9.5399999999999991</v>
      </c>
      <c r="AI227" s="443">
        <f t="shared" si="504"/>
        <v>0</v>
      </c>
      <c r="AJ227" s="444">
        <f t="shared" si="555"/>
        <v>0</v>
      </c>
      <c r="AK227" s="445">
        <f t="shared" si="556"/>
        <v>0</v>
      </c>
      <c r="AL227" s="446">
        <f t="shared" si="557"/>
        <v>0</v>
      </c>
      <c r="AM227" s="447">
        <f t="shared" si="558"/>
        <v>0</v>
      </c>
      <c r="AN227" s="24">
        <f t="shared" si="559"/>
        <v>9.5399999999999991</v>
      </c>
      <c r="AO227" s="443">
        <f t="shared" si="496"/>
        <v>0</v>
      </c>
      <c r="AP227" s="444">
        <f t="shared" si="560"/>
        <v>0</v>
      </c>
      <c r="AQ227" s="445">
        <f t="shared" si="561"/>
        <v>0</v>
      </c>
      <c r="AR227" s="446">
        <f t="shared" si="562"/>
        <v>0</v>
      </c>
      <c r="AS227" s="447">
        <f t="shared" si="563"/>
        <v>0</v>
      </c>
      <c r="AT227" s="24">
        <f t="shared" si="564"/>
        <v>9.5399999999999991</v>
      </c>
      <c r="AU227" s="443">
        <f t="shared" si="497"/>
        <v>0</v>
      </c>
      <c r="AV227" s="444">
        <f t="shared" si="565"/>
        <v>0</v>
      </c>
      <c r="AW227" s="445">
        <f t="shared" si="566"/>
        <v>0</v>
      </c>
      <c r="AX227" s="446">
        <f t="shared" si="567"/>
        <v>0</v>
      </c>
      <c r="AY227" s="447">
        <f t="shared" si="568"/>
        <v>0</v>
      </c>
      <c r="AZ227" s="24">
        <f t="shared" si="569"/>
        <v>9.5399999999999991</v>
      </c>
      <c r="BA227" s="43">
        <f>IF(BB227=0,0,
IF(D227=1,
(IF(AND(AH227&gt;'Данные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"ошибка_1"))))))),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"ошибка_2"))))))))</f>
        <v>0</v>
      </c>
      <c r="BB227" s="43">
        <f>IF(OR($AI$9=0,AND(D227&gt;1,F227&gt;10)),0,
IF(D227=1,
(IF(AND(AH227&gt;'Данные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"ошибка_1"))))))),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IF(AND(AH227&gt;'Данные ТНПА'!#REF!,AH227&lt;='Данные ТНПА'!#REF!),'Данные ТНПА'!#REF!,
"ошибка_2"))))))))</f>
        <v>0</v>
      </c>
      <c r="BC227" s="43">
        <f t="shared" si="570"/>
        <v>9.5399999999999991</v>
      </c>
      <c r="BD227" s="237">
        <f t="shared" si="571"/>
        <v>0</v>
      </c>
      <c r="BE227" s="43">
        <f t="shared" si="572"/>
        <v>0</v>
      </c>
      <c r="BF227" s="201">
        <f t="shared" si="573"/>
        <v>0</v>
      </c>
      <c r="BG227" s="201">
        <f t="shared" si="574"/>
        <v>0</v>
      </c>
      <c r="BH227" s="61">
        <f t="shared" si="403"/>
        <v>9.5399999999999991</v>
      </c>
      <c r="BI227" s="237">
        <f t="shared" si="575"/>
        <v>0</v>
      </c>
      <c r="BJ227" s="247">
        <f t="shared" si="576"/>
        <v>0</v>
      </c>
      <c r="BK227" s="431">
        <f t="shared" si="416"/>
        <v>0</v>
      </c>
      <c r="BL227" s="250">
        <f t="shared" si="421"/>
        <v>0</v>
      </c>
      <c r="BM227" s="237">
        <f t="shared" si="577"/>
        <v>0</v>
      </c>
      <c r="BN227" s="452">
        <f t="shared" si="406"/>
        <v>9.5399999999999991</v>
      </c>
      <c r="BO227" s="237">
        <f t="shared" si="578"/>
        <v>0</v>
      </c>
      <c r="BP227" s="432">
        <f t="shared" si="579"/>
        <v>0</v>
      </c>
      <c r="BQ227" s="22" t="str">
        <f t="shared" si="417"/>
        <v/>
      </c>
      <c r="BR227" s="250">
        <f t="shared" si="418"/>
        <v>0</v>
      </c>
      <c r="BS227" s="237">
        <f t="shared" si="580"/>
        <v>0</v>
      </c>
      <c r="BT227" s="452">
        <f t="shared" si="419"/>
        <v>9.5399999999999991</v>
      </c>
      <c r="BU227" s="492">
        <f t="shared" si="581"/>
        <v>1.1749999999999998</v>
      </c>
      <c r="BV227" s="493">
        <f>IF(BT227="","",
IF(AND(BT227&gt;'Данные ТНПА'!$K$8,BT227&lt;='Данные ТНПА'!$L$8),'Данные ТНПА'!$N$8,
IF(AND(BT227&gt;'Данные ТНПА'!$K$9,BT227&lt;='Данные ТНПА'!$L$9),'Данные ТНПА'!$N$9,
IF(AND(BT227&gt;'Данные ТНПА'!$K$10,BT227&lt;='Данные ТНПА'!$L$10),'Данные ТНПА'!$N$10,
IF(AND(BT227&gt;'Данные ТНПА'!$K$11,BT227&lt;='Данные ТНПА'!$L$11),'Данные ТНПА'!$N$11,
IF(AND(BT227&gt;'Данные ТНПА'!$K$12,BT227&lt;='Данные ТНПА'!$L$12),'Данные ТНПА'!$N$12,
IF(AND(BT227&gt;'Данные ТНПА'!$K$13,BT227&lt;='Данные ТНПА'!$L$13),'Данные ТНПА'!$N$13,
IF(AND(BT227&gt;'Данные ТНПА'!$K$14,BT227&lt;='Данные ТНПА'!$L$14),'Данные ТНПА'!$N$14))))))))</f>
        <v>1.5</v>
      </c>
      <c r="BW227" s="493">
        <f t="shared" si="582"/>
        <v>12.54</v>
      </c>
      <c r="BX227" s="457">
        <f t="shared" si="498"/>
        <v>32.626800000000003</v>
      </c>
      <c r="BY227" s="457">
        <f t="shared" si="499"/>
        <v>0</v>
      </c>
      <c r="BZ227" s="457">
        <f t="shared" si="500"/>
        <v>31.963585303553497</v>
      </c>
      <c r="CA227" s="457" t="e">
        <f t="shared" si="583"/>
        <v>#REF!</v>
      </c>
      <c r="CB227" s="458">
        <f t="shared" si="584"/>
        <v>0</v>
      </c>
      <c r="CC227" s="457">
        <f t="shared" si="585"/>
        <v>0</v>
      </c>
      <c r="CD227" s="457">
        <f t="shared" si="586"/>
        <v>0</v>
      </c>
      <c r="CE227" s="457">
        <f t="shared" si="587"/>
        <v>0</v>
      </c>
      <c r="CF227" s="457">
        <f t="shared" si="588"/>
        <v>0</v>
      </c>
      <c r="CG227" s="458">
        <f t="shared" si="501"/>
        <v>0</v>
      </c>
      <c r="CH227" s="457">
        <f t="shared" si="589"/>
        <v>0</v>
      </c>
      <c r="CI227" s="457">
        <f t="shared" si="590"/>
        <v>0</v>
      </c>
      <c r="CJ227" s="458">
        <f t="shared" si="591"/>
        <v>0</v>
      </c>
      <c r="CK227" s="458">
        <f t="shared" si="502"/>
        <v>75.74807144405878</v>
      </c>
      <c r="CL227" s="457">
        <f t="shared" si="503"/>
        <v>140.33845674761227</v>
      </c>
      <c r="CM227" s="504"/>
      <c r="CN227" s="504"/>
    </row>
    <row r="228" spans="1:92" ht="14.25" hidden="1" customHeight="1" x14ac:dyDescent="0.25">
      <c r="A228" s="389" t="str">
        <f>IF(D228="",CONCATENATE("Кабель ",IF(C228="а","А",""),$A$9),CONCATENATE("Кабель ",IF(C228="а","А",""),$A$9," ",D228,"*",F228,IF(G228="ок"," (ож)","")," - ",B228," ",IF(G228="мс"," фас. ",""),$A$2))</f>
        <v>Кабель АВВГ 2*10 (ож) - 1 ГОСТ 16442-80</v>
      </c>
      <c r="B228" s="450">
        <v>1</v>
      </c>
      <c r="C228" s="451" t="s">
        <v>164</v>
      </c>
      <c r="D228" s="412">
        <v>2</v>
      </c>
      <c r="E228" s="413" t="s">
        <v>40</v>
      </c>
      <c r="F228" s="423">
        <v>10</v>
      </c>
      <c r="G228" s="414" t="str">
        <f>IF(I228=1,"ок","мк")</f>
        <v>ок</v>
      </c>
      <c r="H228" s="461">
        <v>3.57</v>
      </c>
      <c r="I228" s="497">
        <v>1</v>
      </c>
      <c r="J228" s="498" t="s">
        <v>40</v>
      </c>
      <c r="K228" s="496">
        <f>ROUNDUP(SQRT(F228/PI()*4),2)</f>
        <v>3.57</v>
      </c>
      <c r="L228" s="501">
        <v>5.99</v>
      </c>
      <c r="M228" s="475"/>
      <c r="N228" s="475"/>
      <c r="O228" s="475"/>
      <c r="P228" s="475"/>
      <c r="Q228" s="483">
        <f>0.9*R228-0.1</f>
        <v>0.8</v>
      </c>
      <c r="R228" s="484">
        <f>IF(B228=0.66,VLOOKUP(F228,'Данные ТНПА'!$B$8:$C$16,2,0),
IF(B228=1,VLOOKUP(F228,'Данные ТНПА'!$B$17:$C$37,2,0),"ошибка"))</f>
        <v>1</v>
      </c>
      <c r="S228" s="485">
        <f t="shared" si="488"/>
        <v>5.17</v>
      </c>
      <c r="T228" s="486"/>
      <c r="U228" s="487"/>
      <c r="V228" s="485">
        <f t="shared" si="489"/>
        <v>5.57</v>
      </c>
      <c r="W228" s="486"/>
      <c r="X228" s="487"/>
      <c r="Y228" s="489">
        <f t="shared" si="490"/>
        <v>0</v>
      </c>
      <c r="Z228" s="491">
        <f t="shared" si="491"/>
        <v>11.14</v>
      </c>
      <c r="AA228" s="237">
        <f t="shared" si="492"/>
        <v>0</v>
      </c>
      <c r="AB228" s="452">
        <f>IF(Z228="","",Z228)</f>
        <v>11.14</v>
      </c>
      <c r="AC228" s="201">
        <f t="shared" si="493"/>
        <v>0</v>
      </c>
      <c r="AD228" s="203">
        <f>IF(AC228="","",IF(AC228&gt;0,IF(AND(Z228&gt;=10,Z228&lt;=20),0.035,IF(Z228&gt;20,0.05,"ошибка")),0))</f>
        <v>0</v>
      </c>
      <c r="AE228" s="37" t="str">
        <f t="shared" si="494"/>
        <v/>
      </c>
      <c r="AF228" s="202">
        <f>IF(AC228="","",IF(AC228&gt;0,IF(AND(Z228&gt;=10,Z228&lt;=20),50,IF(Z228&gt;20,60,"ошибка")),0))</f>
        <v>0</v>
      </c>
      <c r="AG228" s="201">
        <f>IF(AC228="","",IF(AC228&gt;0,IF(AND(Z228&gt;=10,Z228&lt;=13),40,IF(AND(Z228&gt;=13,Z228&lt;=16),30,IF(Z228&gt;16,25,"ошибка"))),0))</f>
        <v>0</v>
      </c>
      <c r="AH228" s="61">
        <f t="shared" si="495"/>
        <v>11.14</v>
      </c>
      <c r="AI228" s="443">
        <f t="shared" si="504"/>
        <v>0</v>
      </c>
      <c r="AJ228" s="444">
        <f t="shared" si="555"/>
        <v>0</v>
      </c>
      <c r="AK228" s="445">
        <f>IF(AI228="","",IF(AI228=0,0,"×"))</f>
        <v>0</v>
      </c>
      <c r="AL228" s="446">
        <f t="shared" si="557"/>
        <v>0</v>
      </c>
      <c r="AM228" s="447">
        <f>IF(AI228=0,0,
IF(AND(AH228&gt;10,AH228&lt;=13),55,
IF(AND(AH228&gt;13,AH228&lt;=15),45,
IF(AND(AH228&gt;15,AH228&lt;=18),35,
IF(AND(AH228&gt;18,AH228&lt;=20),30,
IF(AH228&gt;20,15,
0))))))</f>
        <v>0</v>
      </c>
      <c r="AN228" s="24">
        <f>AH228+2*AI228*AJ228*(IF(AM228&lt;25,1,IF(AM228&gt;33,2,1.5)))</f>
        <v>11.14</v>
      </c>
      <c r="AO228" s="443">
        <f t="shared" si="496"/>
        <v>0</v>
      </c>
      <c r="AP228" s="444">
        <f t="shared" si="560"/>
        <v>0</v>
      </c>
      <c r="AQ228" s="445">
        <f>IF(OR(AN228&gt;23,AO228=0),0,"×")</f>
        <v>0</v>
      </c>
      <c r="AR228" s="446">
        <f t="shared" si="562"/>
        <v>0</v>
      </c>
      <c r="AS228" s="447">
        <f>IF(AO228=0,0,
IF(AND(AH228&gt;10,AH228&lt;=13),55,
IF(AND(AH228&gt;13,AH228&lt;=15),45,
IF(AND(AH228&gt;15,AH228&lt;=18),35,
IF(AND(AH228&gt;18,AH228&lt;=20),30,
IF(AND(AH228&gt;20,AH228&lt;=23),15,
0))))))</f>
        <v>0</v>
      </c>
      <c r="AT228" s="24">
        <f>AN228+2*AO228*AP228*(IF(AS228&lt;25,1,IF(AS228&gt;33,2,1.5)))</f>
        <v>11.14</v>
      </c>
      <c r="AU228" s="443">
        <f t="shared" si="497"/>
        <v>0</v>
      </c>
      <c r="AV228" s="444">
        <f t="shared" si="565"/>
        <v>0</v>
      </c>
      <c r="AW228" s="445">
        <f>IF(OR(AN228&lt;=23,AU228=0),0,"×")</f>
        <v>0</v>
      </c>
      <c r="AX228" s="446">
        <f t="shared" si="567"/>
        <v>0</v>
      </c>
      <c r="AY228" s="447">
        <f>IF(AU228=0,0,15)</f>
        <v>0</v>
      </c>
      <c r="AZ228" s="24">
        <f>AT228+2*AU228*AV228*(IF(AY228&lt;25,1,IF(AY228&gt;33,2,1.5)))</f>
        <v>11.14</v>
      </c>
      <c r="BA228" s="43">
        <f>IF(BB228=0,0,
IF(D228=1,
(IF(AND(AH228&gt;'Данные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"ошибка_1"))))))),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"ошибка_2"))))))))</f>
        <v>0</v>
      </c>
      <c r="BB228" s="43">
        <f>IF(OR($AI$9=0,AND(D228&gt;1,F228&gt;10)),0,
IF(D228=1,
(IF(AND(AH228&gt;'Данные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"ошибка_1"))))))),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IF(AND(AH228&gt;'Данные ТНПА'!#REF!,AH228&lt;='Данные ТНПА'!#REF!),'Данные ТНПА'!#REF!,
"ошибка_2"))))))))</f>
        <v>0</v>
      </c>
      <c r="BC228" s="43">
        <f>AZ228+2*BB228</f>
        <v>11.14</v>
      </c>
      <c r="BD228" s="237">
        <f>IF(BC228="","",
IF(BC228=0,0,$BD$9))</f>
        <v>0</v>
      </c>
      <c r="BE228" s="43">
        <f>IF(BC228="","",
IF(BC228=0,0,$BE$9))</f>
        <v>0</v>
      </c>
      <c r="BF228" s="201">
        <f>IF(BC228="","",
IF($BD$9=0,0,
IF(BC228&lt;=13,20,
IF(AND(BC228&gt;13,BC228&lt;=18),30,
IF(AND(BC228&gt;18,BC228&lt;=23),40,
IF(AND(BC228&gt;23,BC228&lt;=30),50,
60))))))</f>
        <v>0</v>
      </c>
      <c r="BG228" s="201">
        <f>IF(BC228="","",$BG$9)</f>
        <v>0</v>
      </c>
      <c r="BH228" s="61">
        <f>IF(BC228="","",BC228+2*BD228*BE228*IF(BG228&lt;=25,1,IF(BG228&gt;33,2,1.5)))</f>
        <v>11.14</v>
      </c>
      <c r="BI228" s="237">
        <f>IF(BC228="","",$BI$9)</f>
        <v>0</v>
      </c>
      <c r="BJ228" s="247">
        <f>IF(BC228="","",$BJ$9)</f>
        <v>0</v>
      </c>
      <c r="BK228" s="431">
        <f>IF(BJ228="","",IF(BJ228&lt;&gt;0,"×",0))</f>
        <v>0</v>
      </c>
      <c r="BL228" s="250">
        <f>IF(BK228="","",
IF(BJ228&lt;&gt;0,
IF(AND(BC228&gt;7,BC228&lt;=10),15,
IF(AND(BC228&gt;10,BC228&lt;=13),20,
IF(AND(BC228&gt;13,BC228&lt;=21),30,
IF(AND(BC228&gt;21,BC228&lt;=31),40,
IF(AND(BC228&gt;31,BC228&lt;=70),50,
IF(AND(BC228&gt;70,BC228&lt;=80),60,
"ошибка")))))),0))</f>
        <v>0</v>
      </c>
      <c r="BM228" s="237">
        <f>IF(BL228="","",$BM$9)</f>
        <v>0</v>
      </c>
      <c r="BN228" s="452">
        <f>IF(BH228="","",BH228+2*BI228*BJ228)</f>
        <v>11.14</v>
      </c>
      <c r="BO228" s="237">
        <f>IF(BN228="","",$BO$9)</f>
        <v>0</v>
      </c>
      <c r="BP228" s="432">
        <f>IF(BO228="","",IF(BO228&gt;0,$BP$9,0))</f>
        <v>0</v>
      </c>
      <c r="BQ228" s="22" t="str">
        <f>IF(BP228="","",IF(BP228&gt;0,"×",""))</f>
        <v/>
      </c>
      <c r="BR228" s="250">
        <f>IF(BN228="","",IF(BO228=0,0,IF(BN228&lt;=19,30,IF(AND(BN228&gt;19,BN228&lt;=23),40,50))))</f>
        <v>0</v>
      </c>
      <c r="BS228" s="237">
        <f>IF(BO228="","",IF(BO228=0,0,$BS$9))</f>
        <v>0</v>
      </c>
      <c r="BT228" s="452">
        <f>IF(BN228="","",BN228+2*BO228*BP228*IF(BS228&lt;=25,1,IF(BS228&gt;33,2,1.5)))</f>
        <v>11.14</v>
      </c>
      <c r="BU228" s="492">
        <f>0.85*BV228-0.1</f>
        <v>1.1749999999999998</v>
      </c>
      <c r="BV228" s="493">
        <f>IF(BT228="","",
IF(AND(BT228&gt;'Данные ТНПА'!$K$8,BT228&lt;='Данные ТНПА'!$L$8),'Данные ТНПА'!$N$8,
IF(AND(BT228&gt;'Данные ТНПА'!$K$9,BT228&lt;='Данные ТНПА'!$L$9),'Данные ТНПА'!$N$9,
IF(AND(BT228&gt;'Данные ТНПА'!$K$10,BT228&lt;='Данные ТНПА'!$L$10),'Данные ТНПА'!$N$10,
IF(AND(BT228&gt;'Данные ТНПА'!$K$11,BT228&lt;='Данные ТНПА'!$L$11),'Данные ТНПА'!$N$11,
IF(AND(BT228&gt;'Данные ТНПА'!$K$12,BT228&lt;='Данные ТНПА'!$L$12),'Данные ТНПА'!$N$12,
IF(AND(BT228&gt;'Данные ТНПА'!$K$13,BT228&lt;='Данные ТНПА'!$L$13),'Данные ТНПА'!$N$13,
IF(AND(BT228&gt;'Данные ТНПА'!$K$14,BT228&lt;='Данные ТНПА'!$L$14),'Данные ТНПА'!$N$14))))))))</f>
        <v>1.5</v>
      </c>
      <c r="BW228" s="493">
        <f>BT228+2*BV228</f>
        <v>14.14</v>
      </c>
      <c r="BX228" s="457">
        <f t="shared" si="498"/>
        <v>54.377999999999993</v>
      </c>
      <c r="BY228" s="457">
        <f t="shared" si="499"/>
        <v>0</v>
      </c>
      <c r="BZ228" s="457">
        <f t="shared" si="500"/>
        <v>38.746308975395095</v>
      </c>
      <c r="CA228" s="457" t="e">
        <f>PI()*POWER(Y228,2)/4*$CA$9</f>
        <v>#REF!</v>
      </c>
      <c r="CB228" s="458">
        <f>IF(AA228="","",
IF(AA228=2,SQRT((Z228*PI()/50)^2+1)*$CB$9*AA228,0))</f>
        <v>0</v>
      </c>
      <c r="CC228" s="457">
        <f t="shared" si="585"/>
        <v>0</v>
      </c>
      <c r="CD228" s="457">
        <f t="shared" si="586"/>
        <v>0</v>
      </c>
      <c r="CE228" s="457">
        <f t="shared" si="587"/>
        <v>0</v>
      </c>
      <c r="CF228" s="457">
        <f t="shared" si="588"/>
        <v>0</v>
      </c>
      <c r="CG228" s="458">
        <f t="shared" si="501"/>
        <v>0</v>
      </c>
      <c r="CH228" s="457">
        <f>IF(BE228="","",
IF(BD228=0,0,
PI()*(BC228+BD228*BE228)*BD228*BE228*$CH$9*ROUND(100/(100-BG228),2)))</f>
        <v>0</v>
      </c>
      <c r="CI228" s="457">
        <f>IF(BH228="","",
PI()*(BH228+BI228*BJ228)*BI228*BJ228*$CI$9*ROUND(100/(100+BM228),2))</f>
        <v>0</v>
      </c>
      <c r="CJ228" s="458">
        <f>IF(BO228="","",PI()*(BN228+BO228*BP228)*BO228*BP228*$CJ$9*ROUND(100/(100-BS228),2))</f>
        <v>0</v>
      </c>
      <c r="CK228" s="458">
        <f t="shared" si="502"/>
        <v>86.726052812762973</v>
      </c>
      <c r="CL228" s="457">
        <f t="shared" si="503"/>
        <v>179.85036178815807</v>
      </c>
      <c r="CM228" s="504"/>
      <c r="CN228" s="504"/>
    </row>
    <row r="229" spans="1:92" ht="14.25" hidden="1" customHeight="1" x14ac:dyDescent="0.25">
      <c r="A229" s="389" t="str">
        <f>IF(D229="",CONCATENATE("Кабель ",IF(C229="а","А",""),$A$9),CONCATENATE("Кабель ",IF(C229="а","А",""),$A$9," ",D229,"*",F229,IF(G229="ок"," (ож)","")," - ",B229," ",IF(G229="мс"," фас. ",""),$A$2))</f>
        <v>Кабель АВВГ 2*16 (ож) - 1 ГОСТ 16442-80</v>
      </c>
      <c r="B229" s="450">
        <v>1</v>
      </c>
      <c r="C229" s="451" t="s">
        <v>164</v>
      </c>
      <c r="D229" s="412">
        <v>2</v>
      </c>
      <c r="E229" s="413" t="s">
        <v>40</v>
      </c>
      <c r="F229" s="423">
        <v>16</v>
      </c>
      <c r="G229" s="414" t="str">
        <f>IF(I229=1,"ок","мк")</f>
        <v>ок</v>
      </c>
      <c r="H229" s="461">
        <v>4.5199999999999996</v>
      </c>
      <c r="I229" s="497">
        <v>1</v>
      </c>
      <c r="J229" s="498" t="s">
        <v>40</v>
      </c>
      <c r="K229" s="496">
        <f>ROUNDUP(SQRT(F229/PI()*4),2)</f>
        <v>4.5199999999999996</v>
      </c>
      <c r="L229" s="501">
        <v>6.68</v>
      </c>
      <c r="M229" s="475"/>
      <c r="N229" s="475"/>
      <c r="O229" s="475"/>
      <c r="P229" s="475"/>
      <c r="Q229" s="483">
        <f t="shared" si="554"/>
        <v>0.8</v>
      </c>
      <c r="R229" s="484">
        <f>IF(B229=0.66,VLOOKUP(F229,'Данные ТНПА'!$B$8:$C$16,2,0),
IF(B229=1,VLOOKUP(F229,'Данные ТНПА'!$B$17:$C$37,2,0),"ошибка"))</f>
        <v>1</v>
      </c>
      <c r="S229" s="485">
        <f t="shared" si="488"/>
        <v>6.1199999999999992</v>
      </c>
      <c r="T229" s="486"/>
      <c r="U229" s="487"/>
      <c r="V229" s="485">
        <f t="shared" si="489"/>
        <v>6.52</v>
      </c>
      <c r="W229" s="486"/>
      <c r="X229" s="487"/>
      <c r="Y229" s="489">
        <f t="shared" si="490"/>
        <v>0</v>
      </c>
      <c r="Z229" s="491">
        <f t="shared" si="491"/>
        <v>13.04</v>
      </c>
      <c r="AA229" s="237">
        <f t="shared" si="492"/>
        <v>0</v>
      </c>
      <c r="AB229" s="452">
        <f t="shared" si="412"/>
        <v>13.04</v>
      </c>
      <c r="AC229" s="201">
        <f t="shared" si="493"/>
        <v>0</v>
      </c>
      <c r="AD229" s="203">
        <f t="shared" si="413"/>
        <v>0</v>
      </c>
      <c r="AE229" s="37" t="str">
        <f t="shared" si="494"/>
        <v/>
      </c>
      <c r="AF229" s="202">
        <f t="shared" si="414"/>
        <v>0</v>
      </c>
      <c r="AG229" s="201">
        <f t="shared" si="415"/>
        <v>0</v>
      </c>
      <c r="AH229" s="61">
        <f t="shared" si="495"/>
        <v>13.04</v>
      </c>
      <c r="AI229" s="443">
        <f t="shared" si="504"/>
        <v>0</v>
      </c>
      <c r="AJ229" s="444">
        <f t="shared" si="555"/>
        <v>0</v>
      </c>
      <c r="AK229" s="445">
        <f t="shared" si="556"/>
        <v>0</v>
      </c>
      <c r="AL229" s="446">
        <f t="shared" si="557"/>
        <v>0</v>
      </c>
      <c r="AM229" s="447">
        <f t="shared" si="558"/>
        <v>0</v>
      </c>
      <c r="AN229" s="24">
        <f t="shared" si="559"/>
        <v>13.04</v>
      </c>
      <c r="AO229" s="443">
        <f t="shared" si="496"/>
        <v>0</v>
      </c>
      <c r="AP229" s="444">
        <f t="shared" si="560"/>
        <v>0</v>
      </c>
      <c r="AQ229" s="445">
        <f t="shared" si="561"/>
        <v>0</v>
      </c>
      <c r="AR229" s="446">
        <f t="shared" si="562"/>
        <v>0</v>
      </c>
      <c r="AS229" s="447">
        <f t="shared" si="563"/>
        <v>0</v>
      </c>
      <c r="AT229" s="24">
        <f t="shared" si="564"/>
        <v>13.04</v>
      </c>
      <c r="AU229" s="443">
        <f t="shared" si="497"/>
        <v>0</v>
      </c>
      <c r="AV229" s="444">
        <f t="shared" si="565"/>
        <v>0</v>
      </c>
      <c r="AW229" s="445">
        <f t="shared" si="566"/>
        <v>0</v>
      </c>
      <c r="AX229" s="446">
        <f t="shared" si="567"/>
        <v>0</v>
      </c>
      <c r="AY229" s="447">
        <f t="shared" si="568"/>
        <v>0</v>
      </c>
      <c r="AZ229" s="24">
        <f t="shared" si="569"/>
        <v>13.04</v>
      </c>
      <c r="BA229" s="43">
        <f>IF(BB229=0,0,
IF(D229=1,
(IF(AND(AH229&gt;'Данные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"ошибка_1"))))))),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"ошибка_2"))))))))</f>
        <v>0</v>
      </c>
      <c r="BB229" s="43">
        <f>IF(OR($AI$9=0,AND(D229&gt;1,F229&gt;10)),0,
IF(D229=1,
(IF(AND(AH229&gt;'Данные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"ошибка_1"))))))),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IF(AND(AH229&gt;'Данные ТНПА'!#REF!,AH229&lt;='Данные ТНПА'!#REF!),'Данные ТНПА'!#REF!,
"ошибка_2"))))))))</f>
        <v>0</v>
      </c>
      <c r="BC229" s="43">
        <f t="shared" si="570"/>
        <v>13.04</v>
      </c>
      <c r="BD229" s="237">
        <f t="shared" si="571"/>
        <v>0</v>
      </c>
      <c r="BE229" s="43">
        <f t="shared" si="572"/>
        <v>0</v>
      </c>
      <c r="BF229" s="201">
        <f t="shared" si="573"/>
        <v>0</v>
      </c>
      <c r="BG229" s="201">
        <f t="shared" si="574"/>
        <v>0</v>
      </c>
      <c r="BH229" s="61">
        <f t="shared" si="403"/>
        <v>13.04</v>
      </c>
      <c r="BI229" s="237">
        <f t="shared" si="575"/>
        <v>0</v>
      </c>
      <c r="BJ229" s="247">
        <f t="shared" si="576"/>
        <v>0</v>
      </c>
      <c r="BK229" s="431">
        <f t="shared" si="416"/>
        <v>0</v>
      </c>
      <c r="BL229" s="250">
        <f t="shared" si="421"/>
        <v>0</v>
      </c>
      <c r="BM229" s="237">
        <f t="shared" si="577"/>
        <v>0</v>
      </c>
      <c r="BN229" s="452">
        <f t="shared" si="406"/>
        <v>13.04</v>
      </c>
      <c r="BO229" s="237">
        <f t="shared" si="578"/>
        <v>0</v>
      </c>
      <c r="BP229" s="432">
        <f t="shared" si="579"/>
        <v>0</v>
      </c>
      <c r="BQ229" s="22" t="str">
        <f t="shared" si="417"/>
        <v/>
      </c>
      <c r="BR229" s="250">
        <f t="shared" si="418"/>
        <v>0</v>
      </c>
      <c r="BS229" s="237">
        <f t="shared" si="580"/>
        <v>0</v>
      </c>
      <c r="BT229" s="452">
        <f t="shared" si="419"/>
        <v>13.04</v>
      </c>
      <c r="BU229" s="492">
        <f t="shared" si="581"/>
        <v>1.1749999999999998</v>
      </c>
      <c r="BV229" s="493">
        <f>IF(BT229="","",
IF(AND(BT229&gt;'Данные ТНПА'!$K$8,BT229&lt;='Данные ТНПА'!$L$8),'Данные ТНПА'!$N$8,
IF(AND(BT229&gt;'Данные ТНПА'!$K$9,BT229&lt;='Данные ТНПА'!$L$9),'Данные ТНПА'!$N$9,
IF(AND(BT229&gt;'Данные ТНПА'!$K$10,BT229&lt;='Данные ТНПА'!$L$10),'Данные ТНПА'!$N$10,
IF(AND(BT229&gt;'Данные ТНПА'!$K$11,BT229&lt;='Данные ТНПА'!$L$11),'Данные ТНПА'!$N$11,
IF(AND(BT229&gt;'Данные ТНПА'!$K$12,BT229&lt;='Данные ТНПА'!$L$12),'Данные ТНПА'!$N$12,
IF(AND(BT229&gt;'Данные ТНПА'!$K$13,BT229&lt;='Данные ТНПА'!$L$13),'Данные ТНПА'!$N$13,
IF(AND(BT229&gt;'Данные ТНПА'!$K$14,BT229&lt;='Данные ТНПА'!$L$14),'Данные ТНПА'!$N$14))))))))</f>
        <v>1.5</v>
      </c>
      <c r="BW229" s="493">
        <f t="shared" si="582"/>
        <v>16.04</v>
      </c>
      <c r="BX229" s="457">
        <f t="shared" si="498"/>
        <v>87.004800000000003</v>
      </c>
      <c r="BY229" s="457">
        <f t="shared" si="499"/>
        <v>0</v>
      </c>
      <c r="BZ229" s="457">
        <f t="shared" si="500"/>
        <v>46.800793335706977</v>
      </c>
      <c r="CA229" s="457" t="e">
        <f t="shared" si="583"/>
        <v>#REF!</v>
      </c>
      <c r="CB229" s="458">
        <f t="shared" si="584"/>
        <v>0</v>
      </c>
      <c r="CC229" s="457">
        <f t="shared" si="585"/>
        <v>0</v>
      </c>
      <c r="CD229" s="457">
        <f t="shared" si="586"/>
        <v>0</v>
      </c>
      <c r="CE229" s="457">
        <f t="shared" si="587"/>
        <v>0</v>
      </c>
      <c r="CF229" s="457">
        <f t="shared" si="588"/>
        <v>0</v>
      </c>
      <c r="CG229" s="458">
        <f t="shared" si="501"/>
        <v>0</v>
      </c>
      <c r="CH229" s="457">
        <f t="shared" si="589"/>
        <v>0</v>
      </c>
      <c r="CI229" s="457">
        <f t="shared" si="590"/>
        <v>0</v>
      </c>
      <c r="CJ229" s="458">
        <f t="shared" si="591"/>
        <v>0</v>
      </c>
      <c r="CK229" s="458">
        <f t="shared" si="502"/>
        <v>99.76240568809915</v>
      </c>
      <c r="CL229" s="457">
        <f t="shared" si="503"/>
        <v>233.56799902380612</v>
      </c>
      <c r="CM229" s="504"/>
      <c r="CN229" s="504"/>
    </row>
    <row r="230" spans="1:92" ht="14.25" hidden="1" customHeight="1" x14ac:dyDescent="0.25">
      <c r="A230" s="389" t="str">
        <f>IF(D230="",CONCATENATE("Кабель ",IF(C230="а","А",""),$A$9),CONCATENATE("Кабель ",IF(C230="а","А",""),$A$9," ",D230,"*",F230,IF(G230="ок"," (ож)","")," - ",B230," ",IF(G230="мс"," фас. ",""),$A$2))</f>
        <v>Кабель АВВГ 2*25 (ож) - 1 ГОСТ 16442-80</v>
      </c>
      <c r="B230" s="450">
        <v>1</v>
      </c>
      <c r="C230" s="451" t="s">
        <v>164</v>
      </c>
      <c r="D230" s="412">
        <v>2</v>
      </c>
      <c r="E230" s="413" t="s">
        <v>40</v>
      </c>
      <c r="F230" s="423">
        <v>25</v>
      </c>
      <c r="G230" s="414" t="str">
        <f>IF(I230=1,"ок","мк")</f>
        <v>ок</v>
      </c>
      <c r="H230" s="461">
        <v>5.6499999999999995</v>
      </c>
      <c r="I230" s="497">
        <v>1</v>
      </c>
      <c r="J230" s="498" t="s">
        <v>40</v>
      </c>
      <c r="K230" s="496">
        <f>ROUNDUP(SQRT(F230/PI()*4),2)</f>
        <v>5.6499999999999995</v>
      </c>
      <c r="L230" s="501">
        <v>7.1000000000000005</v>
      </c>
      <c r="M230" s="475"/>
      <c r="N230" s="475"/>
      <c r="O230" s="475"/>
      <c r="P230" s="475"/>
      <c r="Q230" s="483">
        <f t="shared" si="554"/>
        <v>0.98000000000000009</v>
      </c>
      <c r="R230" s="484">
        <f>IF(B230=0.66,VLOOKUP(F230,'Данные ТНПА'!$B$8:$C$16,2,0),
IF(B230=1,VLOOKUP(F230,'Данные ТНПА'!$B$17:$C$37,2,0),"ошибка"))</f>
        <v>1.2</v>
      </c>
      <c r="S230" s="485">
        <f t="shared" si="488"/>
        <v>7.6099999999999994</v>
      </c>
      <c r="T230" s="486"/>
      <c r="U230" s="487"/>
      <c r="V230" s="485">
        <f t="shared" si="489"/>
        <v>8.0499999999999989</v>
      </c>
      <c r="W230" s="486"/>
      <c r="X230" s="487"/>
      <c r="Y230" s="489">
        <f t="shared" si="490"/>
        <v>0</v>
      </c>
      <c r="Z230" s="491">
        <f t="shared" si="491"/>
        <v>16.099999999999998</v>
      </c>
      <c r="AA230" s="237">
        <f t="shared" si="492"/>
        <v>0</v>
      </c>
      <c r="AB230" s="452">
        <f t="shared" si="412"/>
        <v>16.099999999999998</v>
      </c>
      <c r="AC230" s="201">
        <f t="shared" si="493"/>
        <v>0</v>
      </c>
      <c r="AD230" s="203">
        <f t="shared" si="413"/>
        <v>0</v>
      </c>
      <c r="AE230" s="37" t="str">
        <f t="shared" si="494"/>
        <v/>
      </c>
      <c r="AF230" s="202">
        <f t="shared" si="414"/>
        <v>0</v>
      </c>
      <c r="AG230" s="201">
        <f t="shared" si="415"/>
        <v>0</v>
      </c>
      <c r="AH230" s="61">
        <f t="shared" si="495"/>
        <v>16.099999999999998</v>
      </c>
      <c r="AI230" s="443">
        <f t="shared" si="504"/>
        <v>0</v>
      </c>
      <c r="AJ230" s="444">
        <f t="shared" si="555"/>
        <v>0</v>
      </c>
      <c r="AK230" s="445">
        <f t="shared" si="556"/>
        <v>0</v>
      </c>
      <c r="AL230" s="446">
        <f t="shared" si="557"/>
        <v>0</v>
      </c>
      <c r="AM230" s="447">
        <f t="shared" si="558"/>
        <v>0</v>
      </c>
      <c r="AN230" s="24">
        <f t="shared" si="559"/>
        <v>16.099999999999998</v>
      </c>
      <c r="AO230" s="443">
        <f t="shared" si="496"/>
        <v>0</v>
      </c>
      <c r="AP230" s="444">
        <f t="shared" si="560"/>
        <v>0</v>
      </c>
      <c r="AQ230" s="445">
        <f t="shared" si="561"/>
        <v>0</v>
      </c>
      <c r="AR230" s="446">
        <f t="shared" si="562"/>
        <v>0</v>
      </c>
      <c r="AS230" s="447">
        <f t="shared" si="563"/>
        <v>0</v>
      </c>
      <c r="AT230" s="24">
        <f t="shared" si="564"/>
        <v>16.099999999999998</v>
      </c>
      <c r="AU230" s="443">
        <f t="shared" si="497"/>
        <v>0</v>
      </c>
      <c r="AV230" s="444">
        <f t="shared" si="565"/>
        <v>0</v>
      </c>
      <c r="AW230" s="445">
        <f t="shared" si="566"/>
        <v>0</v>
      </c>
      <c r="AX230" s="446">
        <f t="shared" si="567"/>
        <v>0</v>
      </c>
      <c r="AY230" s="447">
        <f t="shared" si="568"/>
        <v>0</v>
      </c>
      <c r="AZ230" s="24">
        <f t="shared" si="569"/>
        <v>16.099999999999998</v>
      </c>
      <c r="BA230" s="43">
        <f>IF(BB230=0,0,
IF(D230=1,
(IF(AND(AH230&gt;'Данные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"ошибка_1"))))))),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"ошибка_2"))))))))</f>
        <v>0</v>
      </c>
      <c r="BB230" s="43">
        <f>IF(OR($AI$9=0,AND(D230&gt;1,F230&gt;10)),0,
IF(D230=1,
(IF(AND(AH230&gt;'Данные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"ошибка_1"))))))),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IF(AND(AH230&gt;'Данные ТНПА'!#REF!,AH230&lt;='Данные ТНПА'!#REF!),'Данные ТНПА'!#REF!,
"ошибка_2"))))))))</f>
        <v>0</v>
      </c>
      <c r="BC230" s="43">
        <f t="shared" si="570"/>
        <v>16.099999999999998</v>
      </c>
      <c r="BD230" s="237">
        <f t="shared" si="571"/>
        <v>0</v>
      </c>
      <c r="BE230" s="43">
        <f t="shared" si="572"/>
        <v>0</v>
      </c>
      <c r="BF230" s="201">
        <f t="shared" si="573"/>
        <v>0</v>
      </c>
      <c r="BG230" s="201">
        <f t="shared" si="574"/>
        <v>0</v>
      </c>
      <c r="BH230" s="61">
        <f t="shared" si="403"/>
        <v>16.099999999999998</v>
      </c>
      <c r="BI230" s="237">
        <f t="shared" si="575"/>
        <v>0</v>
      </c>
      <c r="BJ230" s="247">
        <f t="shared" si="576"/>
        <v>0</v>
      </c>
      <c r="BK230" s="431">
        <f t="shared" si="416"/>
        <v>0</v>
      </c>
      <c r="BL230" s="250">
        <f t="shared" si="421"/>
        <v>0</v>
      </c>
      <c r="BM230" s="237">
        <f t="shared" si="577"/>
        <v>0</v>
      </c>
      <c r="BN230" s="452">
        <f t="shared" si="406"/>
        <v>16.099999999999998</v>
      </c>
      <c r="BO230" s="237">
        <f t="shared" si="578"/>
        <v>0</v>
      </c>
      <c r="BP230" s="432">
        <f t="shared" si="579"/>
        <v>0</v>
      </c>
      <c r="BQ230" s="22" t="str">
        <f t="shared" si="417"/>
        <v/>
      </c>
      <c r="BR230" s="250">
        <f t="shared" si="418"/>
        <v>0</v>
      </c>
      <c r="BS230" s="237">
        <f t="shared" si="580"/>
        <v>0</v>
      </c>
      <c r="BT230" s="452">
        <f t="shared" si="419"/>
        <v>16.099999999999998</v>
      </c>
      <c r="BU230" s="492">
        <f t="shared" si="581"/>
        <v>1.3449999999999998</v>
      </c>
      <c r="BV230" s="493">
        <f>IF(BT230="","",
IF(AND(BT230&gt;'Данные ТНПА'!$K$8,BT230&lt;='Данные ТНПА'!$L$8),'Данные ТНПА'!$N$8,
IF(AND(BT230&gt;'Данные ТНПА'!$K$9,BT230&lt;='Данные ТНПА'!$L$9),'Данные ТНПА'!$N$9,
IF(AND(BT230&gt;'Данные ТНПА'!$K$10,BT230&lt;='Данные ТНПА'!$L$10),'Данные ТНПА'!$N$10,
IF(AND(BT230&gt;'Данные ТНПА'!$K$11,BT230&lt;='Данные ТНПА'!$L$11),'Данные ТНПА'!$N$11,
IF(AND(BT230&gt;'Данные ТНПА'!$K$12,BT230&lt;='Данные ТНПА'!$L$12),'Данные ТНПА'!$N$12,
IF(AND(BT230&gt;'Данные ТНПА'!$K$13,BT230&lt;='Данные ТНПА'!$L$13),'Данные ТНПА'!$N$13,
IF(AND(BT230&gt;'Данные ТНПА'!$K$14,BT230&lt;='Данные ТНПА'!$L$14),'Данные ТНПА'!$N$14))))))))</f>
        <v>1.7</v>
      </c>
      <c r="BW230" s="493">
        <f t="shared" si="582"/>
        <v>19.499999999999996</v>
      </c>
      <c r="BX230" s="457">
        <f t="shared" si="498"/>
        <v>135.94499999999999</v>
      </c>
      <c r="BY230" s="457">
        <f t="shared" si="499"/>
        <v>0</v>
      </c>
      <c r="BZ230" s="457">
        <f t="shared" si="500"/>
        <v>69.692485728172343</v>
      </c>
      <c r="CA230" s="457" t="e">
        <f t="shared" si="583"/>
        <v>#REF!</v>
      </c>
      <c r="CB230" s="458">
        <f t="shared" si="584"/>
        <v>0</v>
      </c>
      <c r="CC230" s="457">
        <f t="shared" si="585"/>
        <v>0</v>
      </c>
      <c r="CD230" s="457">
        <f t="shared" si="586"/>
        <v>0</v>
      </c>
      <c r="CE230" s="457">
        <f t="shared" si="587"/>
        <v>0</v>
      </c>
      <c r="CF230" s="457">
        <f t="shared" si="588"/>
        <v>0</v>
      </c>
      <c r="CG230" s="458">
        <f t="shared" si="501"/>
        <v>0</v>
      </c>
      <c r="CH230" s="457">
        <f t="shared" si="589"/>
        <v>0</v>
      </c>
      <c r="CI230" s="457">
        <f t="shared" si="590"/>
        <v>0</v>
      </c>
      <c r="CJ230" s="458">
        <f t="shared" si="591"/>
        <v>0</v>
      </c>
      <c r="CK230" s="458">
        <f t="shared" si="502"/>
        <v>138.41404842374507</v>
      </c>
      <c r="CL230" s="457">
        <f t="shared" si="503"/>
        <v>344.05153415191739</v>
      </c>
      <c r="CM230" s="504"/>
      <c r="CN230" s="504"/>
    </row>
    <row r="231" spans="1:92" ht="14.25" hidden="1" customHeight="1" x14ac:dyDescent="0.25">
      <c r="A231" s="389" t="str">
        <f>IF(D231="",CONCATENATE("Кабель ",IF(C231="а","А",""),$A$9),CONCATENATE("Кабель ",IF(C231="а","А",""),$A$9," ",D231,"*",F231,IF(G231="ок"," (ож)","")," - ",B231," ",IF(G231="мс"," фас. ",""),$A$2))</f>
        <v>Кабель АВВГ 2*35 (ож) - 1 ГОСТ 16442-80</v>
      </c>
      <c r="B231" s="450">
        <v>1</v>
      </c>
      <c r="C231" s="451" t="s">
        <v>164</v>
      </c>
      <c r="D231" s="412">
        <v>2</v>
      </c>
      <c r="E231" s="413" t="s">
        <v>40</v>
      </c>
      <c r="F231" s="423">
        <v>35</v>
      </c>
      <c r="G231" s="414" t="str">
        <f>IF(I231=1,"ок","мк")</f>
        <v>ок</v>
      </c>
      <c r="H231" s="461">
        <v>6.68</v>
      </c>
      <c r="I231" s="497">
        <v>1</v>
      </c>
      <c r="J231" s="498" t="s">
        <v>40</v>
      </c>
      <c r="K231" s="496">
        <f>ROUNDUP(SQRT(F231/PI()*4),2)</f>
        <v>6.68</v>
      </c>
      <c r="L231" s="501">
        <v>8.15</v>
      </c>
      <c r="M231" s="475"/>
      <c r="N231" s="475"/>
      <c r="O231" s="475"/>
      <c r="P231" s="475"/>
      <c r="Q231" s="483">
        <f t="shared" si="554"/>
        <v>0.98000000000000009</v>
      </c>
      <c r="R231" s="484">
        <f>IF(B231=0.66,VLOOKUP(F231,'Данные ТНПА'!$B$8:$C$16,2,0),
IF(B231=1,VLOOKUP(F231,'Данные ТНПА'!$B$17:$C$37,2,0),"ошибка"))</f>
        <v>1.2</v>
      </c>
      <c r="S231" s="485">
        <f t="shared" si="488"/>
        <v>8.64</v>
      </c>
      <c r="T231" s="486"/>
      <c r="U231" s="487"/>
      <c r="V231" s="485">
        <f t="shared" si="489"/>
        <v>9.08</v>
      </c>
      <c r="W231" s="486"/>
      <c r="X231" s="487"/>
      <c r="Y231" s="489">
        <f t="shared" si="490"/>
        <v>0</v>
      </c>
      <c r="Z231" s="491">
        <f t="shared" si="491"/>
        <v>18.16</v>
      </c>
      <c r="AA231" s="237">
        <f t="shared" si="492"/>
        <v>0</v>
      </c>
      <c r="AB231" s="452">
        <f t="shared" si="412"/>
        <v>18.16</v>
      </c>
      <c r="AC231" s="201">
        <f t="shared" si="493"/>
        <v>0</v>
      </c>
      <c r="AD231" s="203">
        <f t="shared" si="413"/>
        <v>0</v>
      </c>
      <c r="AE231" s="37" t="str">
        <f t="shared" si="494"/>
        <v/>
      </c>
      <c r="AF231" s="202">
        <f t="shared" si="414"/>
        <v>0</v>
      </c>
      <c r="AG231" s="201">
        <f t="shared" si="415"/>
        <v>0</v>
      </c>
      <c r="AH231" s="61">
        <f t="shared" si="495"/>
        <v>18.16</v>
      </c>
      <c r="AI231" s="443">
        <f t="shared" si="504"/>
        <v>0</v>
      </c>
      <c r="AJ231" s="444">
        <f t="shared" si="555"/>
        <v>0</v>
      </c>
      <c r="AK231" s="445">
        <f t="shared" si="556"/>
        <v>0</v>
      </c>
      <c r="AL231" s="446">
        <f t="shared" si="557"/>
        <v>0</v>
      </c>
      <c r="AM231" s="447">
        <f t="shared" si="558"/>
        <v>0</v>
      </c>
      <c r="AN231" s="24">
        <f t="shared" si="559"/>
        <v>18.16</v>
      </c>
      <c r="AO231" s="443">
        <f t="shared" si="496"/>
        <v>0</v>
      </c>
      <c r="AP231" s="444">
        <f t="shared" si="560"/>
        <v>0</v>
      </c>
      <c r="AQ231" s="445">
        <f t="shared" si="561"/>
        <v>0</v>
      </c>
      <c r="AR231" s="446">
        <f t="shared" si="562"/>
        <v>0</v>
      </c>
      <c r="AS231" s="447">
        <f t="shared" si="563"/>
        <v>0</v>
      </c>
      <c r="AT231" s="24">
        <f t="shared" si="564"/>
        <v>18.16</v>
      </c>
      <c r="AU231" s="443">
        <f t="shared" si="497"/>
        <v>0</v>
      </c>
      <c r="AV231" s="444">
        <f t="shared" si="565"/>
        <v>0</v>
      </c>
      <c r="AW231" s="445">
        <f t="shared" si="566"/>
        <v>0</v>
      </c>
      <c r="AX231" s="446">
        <f t="shared" si="567"/>
        <v>0</v>
      </c>
      <c r="AY231" s="447">
        <f t="shared" si="568"/>
        <v>0</v>
      </c>
      <c r="AZ231" s="24">
        <f t="shared" si="569"/>
        <v>18.16</v>
      </c>
      <c r="BA231" s="43">
        <f>IF(BB231=0,0,
IF(D231=1,
(IF(AND(AH231&gt;'Данные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"ошибка_1"))))))),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"ошибка_2"))))))))</f>
        <v>0</v>
      </c>
      <c r="BB231" s="43">
        <f>IF(OR($AI$9=0,AND(D231&gt;1,F231&gt;10)),0,
IF(D231=1,
(IF(AND(AH231&gt;'Данные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"ошибка_1"))))))),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IF(AND(AH231&gt;'Данные ТНПА'!#REF!,AH231&lt;='Данные ТНПА'!#REF!),'Данные ТНПА'!#REF!,
"ошибка_2"))))))))</f>
        <v>0</v>
      </c>
      <c r="BC231" s="43">
        <f t="shared" si="570"/>
        <v>18.16</v>
      </c>
      <c r="BD231" s="237">
        <f t="shared" si="571"/>
        <v>0</v>
      </c>
      <c r="BE231" s="43">
        <f t="shared" si="572"/>
        <v>0</v>
      </c>
      <c r="BF231" s="201">
        <f t="shared" si="573"/>
        <v>0</v>
      </c>
      <c r="BG231" s="201">
        <f t="shared" si="574"/>
        <v>0</v>
      </c>
      <c r="BH231" s="61">
        <f t="shared" si="403"/>
        <v>18.16</v>
      </c>
      <c r="BI231" s="237">
        <f t="shared" si="575"/>
        <v>0</v>
      </c>
      <c r="BJ231" s="247">
        <f t="shared" si="576"/>
        <v>0</v>
      </c>
      <c r="BK231" s="431">
        <f t="shared" si="416"/>
        <v>0</v>
      </c>
      <c r="BL231" s="250">
        <f t="shared" si="421"/>
        <v>0</v>
      </c>
      <c r="BM231" s="237">
        <f t="shared" si="577"/>
        <v>0</v>
      </c>
      <c r="BN231" s="452">
        <f t="shared" si="406"/>
        <v>18.16</v>
      </c>
      <c r="BO231" s="237">
        <f t="shared" si="578"/>
        <v>0</v>
      </c>
      <c r="BP231" s="432">
        <f t="shared" si="579"/>
        <v>0</v>
      </c>
      <c r="BQ231" s="22" t="str">
        <f t="shared" si="417"/>
        <v/>
      </c>
      <c r="BR231" s="250">
        <f t="shared" si="418"/>
        <v>0</v>
      </c>
      <c r="BS231" s="237">
        <f t="shared" si="580"/>
        <v>0</v>
      </c>
      <c r="BT231" s="452">
        <f t="shared" si="419"/>
        <v>18.16</v>
      </c>
      <c r="BU231" s="492">
        <f t="shared" si="581"/>
        <v>1.3449999999999998</v>
      </c>
      <c r="BV231" s="493">
        <f>IF(BT231="","",
IF(AND(BT231&gt;'Данные ТНПА'!$K$8,BT231&lt;='Данные ТНПА'!$L$8),'Данные ТНПА'!$N$8,
IF(AND(BT231&gt;'Данные ТНПА'!$K$9,BT231&lt;='Данные ТНПА'!$L$9),'Данные ТНПА'!$N$9,
IF(AND(BT231&gt;'Данные ТНПА'!$K$10,BT231&lt;='Данные ТНПА'!$L$10),'Данные ТНПА'!$N$10,
IF(AND(BT231&gt;'Данные ТНПА'!$K$11,BT231&lt;='Данные ТНПА'!$L$11),'Данные ТНПА'!$N$11,
IF(AND(BT231&gt;'Данные ТНПА'!$K$12,BT231&lt;='Данные ТНПА'!$L$12),'Данные ТНПА'!$N$12,
IF(AND(BT231&gt;'Данные ТНПА'!$K$13,BT231&lt;='Данные ТНПА'!$L$13),'Данные ТНПА'!$N$13,
IF(AND(BT231&gt;'Данные ТНПА'!$K$14,BT231&lt;='Данные ТНПА'!$L$14),'Данные ТНПА'!$N$14))))))))</f>
        <v>1.7</v>
      </c>
      <c r="BW231" s="493">
        <f t="shared" si="582"/>
        <v>21.56</v>
      </c>
      <c r="BX231" s="457">
        <f t="shared" si="498"/>
        <v>190.32299999999998</v>
      </c>
      <c r="BY231" s="457">
        <f t="shared" si="499"/>
        <v>0</v>
      </c>
      <c r="BZ231" s="457">
        <f t="shared" si="500"/>
        <v>80.171793801167595</v>
      </c>
      <c r="CA231" s="457" t="e">
        <f t="shared" si="583"/>
        <v>#REF!</v>
      </c>
      <c r="CB231" s="458">
        <f t="shared" si="584"/>
        <v>0</v>
      </c>
      <c r="CC231" s="457">
        <f t="shared" si="585"/>
        <v>0</v>
      </c>
      <c r="CD231" s="457">
        <f t="shared" si="586"/>
        <v>0</v>
      </c>
      <c r="CE231" s="457">
        <f t="shared" si="587"/>
        <v>0</v>
      </c>
      <c r="CF231" s="457">
        <f t="shared" si="588"/>
        <v>0</v>
      </c>
      <c r="CG231" s="458">
        <f t="shared" si="501"/>
        <v>0</v>
      </c>
      <c r="CH231" s="457">
        <f t="shared" si="589"/>
        <v>0</v>
      </c>
      <c r="CI231" s="457">
        <f t="shared" si="590"/>
        <v>0</v>
      </c>
      <c r="CJ231" s="458">
        <f t="shared" si="591"/>
        <v>0</v>
      </c>
      <c r="CK231" s="458">
        <f t="shared" si="502"/>
        <v>154.43275290424597</v>
      </c>
      <c r="CL231" s="457">
        <f t="shared" si="503"/>
        <v>424.92754670541353</v>
      </c>
      <c r="CM231" s="504"/>
      <c r="CN231" s="504"/>
    </row>
    <row r="232" spans="1:92" ht="14.25" hidden="1" customHeight="1" x14ac:dyDescent="0.25">
      <c r="A232" s="389" t="str">
        <f>IF(D232="",CONCATENATE("Кабель ",IF(C232="а","А",""),$A$9),CONCATENATE("Кабель ",IF(C232="а","А",""),$A$9," ",D232,"*",F232,IF(G232="ок"," (ож)","")," - ",B232," ",IF(G232="мс"," фас. ",""),$A$2))</f>
        <v>Кабель АВВГ 3*25 - 1 ГОСТ 16442-80</v>
      </c>
      <c r="B232" s="450">
        <v>1</v>
      </c>
      <c r="C232" s="451" t="s">
        <v>164</v>
      </c>
      <c r="D232" s="412">
        <v>3</v>
      </c>
      <c r="E232" s="413" t="s">
        <v>40</v>
      </c>
      <c r="F232" s="423">
        <v>25</v>
      </c>
      <c r="G232" s="414" t="str">
        <f>IF(I232=1,"ок","мк")</f>
        <v>мк</v>
      </c>
      <c r="H232" s="461">
        <v>2.21</v>
      </c>
      <c r="I232" s="476">
        <v>7</v>
      </c>
      <c r="J232" s="477" t="s">
        <v>40</v>
      </c>
      <c r="K232" s="470">
        <f>ROUNDUP(SQRT(F232/I232/PI()*4*1.07),2)</f>
        <v>2.21</v>
      </c>
      <c r="L232" s="501">
        <v>1.79</v>
      </c>
      <c r="M232" s="475"/>
      <c r="N232" s="475"/>
      <c r="O232" s="475"/>
      <c r="P232" s="475"/>
      <c r="Q232" s="483">
        <f t="shared" ref="Q232:Q249" si="592">0.9*R232-0.1</f>
        <v>0.98000000000000009</v>
      </c>
      <c r="R232" s="484">
        <f>IF(B232=0.66,VLOOKUP(F232,'Данные ТНПА'!$B$8:$C$16,2,0),
IF(B232=1,VLOOKUP(F232,'Данные ТНПА'!$B$17:$C$37,2,0),"ошибка"))</f>
        <v>1.2</v>
      </c>
      <c r="S232" s="485">
        <f t="shared" si="488"/>
        <v>3.75</v>
      </c>
      <c r="T232" s="486"/>
      <c r="U232" s="487"/>
      <c r="V232" s="485">
        <f t="shared" si="489"/>
        <v>4.1899999999999995</v>
      </c>
      <c r="W232" s="486"/>
      <c r="X232" s="487"/>
      <c r="Y232" s="489">
        <f t="shared" si="490"/>
        <v>0</v>
      </c>
      <c r="Z232" s="491">
        <f t="shared" si="491"/>
        <v>9.008499999999998</v>
      </c>
      <c r="AA232" s="237">
        <f t="shared" si="492"/>
        <v>0</v>
      </c>
      <c r="AB232" s="452">
        <f t="shared" ref="AB232:AB261" si="593">IF(Z232="","",Z232)</f>
        <v>9.008499999999998</v>
      </c>
      <c r="AC232" s="201">
        <f t="shared" si="493"/>
        <v>0</v>
      </c>
      <c r="AD232" s="203">
        <f t="shared" ref="AD232:AD261" si="594">IF(AC232="","",IF(AC232&gt;0,IF(AND(Z232&gt;=10,Z232&lt;=20),0.035,IF(Z232&gt;20,0.05,"ошибка")),0))</f>
        <v>0</v>
      </c>
      <c r="AE232" s="37" t="str">
        <f t="shared" si="494"/>
        <v/>
      </c>
      <c r="AF232" s="202">
        <f t="shared" ref="AF232:AF261" si="595">IF(AC232="","",IF(AC232&gt;0,IF(AND(Z232&gt;=10,Z232&lt;=20),50,IF(Z232&gt;20,60,"ошибка")),0))</f>
        <v>0</v>
      </c>
      <c r="AG232" s="201">
        <f t="shared" ref="AG232:AG261" si="596">IF(AC232="","",IF(AC232&gt;0,IF(AND(Z232&gt;=10,Z232&lt;=13),40,IF(AND(Z232&gt;=13,Z232&lt;=16),30,IF(Z232&gt;16,25,"ошибка"))),0))</f>
        <v>0</v>
      </c>
      <c r="AH232" s="61">
        <f t="shared" si="495"/>
        <v>9.008499999999998</v>
      </c>
      <c r="AI232" s="443">
        <f t="shared" si="504"/>
        <v>0</v>
      </c>
      <c r="AJ232" s="444">
        <f t="shared" si="555"/>
        <v>0</v>
      </c>
      <c r="AK232" s="445">
        <f t="shared" si="556"/>
        <v>0</v>
      </c>
      <c r="AL232" s="446">
        <f t="shared" si="557"/>
        <v>0</v>
      </c>
      <c r="AM232" s="447">
        <f t="shared" si="558"/>
        <v>0</v>
      </c>
      <c r="AN232" s="24">
        <f t="shared" si="559"/>
        <v>9.008499999999998</v>
      </c>
      <c r="AO232" s="443">
        <f t="shared" si="496"/>
        <v>0</v>
      </c>
      <c r="AP232" s="444">
        <f t="shared" si="560"/>
        <v>0</v>
      </c>
      <c r="AQ232" s="445">
        <f t="shared" si="561"/>
        <v>0</v>
      </c>
      <c r="AR232" s="446">
        <f t="shared" si="562"/>
        <v>0</v>
      </c>
      <c r="AS232" s="447">
        <f t="shared" si="563"/>
        <v>0</v>
      </c>
      <c r="AT232" s="24">
        <f t="shared" si="564"/>
        <v>9.008499999999998</v>
      </c>
      <c r="AU232" s="443">
        <f t="shared" si="497"/>
        <v>0</v>
      </c>
      <c r="AV232" s="444">
        <f t="shared" si="565"/>
        <v>0</v>
      </c>
      <c r="AW232" s="445">
        <f t="shared" si="566"/>
        <v>0</v>
      </c>
      <c r="AX232" s="446">
        <f t="shared" si="567"/>
        <v>0</v>
      </c>
      <c r="AY232" s="447">
        <f t="shared" si="568"/>
        <v>0</v>
      </c>
      <c r="AZ232" s="24">
        <f t="shared" si="569"/>
        <v>9.008499999999998</v>
      </c>
      <c r="BA232" s="43">
        <f>IF(BB232=0,0,
IF(D232=1,
(IF(AND(AH232&gt;'Данные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"ошибка_1"))))))),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"ошибка_2"))))))))</f>
        <v>0</v>
      </c>
      <c r="BB232" s="43">
        <f>IF(OR($AI$9=0,AND(D232&gt;1,F232&gt;10)),0,
IF(D232=1,
(IF(AND(AH232&gt;'Данные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"ошибка_1"))))))),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IF(AND(AH232&gt;'Данные ТНПА'!#REF!,AH232&lt;='Данные ТНПА'!#REF!),'Данные ТНПА'!#REF!,
"ошибка_2"))))))))</f>
        <v>0</v>
      </c>
      <c r="BC232" s="43">
        <f t="shared" si="570"/>
        <v>9.008499999999998</v>
      </c>
      <c r="BD232" s="237">
        <f t="shared" si="571"/>
        <v>0</v>
      </c>
      <c r="BE232" s="43">
        <f t="shared" si="572"/>
        <v>0</v>
      </c>
      <c r="BF232" s="201">
        <f t="shared" si="573"/>
        <v>0</v>
      </c>
      <c r="BG232" s="201">
        <f t="shared" si="574"/>
        <v>0</v>
      </c>
      <c r="BH232" s="61">
        <f t="shared" ref="BH232:BH261" si="597">IF(BC232="","",BC232+2*BD232*BE232*IF(BG232&lt;=25,1,IF(BG232&gt;33,2,1.5)))</f>
        <v>9.008499999999998</v>
      </c>
      <c r="BI232" s="237">
        <f t="shared" si="575"/>
        <v>0</v>
      </c>
      <c r="BJ232" s="247">
        <f t="shared" si="576"/>
        <v>0</v>
      </c>
      <c r="BK232" s="431">
        <f t="shared" ref="BK232:BK261" si="598">IF(BJ232="","",IF(BJ232&lt;&gt;0,"×",0))</f>
        <v>0</v>
      </c>
      <c r="BL232" s="250">
        <f t="shared" ref="BL232:BL249" si="599">IF(BK232="","",
IF(BJ232&lt;&gt;0,
IF(AND(BC232&gt;7,BC232&lt;=10),15,
IF(AND(BC232&gt;10,BC232&lt;=13),20,
IF(AND(BC232&gt;13,BC232&lt;=21),30,
IF(AND(BC232&gt;21,BC232&lt;=31),40,
IF(AND(BC232&gt;31,BC232&lt;=70),50,
IF(AND(BC232&gt;70,BC232&lt;=80),60,
"ошибка")))))),0))</f>
        <v>0</v>
      </c>
      <c r="BM232" s="237">
        <f t="shared" si="577"/>
        <v>0</v>
      </c>
      <c r="BN232" s="452">
        <f t="shared" ref="BN232:BN261" si="600">IF(BH232="","",BH232+2*BI232*BJ232)</f>
        <v>9.008499999999998</v>
      </c>
      <c r="BO232" s="237">
        <f t="shared" si="578"/>
        <v>0</v>
      </c>
      <c r="BP232" s="432">
        <f t="shared" si="579"/>
        <v>0</v>
      </c>
      <c r="BQ232" s="22" t="str">
        <f t="shared" ref="BQ232:BQ261" si="601">IF(BP232="","",IF(BP232&gt;0,"×",""))</f>
        <v/>
      </c>
      <c r="BR232" s="250">
        <f t="shared" ref="BR232:BR261" si="602">IF(BN232="","",IF(BO232=0,0,IF(BN232&lt;=19,30,IF(AND(BN232&gt;19,BN232&lt;=23),40,50))))</f>
        <v>0</v>
      </c>
      <c r="BS232" s="237">
        <f t="shared" si="580"/>
        <v>0</v>
      </c>
      <c r="BT232" s="452">
        <f t="shared" ref="BT232:BT261" si="603">IF(BN232="","",BN232+2*BO232*BP232*IF(BS232&lt;=25,1,IF(BS232&gt;33,2,1.5)))</f>
        <v>9.008499999999998</v>
      </c>
      <c r="BU232" s="492">
        <f t="shared" ref="BU232:BU249" si="604">0.85*BV232-0.1</f>
        <v>1.1749999999999998</v>
      </c>
      <c r="BV232" s="493">
        <f>IF(BT232="","",
IF(AND(BT232&gt;'Данные ТНПА'!$K$8,BT232&lt;='Данные ТНПА'!$L$8),'Данные ТНПА'!$N$8,
IF(AND(BT232&gt;'Данные ТНПА'!$K$9,BT232&lt;='Данные ТНПА'!$L$9),'Данные ТНПА'!$N$9,
IF(AND(BT232&gt;'Данные ТНПА'!$K$10,BT232&lt;='Данные ТНПА'!$L$10),'Данные ТНПА'!$N$10,
IF(AND(BT232&gt;'Данные ТНПА'!$K$11,BT232&lt;='Данные ТНПА'!$L$11),'Данные ТНПА'!$N$11,
IF(AND(BT232&gt;'Данные ТНПА'!$K$12,BT232&lt;='Данные ТНПА'!$L$12),'Данные ТНПА'!$N$12,
IF(AND(BT232&gt;'Данные ТНПА'!$K$13,BT232&lt;='Данные ТНПА'!$L$13),'Данные ТНПА'!$N$13,
IF(AND(BT232&gt;'Данные ТНПА'!$K$14,BT232&lt;='Данные ТНПА'!$L$14),'Данные ТНПА'!$N$14))))))))</f>
        <v>1.5</v>
      </c>
      <c r="BW232" s="493">
        <f t="shared" si="582"/>
        <v>12.008499999999998</v>
      </c>
      <c r="BX232" s="457">
        <f t="shared" si="498"/>
        <v>203.91749999999999</v>
      </c>
      <c r="BY232" s="457">
        <f t="shared" si="499"/>
        <v>0</v>
      </c>
      <c r="BZ232" s="457">
        <f t="shared" si="500"/>
        <v>50.193850852545751</v>
      </c>
      <c r="CA232" s="457" t="e">
        <f t="shared" ref="CA232:CA241" si="605">PI()*POWER(Y232,2)/4*$CA$9</f>
        <v>#REF!</v>
      </c>
      <c r="CB232" s="458">
        <f t="shared" si="584"/>
        <v>0</v>
      </c>
      <c r="CC232" s="457">
        <f t="shared" si="585"/>
        <v>0</v>
      </c>
      <c r="CD232" s="457">
        <f t="shared" si="586"/>
        <v>0</v>
      </c>
      <c r="CE232" s="457">
        <f t="shared" si="587"/>
        <v>0</v>
      </c>
      <c r="CF232" s="457">
        <f t="shared" si="588"/>
        <v>0</v>
      </c>
      <c r="CG232" s="458">
        <f t="shared" si="501"/>
        <v>0</v>
      </c>
      <c r="CH232" s="457">
        <f t="shared" si="589"/>
        <v>0</v>
      </c>
      <c r="CI232" s="457">
        <f t="shared" si="590"/>
        <v>0</v>
      </c>
      <c r="CJ232" s="458">
        <f t="shared" si="591"/>
        <v>0</v>
      </c>
      <c r="CK232" s="458">
        <f t="shared" si="502"/>
        <v>72.101323258142358</v>
      </c>
      <c r="CL232" s="457">
        <f t="shared" si="503"/>
        <v>326.21267411068811</v>
      </c>
      <c r="CM232" s="504"/>
      <c r="CN232" s="504"/>
    </row>
    <row r="233" spans="1:92" ht="14.25" hidden="1" customHeight="1" x14ac:dyDescent="0.25">
      <c r="A233" s="389" t="str">
        <f>IF(D233="",CONCATENATE("Кабель ",IF(C233="а","А",""),$A$9),CONCATENATE("Кабель ",IF(C233="а","А",""),$A$9," ",D233,"*",F233,IF(G233="ок"," (ож)","")," - ",B233," ",IF(G233="мс"," фас. ",""),$A$2))</f>
        <v>Кабель АВВГ 3*35 - 1 ГОСТ 16442-80</v>
      </c>
      <c r="B233" s="450">
        <v>1</v>
      </c>
      <c r="C233" s="451" t="s">
        <v>164</v>
      </c>
      <c r="D233" s="412">
        <v>3</v>
      </c>
      <c r="E233" s="413" t="s">
        <v>40</v>
      </c>
      <c r="F233" s="423">
        <v>35</v>
      </c>
      <c r="G233" s="414" t="str">
        <f>IF(I233=1,"ок","мк")</f>
        <v>мк</v>
      </c>
      <c r="H233" s="461">
        <v>2.61</v>
      </c>
      <c r="I233" s="476">
        <v>7</v>
      </c>
      <c r="J233" s="477" t="s">
        <v>40</v>
      </c>
      <c r="K233" s="470">
        <f>ROUNDUP(SQRT(F233/I233/PI()*4*1.07),2)</f>
        <v>2.61</v>
      </c>
      <c r="L233" s="501">
        <v>2.2599999999999998</v>
      </c>
      <c r="M233" s="475"/>
      <c r="N233" s="475"/>
      <c r="O233" s="475"/>
      <c r="P233" s="475"/>
      <c r="Q233" s="483">
        <f t="shared" si="592"/>
        <v>0.98000000000000009</v>
      </c>
      <c r="R233" s="484">
        <f>IF(B233=0.66,VLOOKUP(F233,'Данные ТНПА'!$B$8:$C$16,2,0),
IF(B233=1,VLOOKUP(F233,'Данные ТНПА'!$B$17:$C$37,2,0),"ошибка"))</f>
        <v>1.2</v>
      </c>
      <c r="S233" s="485">
        <f t="shared" si="488"/>
        <v>4.22</v>
      </c>
      <c r="T233" s="486"/>
      <c r="U233" s="487"/>
      <c r="V233" s="485">
        <f t="shared" si="489"/>
        <v>4.66</v>
      </c>
      <c r="W233" s="486"/>
      <c r="X233" s="487"/>
      <c r="Y233" s="489">
        <f t="shared" si="490"/>
        <v>0</v>
      </c>
      <c r="Z233" s="491">
        <f t="shared" si="491"/>
        <v>10.019</v>
      </c>
      <c r="AA233" s="237">
        <f t="shared" si="492"/>
        <v>0</v>
      </c>
      <c r="AB233" s="452">
        <f t="shared" si="593"/>
        <v>10.019</v>
      </c>
      <c r="AC233" s="201">
        <f t="shared" si="493"/>
        <v>0</v>
      </c>
      <c r="AD233" s="203">
        <f t="shared" si="594"/>
        <v>0</v>
      </c>
      <c r="AE233" s="37" t="str">
        <f t="shared" si="494"/>
        <v/>
      </c>
      <c r="AF233" s="202">
        <f t="shared" si="595"/>
        <v>0</v>
      </c>
      <c r="AG233" s="201">
        <f t="shared" si="596"/>
        <v>0</v>
      </c>
      <c r="AH233" s="61">
        <f t="shared" si="495"/>
        <v>10.019</v>
      </c>
      <c r="AI233" s="443">
        <f t="shared" si="504"/>
        <v>0</v>
      </c>
      <c r="AJ233" s="444">
        <f t="shared" si="555"/>
        <v>0</v>
      </c>
      <c r="AK233" s="445">
        <f t="shared" si="556"/>
        <v>0</v>
      </c>
      <c r="AL233" s="446">
        <f t="shared" si="557"/>
        <v>0</v>
      </c>
      <c r="AM233" s="447">
        <f t="shared" si="558"/>
        <v>0</v>
      </c>
      <c r="AN233" s="24">
        <f t="shared" si="559"/>
        <v>10.019</v>
      </c>
      <c r="AO233" s="443">
        <f t="shared" si="496"/>
        <v>0</v>
      </c>
      <c r="AP233" s="444">
        <f t="shared" si="560"/>
        <v>0</v>
      </c>
      <c r="AQ233" s="445">
        <f t="shared" si="561"/>
        <v>0</v>
      </c>
      <c r="AR233" s="446">
        <f t="shared" si="562"/>
        <v>0</v>
      </c>
      <c r="AS233" s="447">
        <f t="shared" si="563"/>
        <v>0</v>
      </c>
      <c r="AT233" s="24">
        <f t="shared" si="564"/>
        <v>10.019</v>
      </c>
      <c r="AU233" s="443">
        <f t="shared" si="497"/>
        <v>0</v>
      </c>
      <c r="AV233" s="444">
        <f t="shared" si="565"/>
        <v>0</v>
      </c>
      <c r="AW233" s="445">
        <f t="shared" si="566"/>
        <v>0</v>
      </c>
      <c r="AX233" s="446">
        <f t="shared" si="567"/>
        <v>0</v>
      </c>
      <c r="AY233" s="447">
        <f t="shared" si="568"/>
        <v>0</v>
      </c>
      <c r="AZ233" s="24">
        <f t="shared" si="569"/>
        <v>10.019</v>
      </c>
      <c r="BA233" s="43">
        <f>IF(BB233=0,0,
IF(D233=1,
(IF(AND(AH233&gt;'Данные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"ошибка_1"))))))),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"ошибка_2"))))))))</f>
        <v>0</v>
      </c>
      <c r="BB233" s="43">
        <f>IF(OR($AI$9=0,AND(D233&gt;1,F233&gt;10)),0,
IF(D233=1,
(IF(AND(AH233&gt;'Данные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"ошибка_1"))))))),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IF(AND(AH233&gt;'Данные ТНПА'!#REF!,AH233&lt;='Данные ТНПА'!#REF!),'Данные ТНПА'!#REF!,
"ошибка_2"))))))))</f>
        <v>0</v>
      </c>
      <c r="BC233" s="43">
        <f t="shared" si="570"/>
        <v>10.019</v>
      </c>
      <c r="BD233" s="237">
        <f t="shared" si="571"/>
        <v>0</v>
      </c>
      <c r="BE233" s="43">
        <f t="shared" si="572"/>
        <v>0</v>
      </c>
      <c r="BF233" s="201">
        <f t="shared" si="573"/>
        <v>0</v>
      </c>
      <c r="BG233" s="201">
        <f t="shared" si="574"/>
        <v>0</v>
      </c>
      <c r="BH233" s="61">
        <f t="shared" si="597"/>
        <v>10.019</v>
      </c>
      <c r="BI233" s="237">
        <f t="shared" si="575"/>
        <v>0</v>
      </c>
      <c r="BJ233" s="247">
        <f t="shared" si="576"/>
        <v>0</v>
      </c>
      <c r="BK233" s="431">
        <f t="shared" si="598"/>
        <v>0</v>
      </c>
      <c r="BL233" s="250">
        <f t="shared" si="599"/>
        <v>0</v>
      </c>
      <c r="BM233" s="237">
        <f t="shared" si="577"/>
        <v>0</v>
      </c>
      <c r="BN233" s="452">
        <f t="shared" si="600"/>
        <v>10.019</v>
      </c>
      <c r="BO233" s="237">
        <f t="shared" si="578"/>
        <v>0</v>
      </c>
      <c r="BP233" s="432">
        <f t="shared" si="579"/>
        <v>0</v>
      </c>
      <c r="BQ233" s="22" t="str">
        <f t="shared" si="601"/>
        <v/>
      </c>
      <c r="BR233" s="250">
        <f t="shared" si="602"/>
        <v>0</v>
      </c>
      <c r="BS233" s="237">
        <f t="shared" si="580"/>
        <v>0</v>
      </c>
      <c r="BT233" s="452">
        <f t="shared" si="603"/>
        <v>10.019</v>
      </c>
      <c r="BU233" s="492">
        <f t="shared" si="604"/>
        <v>1.1749999999999998</v>
      </c>
      <c r="BV233" s="493">
        <f>IF(BT233="","",
IF(AND(BT233&gt;'Данные ТНПА'!$K$8,BT233&lt;='Данные ТНПА'!$L$8),'Данные ТНПА'!$N$8,
IF(AND(BT233&gt;'Данные ТНПА'!$K$9,BT233&lt;='Данные ТНПА'!$L$9),'Данные ТНПА'!$N$9,
IF(AND(BT233&gt;'Данные ТНПА'!$K$10,BT233&lt;='Данные ТНПА'!$L$10),'Данные ТНПА'!$N$10,
IF(AND(BT233&gt;'Данные ТНПА'!$K$11,BT233&lt;='Данные ТНПА'!$L$11),'Данные ТНПА'!$N$11,
IF(AND(BT233&gt;'Данные ТНПА'!$K$12,BT233&lt;='Данные ТНПА'!$L$12),'Данные ТНПА'!$N$12,
IF(AND(BT233&gt;'Данные ТНПА'!$K$13,BT233&lt;='Данные ТНПА'!$L$13),'Данные ТНПА'!$N$13,
IF(AND(BT233&gt;'Данные ТНПА'!$K$14,BT233&lt;='Данные ТНПА'!$L$14),'Данные ТНПА'!$N$14))))))))</f>
        <v>1.5</v>
      </c>
      <c r="BW233" s="493">
        <f t="shared" si="582"/>
        <v>13.019</v>
      </c>
      <c r="BX233" s="457">
        <f t="shared" si="498"/>
        <v>285.48449999999997</v>
      </c>
      <c r="BY233" s="457">
        <f t="shared" si="499"/>
        <v>0</v>
      </c>
      <c r="BZ233" s="457">
        <f t="shared" si="500"/>
        <v>58.083854163815467</v>
      </c>
      <c r="CA233" s="457" t="e">
        <f t="shared" si="605"/>
        <v>#REF!</v>
      </c>
      <c r="CB233" s="458">
        <f t="shared" si="584"/>
        <v>0</v>
      </c>
      <c r="CC233" s="457">
        <f t="shared" si="585"/>
        <v>0</v>
      </c>
      <c r="CD233" s="457">
        <f t="shared" si="586"/>
        <v>0</v>
      </c>
      <c r="CE233" s="457">
        <f t="shared" si="587"/>
        <v>0</v>
      </c>
      <c r="CF233" s="457">
        <f t="shared" si="588"/>
        <v>0</v>
      </c>
      <c r="CG233" s="458">
        <f t="shared" si="501"/>
        <v>0</v>
      </c>
      <c r="CH233" s="457">
        <f t="shared" si="589"/>
        <v>0</v>
      </c>
      <c r="CI233" s="457">
        <f t="shared" si="590"/>
        <v>0</v>
      </c>
      <c r="CJ233" s="458">
        <f t="shared" si="591"/>
        <v>0</v>
      </c>
      <c r="CK233" s="458">
        <f t="shared" si="502"/>
        <v>79.034604616314596</v>
      </c>
      <c r="CL233" s="457">
        <f t="shared" si="503"/>
        <v>422.60295878013005</v>
      </c>
      <c r="CM233" s="504"/>
      <c r="CN233" s="504"/>
    </row>
    <row r="234" spans="1:92" ht="14.25" hidden="1" customHeight="1" x14ac:dyDescent="0.25">
      <c r="A234" s="389" t="str">
        <f>IF(D234="",CONCATENATE("Кабель ",IF(C234="а","А",""),$A$9),CONCATENATE("Кабель ",IF(C234="а","А",""),$A$9," ",D234,"*",F234,IF(G234="ок"," (ож)","")," - ",B234," ",IF(G234="мс"," фас. ",""),$A$2))</f>
        <v>Кабель АВВГ 3*50 - 1 ГОСТ 16442-80</v>
      </c>
      <c r="B234" s="450">
        <v>1</v>
      </c>
      <c r="C234" s="451" t="s">
        <v>164</v>
      </c>
      <c r="D234" s="412">
        <v>3</v>
      </c>
      <c r="E234" s="413" t="s">
        <v>40</v>
      </c>
      <c r="F234" s="423">
        <v>50</v>
      </c>
      <c r="G234" s="414" t="str">
        <f>IF(I234=1,"ок","мк")</f>
        <v>мк</v>
      </c>
      <c r="H234" s="461">
        <v>3.1199999999999997</v>
      </c>
      <c r="I234" s="476">
        <v>7</v>
      </c>
      <c r="J234" s="477" t="s">
        <v>40</v>
      </c>
      <c r="K234" s="470">
        <f>ROUNDUP(SQRT(F234/I234/PI()*4*1.07),2)</f>
        <v>3.1199999999999997</v>
      </c>
      <c r="L234" s="501">
        <v>2.7699999999999996</v>
      </c>
      <c r="M234" s="475"/>
      <c r="N234" s="475"/>
      <c r="O234" s="475"/>
      <c r="P234" s="475"/>
      <c r="Q234" s="483">
        <f t="shared" si="592"/>
        <v>1.1599999999999999</v>
      </c>
      <c r="R234" s="484">
        <f>IF(B234=0.66,VLOOKUP(F234,'Данные ТНПА'!$B$8:$C$16,2,0),
IF(B234=1,VLOOKUP(F234,'Данные ТНПА'!$B$17:$C$37,2,0),"ошибка"))</f>
        <v>1.4</v>
      </c>
      <c r="S234" s="485">
        <f t="shared" si="488"/>
        <v>5.09</v>
      </c>
      <c r="T234" s="486"/>
      <c r="U234" s="487"/>
      <c r="V234" s="485">
        <f t="shared" si="489"/>
        <v>5.5699999999999994</v>
      </c>
      <c r="W234" s="486"/>
      <c r="X234" s="487"/>
      <c r="Y234" s="489">
        <f t="shared" si="490"/>
        <v>0</v>
      </c>
      <c r="Z234" s="491">
        <f t="shared" si="491"/>
        <v>11.975499999999998</v>
      </c>
      <c r="AA234" s="237">
        <f t="shared" si="492"/>
        <v>0</v>
      </c>
      <c r="AB234" s="452">
        <f t="shared" si="593"/>
        <v>11.975499999999998</v>
      </c>
      <c r="AC234" s="201">
        <f t="shared" si="493"/>
        <v>0</v>
      </c>
      <c r="AD234" s="203">
        <f t="shared" si="594"/>
        <v>0</v>
      </c>
      <c r="AE234" s="37" t="str">
        <f t="shared" si="494"/>
        <v/>
      </c>
      <c r="AF234" s="202">
        <f t="shared" si="595"/>
        <v>0</v>
      </c>
      <c r="AG234" s="201">
        <f t="shared" si="596"/>
        <v>0</v>
      </c>
      <c r="AH234" s="61">
        <f t="shared" si="495"/>
        <v>11.975499999999998</v>
      </c>
      <c r="AI234" s="443">
        <f t="shared" si="504"/>
        <v>0</v>
      </c>
      <c r="AJ234" s="444">
        <f t="shared" si="555"/>
        <v>0</v>
      </c>
      <c r="AK234" s="445">
        <f t="shared" si="556"/>
        <v>0</v>
      </c>
      <c r="AL234" s="446">
        <f t="shared" si="557"/>
        <v>0</v>
      </c>
      <c r="AM234" s="447">
        <f t="shared" si="558"/>
        <v>0</v>
      </c>
      <c r="AN234" s="24">
        <f t="shared" si="559"/>
        <v>11.975499999999998</v>
      </c>
      <c r="AO234" s="443">
        <f t="shared" si="496"/>
        <v>0</v>
      </c>
      <c r="AP234" s="444">
        <f t="shared" si="560"/>
        <v>0</v>
      </c>
      <c r="AQ234" s="445">
        <f t="shared" si="561"/>
        <v>0</v>
      </c>
      <c r="AR234" s="446">
        <f t="shared" si="562"/>
        <v>0</v>
      </c>
      <c r="AS234" s="447">
        <f t="shared" si="563"/>
        <v>0</v>
      </c>
      <c r="AT234" s="24">
        <f t="shared" si="564"/>
        <v>11.975499999999998</v>
      </c>
      <c r="AU234" s="443">
        <f t="shared" si="497"/>
        <v>0</v>
      </c>
      <c r="AV234" s="444">
        <f t="shared" si="565"/>
        <v>0</v>
      </c>
      <c r="AW234" s="445">
        <f t="shared" si="566"/>
        <v>0</v>
      </c>
      <c r="AX234" s="446">
        <f t="shared" si="567"/>
        <v>0</v>
      </c>
      <c r="AY234" s="447">
        <f t="shared" si="568"/>
        <v>0</v>
      </c>
      <c r="AZ234" s="24">
        <f t="shared" si="569"/>
        <v>11.975499999999998</v>
      </c>
      <c r="BA234" s="43">
        <f>IF(BB234=0,0,
IF(D234=1,
(IF(AND(AH234&gt;'Данные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"ошибка_1"))))))),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"ошибка_2"))))))))</f>
        <v>0</v>
      </c>
      <c r="BB234" s="43">
        <f>IF(OR($AI$9=0,AND(D234&gt;1,F234&gt;10)),0,
IF(D234=1,
(IF(AND(AH234&gt;'Данные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"ошибка_1"))))))),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IF(AND(AH234&gt;'Данные ТНПА'!#REF!,AH234&lt;='Данные ТНПА'!#REF!),'Данные ТНПА'!#REF!,
"ошибка_2"))))))))</f>
        <v>0</v>
      </c>
      <c r="BC234" s="43">
        <f t="shared" si="570"/>
        <v>11.975499999999998</v>
      </c>
      <c r="BD234" s="237">
        <f t="shared" si="571"/>
        <v>0</v>
      </c>
      <c r="BE234" s="43">
        <f t="shared" si="572"/>
        <v>0</v>
      </c>
      <c r="BF234" s="201">
        <f t="shared" si="573"/>
        <v>0</v>
      </c>
      <c r="BG234" s="201">
        <f t="shared" si="574"/>
        <v>0</v>
      </c>
      <c r="BH234" s="61">
        <f t="shared" si="597"/>
        <v>11.975499999999998</v>
      </c>
      <c r="BI234" s="237">
        <f t="shared" si="575"/>
        <v>0</v>
      </c>
      <c r="BJ234" s="247">
        <f t="shared" si="576"/>
        <v>0</v>
      </c>
      <c r="BK234" s="431">
        <f t="shared" si="598"/>
        <v>0</v>
      </c>
      <c r="BL234" s="250">
        <f t="shared" si="599"/>
        <v>0</v>
      </c>
      <c r="BM234" s="237">
        <f t="shared" si="577"/>
        <v>0</v>
      </c>
      <c r="BN234" s="452">
        <f t="shared" si="600"/>
        <v>11.975499999999998</v>
      </c>
      <c r="BO234" s="237">
        <f t="shared" si="578"/>
        <v>0</v>
      </c>
      <c r="BP234" s="432">
        <f t="shared" si="579"/>
        <v>0</v>
      </c>
      <c r="BQ234" s="22" t="str">
        <f t="shared" si="601"/>
        <v/>
      </c>
      <c r="BR234" s="250">
        <f t="shared" si="602"/>
        <v>0</v>
      </c>
      <c r="BS234" s="237">
        <f t="shared" si="580"/>
        <v>0</v>
      </c>
      <c r="BT234" s="452">
        <f t="shared" si="603"/>
        <v>11.975499999999998</v>
      </c>
      <c r="BU234" s="492">
        <f t="shared" si="604"/>
        <v>1.1749999999999998</v>
      </c>
      <c r="BV234" s="493">
        <f>IF(BT234="","",
IF(AND(BT234&gt;'Данные ТНПА'!$K$8,BT234&lt;='Данные ТНПА'!$L$8),'Данные ТНПА'!$N$8,
IF(AND(BT234&gt;'Данные ТНПА'!$K$9,BT234&lt;='Данные ТНПА'!$L$9),'Данные ТНПА'!$N$9,
IF(AND(BT234&gt;'Данные ТНПА'!$K$10,BT234&lt;='Данные ТНПА'!$L$10),'Данные ТНПА'!$N$10,
IF(AND(BT234&gt;'Данные ТНПА'!$K$11,BT234&lt;='Данные ТНПА'!$L$11),'Данные ТНПА'!$N$11,
IF(AND(BT234&gt;'Данные ТНПА'!$K$12,BT234&lt;='Данные ТНПА'!$L$12),'Данные ТНПА'!$N$12,
IF(AND(BT234&gt;'Данные ТНПА'!$K$13,BT234&lt;='Данные ТНПА'!$L$13),'Данные ТНПА'!$N$13,
IF(AND(BT234&gt;'Данные ТНПА'!$K$14,BT234&lt;='Данные ТНПА'!$L$14),'Данные ТНПА'!$N$14))))))))</f>
        <v>1.5</v>
      </c>
      <c r="BW234" s="493">
        <f t="shared" si="582"/>
        <v>14.975499999999998</v>
      </c>
      <c r="BX234" s="457">
        <f t="shared" si="498"/>
        <v>407.83499999999998</v>
      </c>
      <c r="BY234" s="457">
        <f t="shared" si="499"/>
        <v>0</v>
      </c>
      <c r="BZ234" s="457">
        <f t="shared" si="500"/>
        <v>81.66992789218564</v>
      </c>
      <c r="CA234" s="457" t="e">
        <f t="shared" si="605"/>
        <v>#REF!</v>
      </c>
      <c r="CB234" s="458">
        <f t="shared" si="584"/>
        <v>0</v>
      </c>
      <c r="CC234" s="457">
        <f t="shared" si="585"/>
        <v>0</v>
      </c>
      <c r="CD234" s="457">
        <f t="shared" si="586"/>
        <v>0</v>
      </c>
      <c r="CE234" s="457">
        <f t="shared" si="587"/>
        <v>0</v>
      </c>
      <c r="CF234" s="457">
        <f t="shared" si="588"/>
        <v>0</v>
      </c>
      <c r="CG234" s="458">
        <f t="shared" si="501"/>
        <v>0</v>
      </c>
      <c r="CH234" s="457">
        <f t="shared" si="589"/>
        <v>0</v>
      </c>
      <c r="CI234" s="457">
        <f t="shared" si="590"/>
        <v>0</v>
      </c>
      <c r="CJ234" s="458">
        <f t="shared" si="591"/>
        <v>0</v>
      </c>
      <c r="CK234" s="458">
        <f t="shared" si="502"/>
        <v>92.458617458733173</v>
      </c>
      <c r="CL234" s="457">
        <f t="shared" si="503"/>
        <v>581.96354535091882</v>
      </c>
      <c r="CM234" s="504"/>
      <c r="CN234" s="504"/>
    </row>
    <row r="235" spans="1:92" ht="14.25" hidden="1" customHeight="1" x14ac:dyDescent="0.25">
      <c r="A235" s="389" t="str">
        <f>IF(D235="",CONCATENATE("Кабель ",IF(C235="а","А",""),$A$9),CONCATENATE("Кабель ",IF(C235="а","А",""),$A$9," ",D235,"*",F235,IF(G235="ок"," (ож)","")," - ",B235," ",IF(G235="мс"," фас. ",""),$A$2))</f>
        <v>Кабель АВВГ 3*2,5 (ож) - 1 ГОСТ 16442-80</v>
      </c>
      <c r="B235" s="450">
        <v>1</v>
      </c>
      <c r="C235" s="451" t="s">
        <v>164</v>
      </c>
      <c r="D235" s="412">
        <v>3</v>
      </c>
      <c r="E235" s="413" t="s">
        <v>40</v>
      </c>
      <c r="F235" s="423">
        <v>2.5</v>
      </c>
      <c r="G235" s="414" t="str">
        <f>IF(I235=1,"ок","мк")</f>
        <v>ок</v>
      </c>
      <c r="H235" s="461">
        <v>1.79</v>
      </c>
      <c r="I235" s="497">
        <v>1</v>
      </c>
      <c r="J235" s="498" t="s">
        <v>40</v>
      </c>
      <c r="K235" s="496">
        <f>ROUNDUP(SQRT(F235/PI()*4),2)</f>
        <v>1.79</v>
      </c>
      <c r="L235" s="501">
        <v>3.57</v>
      </c>
      <c r="M235" s="475"/>
      <c r="N235" s="475"/>
      <c r="O235" s="475"/>
      <c r="P235" s="475"/>
      <c r="Q235" s="483">
        <f t="shared" si="592"/>
        <v>0.62000000000000011</v>
      </c>
      <c r="R235" s="484">
        <f>IF(B235=0.66,VLOOKUP(F235,'Данные ТНПА'!$B$8:$C$16,2,0),
IF(B235=1,VLOOKUP(F235,'Данные ТНПА'!$B$17:$C$37,2,0),"ошибка"))</f>
        <v>0.8</v>
      </c>
      <c r="S235" s="485">
        <f t="shared" si="488"/>
        <v>3.0300000000000002</v>
      </c>
      <c r="T235" s="486"/>
      <c r="U235" s="487"/>
      <c r="V235" s="485">
        <f t="shared" si="489"/>
        <v>3.39</v>
      </c>
      <c r="W235" s="486"/>
      <c r="X235" s="487"/>
      <c r="Y235" s="489">
        <f t="shared" si="490"/>
        <v>0</v>
      </c>
      <c r="Z235" s="491">
        <f t="shared" si="491"/>
        <v>7.2885</v>
      </c>
      <c r="AA235" s="237">
        <f t="shared" si="492"/>
        <v>0</v>
      </c>
      <c r="AB235" s="452">
        <f t="shared" si="593"/>
        <v>7.2885</v>
      </c>
      <c r="AC235" s="201">
        <f t="shared" si="493"/>
        <v>0</v>
      </c>
      <c r="AD235" s="203">
        <f t="shared" si="594"/>
        <v>0</v>
      </c>
      <c r="AE235" s="37" t="str">
        <f t="shared" si="494"/>
        <v/>
      </c>
      <c r="AF235" s="202">
        <f t="shared" si="595"/>
        <v>0</v>
      </c>
      <c r="AG235" s="201">
        <f t="shared" si="596"/>
        <v>0</v>
      </c>
      <c r="AH235" s="61">
        <f t="shared" si="495"/>
        <v>7.2885</v>
      </c>
      <c r="AI235" s="443">
        <f t="shared" si="504"/>
        <v>0</v>
      </c>
      <c r="AJ235" s="444">
        <f t="shared" si="555"/>
        <v>0</v>
      </c>
      <c r="AK235" s="445">
        <f t="shared" si="556"/>
        <v>0</v>
      </c>
      <c r="AL235" s="446">
        <f t="shared" si="557"/>
        <v>0</v>
      </c>
      <c r="AM235" s="447">
        <f t="shared" si="558"/>
        <v>0</v>
      </c>
      <c r="AN235" s="24">
        <f t="shared" si="559"/>
        <v>7.2885</v>
      </c>
      <c r="AO235" s="443">
        <f t="shared" si="496"/>
        <v>0</v>
      </c>
      <c r="AP235" s="444">
        <f t="shared" si="560"/>
        <v>0</v>
      </c>
      <c r="AQ235" s="445">
        <f t="shared" si="561"/>
        <v>0</v>
      </c>
      <c r="AR235" s="446">
        <f t="shared" si="562"/>
        <v>0</v>
      </c>
      <c r="AS235" s="447">
        <f t="shared" si="563"/>
        <v>0</v>
      </c>
      <c r="AT235" s="24">
        <f t="shared" si="564"/>
        <v>7.2885</v>
      </c>
      <c r="AU235" s="443">
        <f t="shared" si="497"/>
        <v>0</v>
      </c>
      <c r="AV235" s="444">
        <f t="shared" si="565"/>
        <v>0</v>
      </c>
      <c r="AW235" s="445">
        <f t="shared" si="566"/>
        <v>0</v>
      </c>
      <c r="AX235" s="446">
        <f t="shared" si="567"/>
        <v>0</v>
      </c>
      <c r="AY235" s="447">
        <f t="shared" si="568"/>
        <v>0</v>
      </c>
      <c r="AZ235" s="24">
        <f t="shared" si="569"/>
        <v>7.2885</v>
      </c>
      <c r="BA235" s="43">
        <f>IF(BB235=0,0,
IF(D235=1,
(IF(AND(AH235&gt;'Данные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"ошибка_1"))))))),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"ошибка_2"))))))))</f>
        <v>0</v>
      </c>
      <c r="BB235" s="43">
        <f>IF(OR($AI$9=0,AND(D235&gt;1,F235&gt;10)),0,
IF(D235=1,
(IF(AND(AH235&gt;'Данные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"ошибка_1"))))))),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IF(AND(AH235&gt;'Данные ТНПА'!#REF!,AH235&lt;='Данные ТНПА'!#REF!),'Данные ТНПА'!#REF!,
"ошибка_2"))))))))</f>
        <v>0</v>
      </c>
      <c r="BC235" s="43">
        <f t="shared" si="570"/>
        <v>7.2885</v>
      </c>
      <c r="BD235" s="237">
        <f t="shared" si="571"/>
        <v>0</v>
      </c>
      <c r="BE235" s="43">
        <f t="shared" si="572"/>
        <v>0</v>
      </c>
      <c r="BF235" s="201">
        <f t="shared" si="573"/>
        <v>0</v>
      </c>
      <c r="BG235" s="201">
        <f t="shared" si="574"/>
        <v>0</v>
      </c>
      <c r="BH235" s="61">
        <f t="shared" si="597"/>
        <v>7.2885</v>
      </c>
      <c r="BI235" s="237">
        <f t="shared" si="575"/>
        <v>0</v>
      </c>
      <c r="BJ235" s="247">
        <f t="shared" si="576"/>
        <v>0</v>
      </c>
      <c r="BK235" s="431">
        <f t="shared" si="598"/>
        <v>0</v>
      </c>
      <c r="BL235" s="250">
        <f t="shared" si="599"/>
        <v>0</v>
      </c>
      <c r="BM235" s="237">
        <f t="shared" si="577"/>
        <v>0</v>
      </c>
      <c r="BN235" s="452">
        <f t="shared" si="600"/>
        <v>7.2885</v>
      </c>
      <c r="BO235" s="237">
        <f t="shared" si="578"/>
        <v>0</v>
      </c>
      <c r="BP235" s="432">
        <f t="shared" si="579"/>
        <v>0</v>
      </c>
      <c r="BQ235" s="22" t="str">
        <f t="shared" si="601"/>
        <v/>
      </c>
      <c r="BR235" s="250">
        <f t="shared" si="602"/>
        <v>0</v>
      </c>
      <c r="BS235" s="237">
        <f t="shared" si="580"/>
        <v>0</v>
      </c>
      <c r="BT235" s="452">
        <f t="shared" si="603"/>
        <v>7.2885</v>
      </c>
      <c r="BU235" s="492">
        <f t="shared" si="604"/>
        <v>1.1749999999999998</v>
      </c>
      <c r="BV235" s="493">
        <f>IF(BT235="","",
IF(AND(BT235&gt;'Данные ТНПА'!$K$8,BT235&lt;='Данные ТНПА'!$L$8),'Данные ТНПА'!$N$8,
IF(AND(BT235&gt;'Данные ТНПА'!$K$9,BT235&lt;='Данные ТНПА'!$L$9),'Данные ТНПА'!$N$9,
IF(AND(BT235&gt;'Данные ТНПА'!$K$10,BT235&lt;='Данные ТНПА'!$L$10),'Данные ТНПА'!$N$10,
IF(AND(BT235&gt;'Данные ТНПА'!$K$11,BT235&lt;='Данные ТНПА'!$L$11),'Данные ТНПА'!$N$11,
IF(AND(BT235&gt;'Данные ТНПА'!$K$12,BT235&lt;='Данные ТНПА'!$L$12),'Данные ТНПА'!$N$12,
IF(AND(BT235&gt;'Данные ТНПА'!$K$13,BT235&lt;='Данные ТНПА'!$L$13),'Данные ТНПА'!$N$13,
IF(AND(BT235&gt;'Данные ТНПА'!$K$14,BT235&lt;='Данные ТНПА'!$L$14),'Данные ТНПА'!$N$14))))))))</f>
        <v>1.5</v>
      </c>
      <c r="BW235" s="493">
        <f t="shared" si="582"/>
        <v>10.288499999999999</v>
      </c>
      <c r="BX235" s="457">
        <f t="shared" si="498"/>
        <v>20.391749999999998</v>
      </c>
      <c r="BY235" s="457">
        <f t="shared" si="499"/>
        <v>0</v>
      </c>
      <c r="BZ235" s="457">
        <f t="shared" si="500"/>
        <v>26.350881465104585</v>
      </c>
      <c r="CA235" s="457" t="e">
        <f t="shared" si="605"/>
        <v>#REF!</v>
      </c>
      <c r="CB235" s="458">
        <f t="shared" si="584"/>
        <v>0</v>
      </c>
      <c r="CC235" s="457">
        <f t="shared" si="585"/>
        <v>0</v>
      </c>
      <c r="CD235" s="457">
        <f t="shared" si="586"/>
        <v>0</v>
      </c>
      <c r="CE235" s="457">
        <f t="shared" si="587"/>
        <v>0</v>
      </c>
      <c r="CF235" s="457">
        <f t="shared" si="588"/>
        <v>0</v>
      </c>
      <c r="CG235" s="458">
        <f t="shared" si="501"/>
        <v>0</v>
      </c>
      <c r="CH235" s="457">
        <f t="shared" si="589"/>
        <v>0</v>
      </c>
      <c r="CI235" s="457">
        <f t="shared" si="590"/>
        <v>0</v>
      </c>
      <c r="CJ235" s="458">
        <f t="shared" si="591"/>
        <v>0</v>
      </c>
      <c r="CK235" s="458">
        <f t="shared" ref="CK235:CK261" si="606">PI()*(BT235+BV235)*BV235*IF($BI$9&gt;0,1.1,1.04)*$CK$9</f>
        <v>60.299993286785373</v>
      </c>
      <c r="CL235" s="457">
        <f t="shared" si="503"/>
        <v>107.04262475188995</v>
      </c>
      <c r="CM235" s="504"/>
      <c r="CN235" s="504"/>
    </row>
    <row r="236" spans="1:92" ht="14.25" hidden="1" customHeight="1" x14ac:dyDescent="0.25">
      <c r="A236" s="389" t="str">
        <f>IF(D236="",CONCATENATE("Кабель ",IF(C236="а","А",""),$A$9),CONCATENATE("Кабель ",IF(C236="а","А",""),$A$9," ",D236,"*",F236,IF(G236="ок"," (ож)","")," - ",B236," ",IF(G236="мс"," фас. ",""),$A$2))</f>
        <v>Кабель АВВГ 3*4 (ож) - 1 ГОСТ 16442-80</v>
      </c>
      <c r="B236" s="450">
        <v>1</v>
      </c>
      <c r="C236" s="451" t="s">
        <v>164</v>
      </c>
      <c r="D236" s="412">
        <v>3</v>
      </c>
      <c r="E236" s="413" t="s">
        <v>40</v>
      </c>
      <c r="F236" s="423">
        <v>4</v>
      </c>
      <c r="G236" s="414" t="str">
        <f>IF(I236=1,"ок","мк")</f>
        <v>ок</v>
      </c>
      <c r="H236" s="461">
        <v>2.2599999999999998</v>
      </c>
      <c r="I236" s="497">
        <v>1</v>
      </c>
      <c r="J236" s="498" t="s">
        <v>40</v>
      </c>
      <c r="K236" s="496">
        <f>ROUNDUP(SQRT(F236/PI()*4),2)</f>
        <v>2.2599999999999998</v>
      </c>
      <c r="L236" s="501">
        <v>4.5199999999999996</v>
      </c>
      <c r="M236" s="475"/>
      <c r="N236" s="475"/>
      <c r="O236" s="475"/>
      <c r="P236" s="475"/>
      <c r="Q236" s="483">
        <f t="shared" si="592"/>
        <v>0.8</v>
      </c>
      <c r="R236" s="484">
        <f>IF(B236=0.66,VLOOKUP(F236,'Данные ТНПА'!$B$8:$C$16,2,0),
IF(B236=1,VLOOKUP(F236,'Данные ТНПА'!$B$17:$C$37,2,0),"ошибка"))</f>
        <v>1</v>
      </c>
      <c r="S236" s="485">
        <f t="shared" si="488"/>
        <v>3.86</v>
      </c>
      <c r="T236" s="486"/>
      <c r="U236" s="487"/>
      <c r="V236" s="485">
        <f t="shared" si="489"/>
        <v>4.26</v>
      </c>
      <c r="W236" s="486"/>
      <c r="X236" s="487"/>
      <c r="Y236" s="489">
        <f t="shared" si="490"/>
        <v>0</v>
      </c>
      <c r="Z236" s="491">
        <f t="shared" si="491"/>
        <v>9.1589999999999989</v>
      </c>
      <c r="AA236" s="237">
        <f t="shared" si="492"/>
        <v>0</v>
      </c>
      <c r="AB236" s="452">
        <f t="shared" si="593"/>
        <v>9.1589999999999989</v>
      </c>
      <c r="AC236" s="201">
        <f t="shared" si="493"/>
        <v>0</v>
      </c>
      <c r="AD236" s="203">
        <f t="shared" si="594"/>
        <v>0</v>
      </c>
      <c r="AE236" s="37" t="str">
        <f t="shared" si="494"/>
        <v/>
      </c>
      <c r="AF236" s="202">
        <f t="shared" si="595"/>
        <v>0</v>
      </c>
      <c r="AG236" s="201">
        <f t="shared" si="596"/>
        <v>0</v>
      </c>
      <c r="AH236" s="61">
        <f t="shared" si="495"/>
        <v>9.1589999999999989</v>
      </c>
      <c r="AI236" s="443">
        <f t="shared" si="504"/>
        <v>0</v>
      </c>
      <c r="AJ236" s="444">
        <f t="shared" si="555"/>
        <v>0</v>
      </c>
      <c r="AK236" s="445">
        <f t="shared" si="556"/>
        <v>0</v>
      </c>
      <c r="AL236" s="446">
        <f t="shared" si="557"/>
        <v>0</v>
      </c>
      <c r="AM236" s="447">
        <f t="shared" si="558"/>
        <v>0</v>
      </c>
      <c r="AN236" s="24">
        <f t="shared" si="559"/>
        <v>9.1589999999999989</v>
      </c>
      <c r="AO236" s="443">
        <f t="shared" si="496"/>
        <v>0</v>
      </c>
      <c r="AP236" s="444">
        <f t="shared" si="560"/>
        <v>0</v>
      </c>
      <c r="AQ236" s="445">
        <f t="shared" si="561"/>
        <v>0</v>
      </c>
      <c r="AR236" s="446">
        <f t="shared" si="562"/>
        <v>0</v>
      </c>
      <c r="AS236" s="447">
        <f t="shared" si="563"/>
        <v>0</v>
      </c>
      <c r="AT236" s="24">
        <f t="shared" si="564"/>
        <v>9.1589999999999989</v>
      </c>
      <c r="AU236" s="443">
        <f t="shared" si="497"/>
        <v>0</v>
      </c>
      <c r="AV236" s="444">
        <f t="shared" si="565"/>
        <v>0</v>
      </c>
      <c r="AW236" s="445">
        <f t="shared" si="566"/>
        <v>0</v>
      </c>
      <c r="AX236" s="446">
        <f t="shared" si="567"/>
        <v>0</v>
      </c>
      <c r="AY236" s="447">
        <f t="shared" si="568"/>
        <v>0</v>
      </c>
      <c r="AZ236" s="24">
        <f t="shared" si="569"/>
        <v>9.1589999999999989</v>
      </c>
      <c r="BA236" s="43">
        <f>IF(BB236=0,0,
IF(D236=1,
(IF(AND(AH236&gt;'Данные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"ошибка_1"))))))),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"ошибка_2"))))))))</f>
        <v>0</v>
      </c>
      <c r="BB236" s="43">
        <f>IF(OR($AI$9=0,AND(D236&gt;1,F236&gt;10)),0,
IF(D236=1,
(IF(AND(AH236&gt;'Данные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"ошибка_1"))))))),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IF(AND(AH236&gt;'Данные ТНПА'!#REF!,AH236&lt;='Данные ТНПА'!#REF!),'Данные ТНПА'!#REF!,
"ошибка_2"))))))))</f>
        <v>0</v>
      </c>
      <c r="BC236" s="43">
        <f t="shared" si="570"/>
        <v>9.1589999999999989</v>
      </c>
      <c r="BD236" s="237">
        <f t="shared" si="571"/>
        <v>0</v>
      </c>
      <c r="BE236" s="43">
        <f t="shared" si="572"/>
        <v>0</v>
      </c>
      <c r="BF236" s="201">
        <f t="shared" si="573"/>
        <v>0</v>
      </c>
      <c r="BG236" s="201">
        <f t="shared" si="574"/>
        <v>0</v>
      </c>
      <c r="BH236" s="61">
        <f t="shared" si="597"/>
        <v>9.1589999999999989</v>
      </c>
      <c r="BI236" s="237">
        <f t="shared" si="575"/>
        <v>0</v>
      </c>
      <c r="BJ236" s="247">
        <f t="shared" si="576"/>
        <v>0</v>
      </c>
      <c r="BK236" s="431">
        <f t="shared" si="598"/>
        <v>0</v>
      </c>
      <c r="BL236" s="250">
        <f t="shared" si="599"/>
        <v>0</v>
      </c>
      <c r="BM236" s="237">
        <f t="shared" si="577"/>
        <v>0</v>
      </c>
      <c r="BN236" s="452">
        <f t="shared" si="600"/>
        <v>9.1589999999999989</v>
      </c>
      <c r="BO236" s="237">
        <f t="shared" si="578"/>
        <v>0</v>
      </c>
      <c r="BP236" s="432">
        <f t="shared" si="579"/>
        <v>0</v>
      </c>
      <c r="BQ236" s="22" t="str">
        <f t="shared" si="601"/>
        <v/>
      </c>
      <c r="BR236" s="250">
        <f t="shared" si="602"/>
        <v>0</v>
      </c>
      <c r="BS236" s="237">
        <f t="shared" si="580"/>
        <v>0</v>
      </c>
      <c r="BT236" s="452">
        <f t="shared" si="603"/>
        <v>9.1589999999999989</v>
      </c>
      <c r="BU236" s="492">
        <f t="shared" si="604"/>
        <v>1.1749999999999998</v>
      </c>
      <c r="BV236" s="493">
        <f>IF(BT236="","",
IF(AND(BT236&gt;'Данные ТНПА'!$K$8,BT236&lt;='Данные ТНПА'!$L$8),'Данные ТНПА'!$N$8,
IF(AND(BT236&gt;'Данные ТНПА'!$K$9,BT236&lt;='Данные ТНПА'!$L$9),'Данные ТНПА'!$N$9,
IF(AND(BT236&gt;'Данные ТНПА'!$K$10,BT236&lt;='Данные ТНПА'!$L$10),'Данные ТНПА'!$N$10,
IF(AND(BT236&gt;'Данные ТНПА'!$K$11,BT236&lt;='Данные ТНПА'!$L$11),'Данные ТНПА'!$N$11,
IF(AND(BT236&gt;'Данные ТНПА'!$K$12,BT236&lt;='Данные ТНПА'!$L$12),'Данные ТНПА'!$N$12,
IF(AND(BT236&gt;'Данные ТНПА'!$K$13,BT236&lt;='Данные ТНПА'!$L$13),'Данные ТНПА'!$N$13,
IF(AND(BT236&gt;'Данные ТНПА'!$K$14,BT236&lt;='Данные ТНПА'!$L$14),'Данные ТНПА'!$N$14))))))))</f>
        <v>1.5</v>
      </c>
      <c r="BW236" s="493">
        <f t="shared" si="582"/>
        <v>12.158999999999999</v>
      </c>
      <c r="BX236" s="457">
        <f t="shared" si="498"/>
        <v>32.626800000000003</v>
      </c>
      <c r="BY236" s="457">
        <f t="shared" si="499"/>
        <v>0</v>
      </c>
      <c r="BZ236" s="457">
        <f t="shared" si="500"/>
        <v>41.459398444131722</v>
      </c>
      <c r="CA236" s="457" t="e">
        <f t="shared" si="605"/>
        <v>#REF!</v>
      </c>
      <c r="CB236" s="458">
        <f t="shared" si="584"/>
        <v>0</v>
      </c>
      <c r="CC236" s="457">
        <f t="shared" si="585"/>
        <v>0</v>
      </c>
      <c r="CD236" s="457">
        <f t="shared" si="586"/>
        <v>0</v>
      </c>
      <c r="CE236" s="457">
        <f t="shared" si="587"/>
        <v>0</v>
      </c>
      <c r="CF236" s="457">
        <f t="shared" si="588"/>
        <v>0</v>
      </c>
      <c r="CG236" s="458">
        <f t="shared" si="501"/>
        <v>0</v>
      </c>
      <c r="CH236" s="457">
        <f t="shared" si="589"/>
        <v>0</v>
      </c>
      <c r="CI236" s="457">
        <f t="shared" si="590"/>
        <v>0</v>
      </c>
      <c r="CJ236" s="458">
        <f t="shared" si="591"/>
        <v>0</v>
      </c>
      <c r="CK236" s="458">
        <f t="shared" si="606"/>
        <v>73.133939630636107</v>
      </c>
      <c r="CL236" s="457">
        <f t="shared" si="503"/>
        <v>147.22013807476782</v>
      </c>
      <c r="CM236" s="504"/>
      <c r="CN236" s="504"/>
    </row>
    <row r="237" spans="1:92" ht="14.25" hidden="1" customHeight="1" x14ac:dyDescent="0.25">
      <c r="A237" s="389" t="str">
        <f>IF(D237="",CONCATENATE("Кабель ",IF(C237="а","А",""),$A$9),CONCATENATE("Кабель ",IF(C237="а","А",""),$A$9," ",D237,"*",F237,IF(G237="ок"," (ож)","")," - ",B237," ",IF(G237="мс"," фас. ",""),$A$2))</f>
        <v>Кабель АВВГ 3*6 (ож) - 1 ГОСТ 16442-80</v>
      </c>
      <c r="B237" s="450">
        <v>1</v>
      </c>
      <c r="C237" s="451" t="s">
        <v>164</v>
      </c>
      <c r="D237" s="412">
        <v>3</v>
      </c>
      <c r="E237" s="413" t="s">
        <v>40</v>
      </c>
      <c r="F237" s="423">
        <v>6</v>
      </c>
      <c r="G237" s="414" t="str">
        <f>IF(I237=1,"ок","мк")</f>
        <v>ок</v>
      </c>
      <c r="H237" s="461">
        <v>2.7699999999999996</v>
      </c>
      <c r="I237" s="497">
        <v>1</v>
      </c>
      <c r="J237" s="498" t="s">
        <v>40</v>
      </c>
      <c r="K237" s="496">
        <f>ROUNDUP(SQRT(F237/PI()*4),2)</f>
        <v>2.7699999999999996</v>
      </c>
      <c r="L237" s="501">
        <v>5.6499999999999995</v>
      </c>
      <c r="M237" s="475"/>
      <c r="N237" s="475"/>
      <c r="O237" s="475"/>
      <c r="P237" s="475"/>
      <c r="Q237" s="483">
        <f t="shared" si="592"/>
        <v>0.8</v>
      </c>
      <c r="R237" s="484">
        <f>IF(B237=0.66,VLOOKUP(F237,'Данные ТНПА'!$B$8:$C$16,2,0),
IF(B237=1,VLOOKUP(F237,'Данные ТНПА'!$B$17:$C$37,2,0),"ошибка"))</f>
        <v>1</v>
      </c>
      <c r="S237" s="485">
        <f t="shared" si="488"/>
        <v>4.3699999999999992</v>
      </c>
      <c r="T237" s="486"/>
      <c r="U237" s="487"/>
      <c r="V237" s="485">
        <f t="shared" si="489"/>
        <v>4.7699999999999996</v>
      </c>
      <c r="W237" s="486"/>
      <c r="X237" s="487"/>
      <c r="Y237" s="489">
        <f t="shared" si="490"/>
        <v>0</v>
      </c>
      <c r="Z237" s="491">
        <f t="shared" si="491"/>
        <v>10.255499999999998</v>
      </c>
      <c r="AA237" s="237">
        <f t="shared" si="492"/>
        <v>0</v>
      </c>
      <c r="AB237" s="452">
        <f t="shared" si="593"/>
        <v>10.255499999999998</v>
      </c>
      <c r="AC237" s="201">
        <f t="shared" si="493"/>
        <v>0</v>
      </c>
      <c r="AD237" s="203">
        <f t="shared" si="594"/>
        <v>0</v>
      </c>
      <c r="AE237" s="37" t="str">
        <f t="shared" si="494"/>
        <v/>
      </c>
      <c r="AF237" s="202">
        <f t="shared" si="595"/>
        <v>0</v>
      </c>
      <c r="AG237" s="201">
        <f t="shared" si="596"/>
        <v>0</v>
      </c>
      <c r="AH237" s="61">
        <f t="shared" si="495"/>
        <v>10.255499999999998</v>
      </c>
      <c r="AI237" s="443">
        <f t="shared" si="504"/>
        <v>0</v>
      </c>
      <c r="AJ237" s="444">
        <f t="shared" si="555"/>
        <v>0</v>
      </c>
      <c r="AK237" s="445">
        <f t="shared" si="556"/>
        <v>0</v>
      </c>
      <c r="AL237" s="446">
        <f t="shared" si="557"/>
        <v>0</v>
      </c>
      <c r="AM237" s="447">
        <f t="shared" si="558"/>
        <v>0</v>
      </c>
      <c r="AN237" s="24">
        <f t="shared" si="559"/>
        <v>10.255499999999998</v>
      </c>
      <c r="AO237" s="443">
        <f t="shared" si="496"/>
        <v>0</v>
      </c>
      <c r="AP237" s="444">
        <f t="shared" si="560"/>
        <v>0</v>
      </c>
      <c r="AQ237" s="445">
        <f t="shared" si="561"/>
        <v>0</v>
      </c>
      <c r="AR237" s="446">
        <f t="shared" si="562"/>
        <v>0</v>
      </c>
      <c r="AS237" s="447">
        <f t="shared" si="563"/>
        <v>0</v>
      </c>
      <c r="AT237" s="24">
        <f t="shared" si="564"/>
        <v>10.255499999999998</v>
      </c>
      <c r="AU237" s="443">
        <f t="shared" si="497"/>
        <v>0</v>
      </c>
      <c r="AV237" s="444">
        <f t="shared" si="565"/>
        <v>0</v>
      </c>
      <c r="AW237" s="445">
        <f t="shared" si="566"/>
        <v>0</v>
      </c>
      <c r="AX237" s="446">
        <f t="shared" si="567"/>
        <v>0</v>
      </c>
      <c r="AY237" s="447">
        <f t="shared" si="568"/>
        <v>0</v>
      </c>
      <c r="AZ237" s="24">
        <f t="shared" si="569"/>
        <v>10.255499999999998</v>
      </c>
      <c r="BA237" s="43">
        <f>IF(BB237=0,0,
IF(D237=1,
(IF(AND(AH237&gt;'Данные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"ошибка_1"))))))),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"ошибка_2"))))))))</f>
        <v>0</v>
      </c>
      <c r="BB237" s="43">
        <f>IF(OR($AI$9=0,AND(D237&gt;1,F237&gt;10)),0,
IF(D237=1,
(IF(AND(AH237&gt;'Данные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"ошибка_1"))))))),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IF(AND(AH237&gt;'Данные ТНПА'!#REF!,AH237&lt;='Данные ТНПА'!#REF!),'Данные ТНПА'!#REF!,
"ошибка_2"))))))))</f>
        <v>0</v>
      </c>
      <c r="BC237" s="43">
        <f t="shared" si="570"/>
        <v>10.255499999999998</v>
      </c>
      <c r="BD237" s="237">
        <f t="shared" si="571"/>
        <v>0</v>
      </c>
      <c r="BE237" s="43">
        <f t="shared" si="572"/>
        <v>0</v>
      </c>
      <c r="BF237" s="201">
        <f t="shared" si="573"/>
        <v>0</v>
      </c>
      <c r="BG237" s="201">
        <f t="shared" si="574"/>
        <v>0</v>
      </c>
      <c r="BH237" s="61">
        <f t="shared" si="597"/>
        <v>10.255499999999998</v>
      </c>
      <c r="BI237" s="237">
        <f t="shared" si="575"/>
        <v>0</v>
      </c>
      <c r="BJ237" s="247">
        <f t="shared" si="576"/>
        <v>0</v>
      </c>
      <c r="BK237" s="431">
        <f t="shared" si="598"/>
        <v>0</v>
      </c>
      <c r="BL237" s="250">
        <f t="shared" si="599"/>
        <v>0</v>
      </c>
      <c r="BM237" s="237">
        <f t="shared" si="577"/>
        <v>0</v>
      </c>
      <c r="BN237" s="452">
        <f t="shared" si="600"/>
        <v>10.255499999999998</v>
      </c>
      <c r="BO237" s="237">
        <f t="shared" si="578"/>
        <v>0</v>
      </c>
      <c r="BP237" s="432">
        <f t="shared" si="579"/>
        <v>0</v>
      </c>
      <c r="BQ237" s="22" t="str">
        <f t="shared" si="601"/>
        <v/>
      </c>
      <c r="BR237" s="250">
        <f t="shared" si="602"/>
        <v>0</v>
      </c>
      <c r="BS237" s="237">
        <f t="shared" si="580"/>
        <v>0</v>
      </c>
      <c r="BT237" s="452">
        <f t="shared" si="603"/>
        <v>10.255499999999998</v>
      </c>
      <c r="BU237" s="492">
        <f t="shared" si="604"/>
        <v>1.1749999999999998</v>
      </c>
      <c r="BV237" s="493">
        <f>IF(BT237="","",
IF(AND(BT237&gt;'Данные ТНПА'!$K$8,BT237&lt;='Данные ТНПА'!$L$8),'Данные ТНПА'!$N$8,
IF(AND(BT237&gt;'Данные ТНПА'!$K$9,BT237&lt;='Данные ТНПА'!$L$9),'Данные ТНПА'!$N$9,
IF(AND(BT237&gt;'Данные ТНПА'!$K$10,BT237&lt;='Данные ТНПА'!$L$10),'Данные ТНПА'!$N$10,
IF(AND(BT237&gt;'Данные ТНПА'!$K$11,BT237&lt;='Данные ТНПА'!$L$11),'Данные ТНПА'!$N$11,
IF(AND(BT237&gt;'Данные ТНПА'!$K$12,BT237&lt;='Данные ТНПА'!$L$12),'Данные ТНПА'!$N$12,
IF(AND(BT237&gt;'Данные ТНПА'!$K$13,BT237&lt;='Данные ТНПА'!$L$13),'Данные ТНПА'!$N$13,
IF(AND(BT237&gt;'Данные ТНПА'!$K$14,BT237&lt;='Данные ТНПА'!$L$14),'Данные ТНПА'!$N$14))))))))</f>
        <v>1.5</v>
      </c>
      <c r="BW237" s="493">
        <f t="shared" si="582"/>
        <v>13.255499999999998</v>
      </c>
      <c r="BX237" s="457">
        <f t="shared" si="498"/>
        <v>48.940200000000004</v>
      </c>
      <c r="BY237" s="457">
        <f t="shared" si="499"/>
        <v>0</v>
      </c>
      <c r="BZ237" s="457">
        <f t="shared" si="500"/>
        <v>47.945377955330244</v>
      </c>
      <c r="CA237" s="457" t="e">
        <f t="shared" si="605"/>
        <v>#REF!</v>
      </c>
      <c r="CB237" s="458">
        <f t="shared" si="584"/>
        <v>0</v>
      </c>
      <c r="CC237" s="457">
        <f t="shared" si="585"/>
        <v>0</v>
      </c>
      <c r="CD237" s="457">
        <f t="shared" si="586"/>
        <v>0</v>
      </c>
      <c r="CE237" s="457">
        <f t="shared" si="587"/>
        <v>0</v>
      </c>
      <c r="CF237" s="457">
        <f t="shared" si="588"/>
        <v>0</v>
      </c>
      <c r="CG237" s="458">
        <f t="shared" si="501"/>
        <v>0</v>
      </c>
      <c r="CH237" s="457">
        <f t="shared" si="589"/>
        <v>0</v>
      </c>
      <c r="CI237" s="457">
        <f t="shared" si="590"/>
        <v>0</v>
      </c>
      <c r="CJ237" s="458">
        <f t="shared" si="591"/>
        <v>0</v>
      </c>
      <c r="CK237" s="458">
        <f t="shared" si="606"/>
        <v>80.657287487376166</v>
      </c>
      <c r="CL237" s="457">
        <f t="shared" si="503"/>
        <v>177.54286544270641</v>
      </c>
      <c r="CM237" s="504"/>
      <c r="CN237" s="504"/>
    </row>
    <row r="238" spans="1:92" ht="14.25" hidden="1" customHeight="1" x14ac:dyDescent="0.25">
      <c r="A238" s="389" t="str">
        <f>IF(D238="",CONCATENATE("Кабель ",IF(C238="а","А",""),$A$9),CONCATENATE("Кабель ",IF(C238="а","А",""),$A$9," ",D238,"*",F238,IF(G238="ок"," (ож)","")," - ",B238," ",IF(G238="мс"," фас. ",""),$A$2))</f>
        <v>Кабель АВВГ 3*10 (ож) - 1 ГОСТ 16442-80</v>
      </c>
      <c r="B238" s="450">
        <v>1</v>
      </c>
      <c r="C238" s="451" t="s">
        <v>164</v>
      </c>
      <c r="D238" s="412">
        <v>3</v>
      </c>
      <c r="E238" s="413" t="s">
        <v>40</v>
      </c>
      <c r="F238" s="423">
        <v>10</v>
      </c>
      <c r="G238" s="414" t="str">
        <f>IF(I238=1,"ок","мк")</f>
        <v>ок</v>
      </c>
      <c r="H238" s="461">
        <v>3.57</v>
      </c>
      <c r="I238" s="497">
        <v>1</v>
      </c>
      <c r="J238" s="498" t="s">
        <v>40</v>
      </c>
      <c r="K238" s="496">
        <f>ROUNDUP(SQRT(F238/PI()*4),2)</f>
        <v>3.57</v>
      </c>
      <c r="L238" s="501">
        <v>6.68</v>
      </c>
      <c r="M238" s="475"/>
      <c r="N238" s="475"/>
      <c r="O238" s="475"/>
      <c r="P238" s="475"/>
      <c r="Q238" s="483">
        <f t="shared" si="592"/>
        <v>0.8</v>
      </c>
      <c r="R238" s="484">
        <f>IF(B238=0.66,VLOOKUP(F238,'Данные ТНПА'!$B$8:$C$16,2,0),
IF(B238=1,VLOOKUP(F238,'Данные ТНПА'!$B$17:$C$37,2,0),"ошибка"))</f>
        <v>1</v>
      </c>
      <c r="S238" s="485">
        <f t="shared" si="488"/>
        <v>5.17</v>
      </c>
      <c r="T238" s="486"/>
      <c r="U238" s="487"/>
      <c r="V238" s="485">
        <f t="shared" si="489"/>
        <v>5.57</v>
      </c>
      <c r="W238" s="486"/>
      <c r="X238" s="487"/>
      <c r="Y238" s="489">
        <f t="shared" si="490"/>
        <v>0</v>
      </c>
      <c r="Z238" s="491">
        <f t="shared" si="491"/>
        <v>11.9755</v>
      </c>
      <c r="AA238" s="237">
        <f t="shared" si="492"/>
        <v>0</v>
      </c>
      <c r="AB238" s="452">
        <f t="shared" si="593"/>
        <v>11.9755</v>
      </c>
      <c r="AC238" s="201">
        <f t="shared" si="493"/>
        <v>0</v>
      </c>
      <c r="AD238" s="203">
        <f t="shared" si="594"/>
        <v>0</v>
      </c>
      <c r="AE238" s="37" t="str">
        <f t="shared" si="494"/>
        <v/>
      </c>
      <c r="AF238" s="202">
        <f t="shared" si="595"/>
        <v>0</v>
      </c>
      <c r="AG238" s="201">
        <f t="shared" si="596"/>
        <v>0</v>
      </c>
      <c r="AH238" s="61">
        <f t="shared" si="495"/>
        <v>11.9755</v>
      </c>
      <c r="AI238" s="443">
        <f t="shared" si="504"/>
        <v>0</v>
      </c>
      <c r="AJ238" s="444">
        <f t="shared" si="555"/>
        <v>0</v>
      </c>
      <c r="AK238" s="445">
        <f t="shared" si="556"/>
        <v>0</v>
      </c>
      <c r="AL238" s="446">
        <f t="shared" si="557"/>
        <v>0</v>
      </c>
      <c r="AM238" s="447">
        <f t="shared" si="558"/>
        <v>0</v>
      </c>
      <c r="AN238" s="24">
        <f t="shared" si="559"/>
        <v>11.9755</v>
      </c>
      <c r="AO238" s="443">
        <f t="shared" si="496"/>
        <v>0</v>
      </c>
      <c r="AP238" s="444">
        <f t="shared" si="560"/>
        <v>0</v>
      </c>
      <c r="AQ238" s="445">
        <f t="shared" si="561"/>
        <v>0</v>
      </c>
      <c r="AR238" s="446">
        <f t="shared" si="562"/>
        <v>0</v>
      </c>
      <c r="AS238" s="447">
        <f t="shared" si="563"/>
        <v>0</v>
      </c>
      <c r="AT238" s="24">
        <f t="shared" si="564"/>
        <v>11.9755</v>
      </c>
      <c r="AU238" s="443">
        <f t="shared" si="497"/>
        <v>0</v>
      </c>
      <c r="AV238" s="444">
        <f t="shared" si="565"/>
        <v>0</v>
      </c>
      <c r="AW238" s="445">
        <f t="shared" si="566"/>
        <v>0</v>
      </c>
      <c r="AX238" s="446">
        <f t="shared" si="567"/>
        <v>0</v>
      </c>
      <c r="AY238" s="447">
        <f t="shared" si="568"/>
        <v>0</v>
      </c>
      <c r="AZ238" s="24">
        <f t="shared" si="569"/>
        <v>11.9755</v>
      </c>
      <c r="BA238" s="43">
        <f>IF(BB238=0,0,
IF(D238=1,
(IF(AND(AH238&gt;'Данные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"ошибка_1"))))))),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"ошибка_2"))))))))</f>
        <v>0</v>
      </c>
      <c r="BB238" s="43">
        <f>IF(OR($AI$9=0,AND(D238&gt;1,F238&gt;10)),0,
IF(D238=1,
(IF(AND(AH238&gt;'Данные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"ошибка_1"))))))),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IF(AND(AH238&gt;'Данные ТНПА'!#REF!,AH238&lt;='Данные ТНПА'!#REF!),'Данные ТНПА'!#REF!,
"ошибка_2"))))))))</f>
        <v>0</v>
      </c>
      <c r="BC238" s="43">
        <f t="shared" si="570"/>
        <v>11.9755</v>
      </c>
      <c r="BD238" s="237">
        <f t="shared" si="571"/>
        <v>0</v>
      </c>
      <c r="BE238" s="43">
        <f t="shared" si="572"/>
        <v>0</v>
      </c>
      <c r="BF238" s="201">
        <f t="shared" si="573"/>
        <v>0</v>
      </c>
      <c r="BG238" s="201">
        <f t="shared" si="574"/>
        <v>0</v>
      </c>
      <c r="BH238" s="61">
        <f t="shared" si="597"/>
        <v>11.9755</v>
      </c>
      <c r="BI238" s="237">
        <f t="shared" si="575"/>
        <v>0</v>
      </c>
      <c r="BJ238" s="247">
        <f t="shared" si="576"/>
        <v>0</v>
      </c>
      <c r="BK238" s="431">
        <f t="shared" si="598"/>
        <v>0</v>
      </c>
      <c r="BL238" s="250">
        <f t="shared" si="599"/>
        <v>0</v>
      </c>
      <c r="BM238" s="237">
        <f t="shared" si="577"/>
        <v>0</v>
      </c>
      <c r="BN238" s="452">
        <f t="shared" si="600"/>
        <v>11.9755</v>
      </c>
      <c r="BO238" s="237">
        <f t="shared" si="578"/>
        <v>0</v>
      </c>
      <c r="BP238" s="432">
        <f t="shared" si="579"/>
        <v>0</v>
      </c>
      <c r="BQ238" s="22" t="str">
        <f t="shared" si="601"/>
        <v/>
      </c>
      <c r="BR238" s="250">
        <f t="shared" si="602"/>
        <v>0</v>
      </c>
      <c r="BS238" s="237">
        <f t="shared" si="580"/>
        <v>0</v>
      </c>
      <c r="BT238" s="452">
        <f t="shared" si="603"/>
        <v>11.9755</v>
      </c>
      <c r="BU238" s="492">
        <f t="shared" si="604"/>
        <v>1.1749999999999998</v>
      </c>
      <c r="BV238" s="493">
        <f>IF(BT238="","",
IF(AND(BT238&gt;'Данные ТНПА'!$K$8,BT238&lt;='Данные ТНПА'!$L$8),'Данные ТНПА'!$N$8,
IF(AND(BT238&gt;'Данные ТНПА'!$K$9,BT238&lt;='Данные ТНПА'!$L$9),'Данные ТНПА'!$N$9,
IF(AND(BT238&gt;'Данные ТНПА'!$K$10,BT238&lt;='Данные ТНПА'!$L$10),'Данные ТНПА'!$N$10,
IF(AND(BT238&gt;'Данные ТНПА'!$K$11,BT238&lt;='Данные ТНПА'!$L$11),'Данные ТНПА'!$N$11,
IF(AND(BT238&gt;'Данные ТНПА'!$K$12,BT238&lt;='Данные ТНПА'!$L$12),'Данные ТНПА'!$N$12,
IF(AND(BT238&gt;'Данные ТНПА'!$K$13,BT238&lt;='Данные ТНПА'!$L$13),'Данные ТНПА'!$N$13,
IF(AND(BT238&gt;'Данные ТНПА'!$K$14,BT238&lt;='Данные ТНПА'!$L$14),'Данные ТНПА'!$N$14))))))))</f>
        <v>1.5</v>
      </c>
      <c r="BW238" s="493">
        <f t="shared" si="582"/>
        <v>14.9755</v>
      </c>
      <c r="BX238" s="457">
        <f t="shared" si="498"/>
        <v>81.566999999999993</v>
      </c>
      <c r="BY238" s="457">
        <f t="shared" si="499"/>
        <v>0</v>
      </c>
      <c r="BZ238" s="457">
        <f t="shared" si="500"/>
        <v>58.119463463092643</v>
      </c>
      <c r="CA238" s="457" t="e">
        <f t="shared" si="605"/>
        <v>#REF!</v>
      </c>
      <c r="CB238" s="458">
        <f t="shared" si="584"/>
        <v>0</v>
      </c>
      <c r="CC238" s="457">
        <f t="shared" si="585"/>
        <v>0</v>
      </c>
      <c r="CD238" s="457">
        <f t="shared" si="586"/>
        <v>0</v>
      </c>
      <c r="CE238" s="457">
        <f t="shared" si="587"/>
        <v>0</v>
      </c>
      <c r="CF238" s="457">
        <f t="shared" si="588"/>
        <v>0</v>
      </c>
      <c r="CG238" s="458">
        <f t="shared" si="501"/>
        <v>0</v>
      </c>
      <c r="CH238" s="457">
        <f t="shared" si="589"/>
        <v>0</v>
      </c>
      <c r="CI238" s="457">
        <f t="shared" si="590"/>
        <v>0</v>
      </c>
      <c r="CJ238" s="458">
        <f t="shared" si="591"/>
        <v>0</v>
      </c>
      <c r="CK238" s="458">
        <f t="shared" si="606"/>
        <v>92.458617458733173</v>
      </c>
      <c r="CL238" s="457">
        <f t="shared" si="503"/>
        <v>232.14508092182581</v>
      </c>
      <c r="CM238" s="504"/>
      <c r="CN238" s="504"/>
    </row>
    <row r="239" spans="1:92" ht="14.25" hidden="1" customHeight="1" x14ac:dyDescent="0.25">
      <c r="A239" s="389" t="str">
        <f>IF(D239="",CONCATENATE("Кабель ",IF(C239="а","А",""),$A$9),CONCATENATE("Кабель ",IF(C239="а","А",""),$A$9," ",D239,"*",F239,IF(G239="ок"," (ож)","")," - ",B239," ",IF(G239="мс"," фас. ",""),$A$2))</f>
        <v>Кабель АВВГ 3*16 (ож) - 1 ГОСТ 16442-80</v>
      </c>
      <c r="B239" s="450">
        <v>1</v>
      </c>
      <c r="C239" s="451" t="s">
        <v>164</v>
      </c>
      <c r="D239" s="412">
        <v>3</v>
      </c>
      <c r="E239" s="413" t="s">
        <v>40</v>
      </c>
      <c r="F239" s="423">
        <v>16</v>
      </c>
      <c r="G239" s="414" t="str">
        <f>IF(I239=1,"ок","мк")</f>
        <v>ок</v>
      </c>
      <c r="H239" s="461">
        <v>4.5199999999999996</v>
      </c>
      <c r="I239" s="497">
        <v>1</v>
      </c>
      <c r="J239" s="498" t="s">
        <v>40</v>
      </c>
      <c r="K239" s="496">
        <f>ROUNDUP(SQRT(F239/PI()*4),2)</f>
        <v>4.5199999999999996</v>
      </c>
      <c r="L239" s="501">
        <v>5.99</v>
      </c>
      <c r="M239" s="475"/>
      <c r="N239" s="475"/>
      <c r="O239" s="475"/>
      <c r="P239" s="475"/>
      <c r="Q239" s="483">
        <f t="shared" si="592"/>
        <v>0.8</v>
      </c>
      <c r="R239" s="484">
        <f>IF(B239=0.66,VLOOKUP(F239,'Данные ТНПА'!$B$8:$C$16,2,0),
IF(B239=1,VLOOKUP(F239,'Данные ТНПА'!$B$17:$C$37,2,0),"ошибка"))</f>
        <v>1</v>
      </c>
      <c r="S239" s="485">
        <f t="shared" si="488"/>
        <v>6.1199999999999992</v>
      </c>
      <c r="T239" s="486"/>
      <c r="U239" s="487"/>
      <c r="V239" s="485">
        <f t="shared" si="489"/>
        <v>6.52</v>
      </c>
      <c r="W239" s="486"/>
      <c r="X239" s="487"/>
      <c r="Y239" s="489">
        <f t="shared" si="490"/>
        <v>0</v>
      </c>
      <c r="Z239" s="491">
        <f t="shared" si="491"/>
        <v>14.017999999999999</v>
      </c>
      <c r="AA239" s="237">
        <f t="shared" si="492"/>
        <v>0</v>
      </c>
      <c r="AB239" s="452">
        <f t="shared" si="593"/>
        <v>14.017999999999999</v>
      </c>
      <c r="AC239" s="201">
        <f t="shared" si="493"/>
        <v>0</v>
      </c>
      <c r="AD239" s="203">
        <f t="shared" si="594"/>
        <v>0</v>
      </c>
      <c r="AE239" s="37" t="str">
        <f t="shared" si="494"/>
        <v/>
      </c>
      <c r="AF239" s="202">
        <f t="shared" si="595"/>
        <v>0</v>
      </c>
      <c r="AG239" s="201">
        <f t="shared" si="596"/>
        <v>0</v>
      </c>
      <c r="AH239" s="61">
        <f t="shared" si="495"/>
        <v>14.017999999999999</v>
      </c>
      <c r="AI239" s="443">
        <f t="shared" si="504"/>
        <v>0</v>
      </c>
      <c r="AJ239" s="444">
        <f t="shared" si="555"/>
        <v>0</v>
      </c>
      <c r="AK239" s="445">
        <f t="shared" si="556"/>
        <v>0</v>
      </c>
      <c r="AL239" s="446">
        <f t="shared" si="557"/>
        <v>0</v>
      </c>
      <c r="AM239" s="447">
        <f t="shared" si="558"/>
        <v>0</v>
      </c>
      <c r="AN239" s="24">
        <f t="shared" si="559"/>
        <v>14.017999999999999</v>
      </c>
      <c r="AO239" s="443">
        <f t="shared" si="496"/>
        <v>0</v>
      </c>
      <c r="AP239" s="444">
        <f t="shared" si="560"/>
        <v>0</v>
      </c>
      <c r="AQ239" s="445">
        <f t="shared" si="561"/>
        <v>0</v>
      </c>
      <c r="AR239" s="446">
        <f t="shared" si="562"/>
        <v>0</v>
      </c>
      <c r="AS239" s="447">
        <f t="shared" si="563"/>
        <v>0</v>
      </c>
      <c r="AT239" s="24">
        <f t="shared" si="564"/>
        <v>14.017999999999999</v>
      </c>
      <c r="AU239" s="443">
        <f t="shared" si="497"/>
        <v>0</v>
      </c>
      <c r="AV239" s="444">
        <f t="shared" si="565"/>
        <v>0</v>
      </c>
      <c r="AW239" s="445">
        <f t="shared" si="566"/>
        <v>0</v>
      </c>
      <c r="AX239" s="446">
        <f t="shared" si="567"/>
        <v>0</v>
      </c>
      <c r="AY239" s="447">
        <f t="shared" si="568"/>
        <v>0</v>
      </c>
      <c r="AZ239" s="24">
        <f t="shared" si="569"/>
        <v>14.017999999999999</v>
      </c>
      <c r="BA239" s="43">
        <f>IF(BB239=0,0,
IF(D239=1,
(IF(AND(AH239&gt;'Данные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"ошибка_1"))))))),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"ошибка_2"))))))))</f>
        <v>0</v>
      </c>
      <c r="BB239" s="43">
        <f>IF(OR($AI$9=0,AND(D239&gt;1,F239&gt;10)),0,
IF(D239=1,
(IF(AND(AH239&gt;'Данные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"ошибка_1"))))))),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IF(AND(AH239&gt;'Данные ТНПА'!#REF!,AH239&lt;='Данные ТНПА'!#REF!),'Данные ТНПА'!#REF!,
"ошибка_2"))))))))</f>
        <v>0</v>
      </c>
      <c r="BC239" s="43">
        <f t="shared" si="570"/>
        <v>14.017999999999999</v>
      </c>
      <c r="BD239" s="237">
        <f t="shared" si="571"/>
        <v>0</v>
      </c>
      <c r="BE239" s="43">
        <f t="shared" si="572"/>
        <v>0</v>
      </c>
      <c r="BF239" s="201">
        <f t="shared" si="573"/>
        <v>0</v>
      </c>
      <c r="BG239" s="201">
        <f t="shared" si="574"/>
        <v>0</v>
      </c>
      <c r="BH239" s="61">
        <f t="shared" si="597"/>
        <v>14.017999999999999</v>
      </c>
      <c r="BI239" s="237">
        <f t="shared" si="575"/>
        <v>0</v>
      </c>
      <c r="BJ239" s="247">
        <f t="shared" si="576"/>
        <v>0</v>
      </c>
      <c r="BK239" s="431">
        <f t="shared" si="598"/>
        <v>0</v>
      </c>
      <c r="BL239" s="250">
        <f t="shared" si="599"/>
        <v>0</v>
      </c>
      <c r="BM239" s="237">
        <f t="shared" si="577"/>
        <v>0</v>
      </c>
      <c r="BN239" s="452">
        <f t="shared" si="600"/>
        <v>14.017999999999999</v>
      </c>
      <c r="BO239" s="237">
        <f t="shared" si="578"/>
        <v>0</v>
      </c>
      <c r="BP239" s="432">
        <f t="shared" si="579"/>
        <v>0</v>
      </c>
      <c r="BQ239" s="22" t="str">
        <f t="shared" si="601"/>
        <v/>
      </c>
      <c r="BR239" s="250">
        <f t="shared" si="602"/>
        <v>0</v>
      </c>
      <c r="BS239" s="237">
        <f t="shared" si="580"/>
        <v>0</v>
      </c>
      <c r="BT239" s="452">
        <f t="shared" si="603"/>
        <v>14.017999999999999</v>
      </c>
      <c r="BU239" s="492">
        <f t="shared" si="604"/>
        <v>1.1749999999999998</v>
      </c>
      <c r="BV239" s="493">
        <f>IF(BT239="","",
IF(AND(BT239&gt;'Данные ТНПА'!$K$8,BT239&lt;='Данные ТНПА'!$L$8),'Данные ТНПА'!$N$8,
IF(AND(BT239&gt;'Данные ТНПА'!$K$9,BT239&lt;='Данные ТНПА'!$L$9),'Данные ТНПА'!$N$9,
IF(AND(BT239&gt;'Данные ТНПА'!$K$10,BT239&lt;='Данные ТНПА'!$L$10),'Данные ТНПА'!$N$10,
IF(AND(BT239&gt;'Данные ТНПА'!$K$11,BT239&lt;='Данные ТНПА'!$L$11),'Данные ТНПА'!$N$11,
IF(AND(BT239&gt;'Данные ТНПА'!$K$12,BT239&lt;='Данные ТНПА'!$L$12),'Данные ТНПА'!$N$12,
IF(AND(BT239&gt;'Данные ТНПА'!$K$13,BT239&lt;='Данные ТНПА'!$L$13),'Данные ТНПА'!$N$13,
IF(AND(BT239&gt;'Данные ТНПА'!$K$14,BT239&lt;='Данные ТНПА'!$L$14),'Данные ТНПА'!$N$14))))))))</f>
        <v>1.5</v>
      </c>
      <c r="BW239" s="493">
        <f t="shared" si="582"/>
        <v>17.018000000000001</v>
      </c>
      <c r="BX239" s="457">
        <f t="shared" si="498"/>
        <v>130.50720000000001</v>
      </c>
      <c r="BY239" s="457">
        <f t="shared" si="499"/>
        <v>0</v>
      </c>
      <c r="BZ239" s="457">
        <f t="shared" si="500"/>
        <v>70.201190003560455</v>
      </c>
      <c r="CA239" s="457" t="e">
        <f t="shared" si="605"/>
        <v>#REF!</v>
      </c>
      <c r="CB239" s="458">
        <f t="shared" si="584"/>
        <v>0</v>
      </c>
      <c r="CC239" s="457">
        <f t="shared" si="585"/>
        <v>0</v>
      </c>
      <c r="CD239" s="457">
        <f t="shared" si="586"/>
        <v>0</v>
      </c>
      <c r="CE239" s="457">
        <f t="shared" si="587"/>
        <v>0</v>
      </c>
      <c r="CF239" s="457">
        <f t="shared" si="588"/>
        <v>0</v>
      </c>
      <c r="CG239" s="458">
        <f t="shared" si="501"/>
        <v>0</v>
      </c>
      <c r="CH239" s="457">
        <f t="shared" si="589"/>
        <v>0</v>
      </c>
      <c r="CI239" s="457">
        <f t="shared" si="590"/>
        <v>0</v>
      </c>
      <c r="CJ239" s="458">
        <f t="shared" si="591"/>
        <v>0</v>
      </c>
      <c r="CK239" s="458">
        <f t="shared" si="606"/>
        <v>106.4726967997196</v>
      </c>
      <c r="CL239" s="457">
        <f t="shared" si="503"/>
        <v>307.18108680328004</v>
      </c>
      <c r="CM239" s="504"/>
      <c r="CN239" s="504"/>
    </row>
    <row r="240" spans="1:92" ht="14.25" hidden="1" customHeight="1" x14ac:dyDescent="0.25">
      <c r="A240" s="389" t="str">
        <f>IF(D240="",CONCATENATE("Кабель ",IF(C240="а","А",""),$A$9),CONCATENATE("Кабель ",IF(C240="а","А",""),$A$9," ",D240,"*",F240,IF(G240="ок"," (ож)","")," - ",B240," ",IF(G240="мс"," фас. ",""),$A$2))</f>
        <v>Кабель АВВГ 3*25 (ож) - 1 ГОСТ 16442-80</v>
      </c>
      <c r="B240" s="450">
        <v>1</v>
      </c>
      <c r="C240" s="451" t="s">
        <v>164</v>
      </c>
      <c r="D240" s="412">
        <v>3</v>
      </c>
      <c r="E240" s="413" t="s">
        <v>40</v>
      </c>
      <c r="F240" s="423">
        <v>25</v>
      </c>
      <c r="G240" s="414" t="str">
        <f>IF(I240=1,"ок","мк")</f>
        <v>ок</v>
      </c>
      <c r="H240" s="461">
        <v>5.6499999999999995</v>
      </c>
      <c r="I240" s="497">
        <v>1</v>
      </c>
      <c r="J240" s="498" t="s">
        <v>40</v>
      </c>
      <c r="K240" s="496">
        <f>ROUNDUP(SQRT(F240/PI()*4),2)</f>
        <v>5.6499999999999995</v>
      </c>
      <c r="L240" s="501">
        <v>7.1000000000000005</v>
      </c>
      <c r="M240" s="475"/>
      <c r="N240" s="475"/>
      <c r="O240" s="475"/>
      <c r="P240" s="475"/>
      <c r="Q240" s="483">
        <f t="shared" si="592"/>
        <v>0.98000000000000009</v>
      </c>
      <c r="R240" s="484">
        <f>IF(B240=0.66,VLOOKUP(F240,'Данные ТНПА'!$B$8:$C$16,2,0),
IF(B240=1,VLOOKUP(F240,'Данные ТНПА'!$B$17:$C$37,2,0),"ошибка"))</f>
        <v>1.2</v>
      </c>
      <c r="S240" s="485">
        <f t="shared" si="488"/>
        <v>7.6099999999999994</v>
      </c>
      <c r="T240" s="486"/>
      <c r="U240" s="487"/>
      <c r="V240" s="485">
        <f t="shared" si="489"/>
        <v>8.0499999999999989</v>
      </c>
      <c r="W240" s="486"/>
      <c r="X240" s="487"/>
      <c r="Y240" s="489">
        <f t="shared" si="490"/>
        <v>0</v>
      </c>
      <c r="Z240" s="491">
        <f t="shared" si="491"/>
        <v>17.307499999999997</v>
      </c>
      <c r="AA240" s="237">
        <f t="shared" si="492"/>
        <v>0</v>
      </c>
      <c r="AB240" s="452">
        <f t="shared" si="593"/>
        <v>17.307499999999997</v>
      </c>
      <c r="AC240" s="201">
        <f t="shared" si="493"/>
        <v>0</v>
      </c>
      <c r="AD240" s="203">
        <f t="shared" si="594"/>
        <v>0</v>
      </c>
      <c r="AE240" s="37" t="str">
        <f t="shared" si="494"/>
        <v/>
      </c>
      <c r="AF240" s="202">
        <f t="shared" si="595"/>
        <v>0</v>
      </c>
      <c r="AG240" s="201">
        <f t="shared" si="596"/>
        <v>0</v>
      </c>
      <c r="AH240" s="61">
        <f t="shared" si="495"/>
        <v>17.307499999999997</v>
      </c>
      <c r="AI240" s="443">
        <f t="shared" si="504"/>
        <v>0</v>
      </c>
      <c r="AJ240" s="444">
        <f t="shared" si="555"/>
        <v>0</v>
      </c>
      <c r="AK240" s="445">
        <f t="shared" si="556"/>
        <v>0</v>
      </c>
      <c r="AL240" s="446">
        <f t="shared" si="557"/>
        <v>0</v>
      </c>
      <c r="AM240" s="447">
        <f t="shared" si="558"/>
        <v>0</v>
      </c>
      <c r="AN240" s="24">
        <f t="shared" si="559"/>
        <v>17.307499999999997</v>
      </c>
      <c r="AO240" s="443">
        <f t="shared" si="496"/>
        <v>0</v>
      </c>
      <c r="AP240" s="444">
        <f t="shared" si="560"/>
        <v>0</v>
      </c>
      <c r="AQ240" s="445">
        <f t="shared" si="561"/>
        <v>0</v>
      </c>
      <c r="AR240" s="446">
        <f t="shared" si="562"/>
        <v>0</v>
      </c>
      <c r="AS240" s="447">
        <f t="shared" si="563"/>
        <v>0</v>
      </c>
      <c r="AT240" s="24">
        <f t="shared" si="564"/>
        <v>17.307499999999997</v>
      </c>
      <c r="AU240" s="443">
        <f t="shared" si="497"/>
        <v>0</v>
      </c>
      <c r="AV240" s="444">
        <f t="shared" si="565"/>
        <v>0</v>
      </c>
      <c r="AW240" s="445">
        <f t="shared" si="566"/>
        <v>0</v>
      </c>
      <c r="AX240" s="446">
        <f t="shared" si="567"/>
        <v>0</v>
      </c>
      <c r="AY240" s="447">
        <f t="shared" si="568"/>
        <v>0</v>
      </c>
      <c r="AZ240" s="24">
        <f t="shared" si="569"/>
        <v>17.307499999999997</v>
      </c>
      <c r="BA240" s="43">
        <f>IF(BB240=0,0,
IF(D240=1,
(IF(AND(AH240&gt;'Данные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"ошибка_1"))))))),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"ошибка_2"))))))))</f>
        <v>0</v>
      </c>
      <c r="BB240" s="43">
        <f>IF(OR($AI$9=0,AND(D240&gt;1,F240&gt;10)),0,
IF(D240=1,
(IF(AND(AH240&gt;'Данные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"ошибка_1"))))))),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IF(AND(AH240&gt;'Данные ТНПА'!#REF!,AH240&lt;='Данные ТНПА'!#REF!),'Данные ТНПА'!#REF!,
"ошибка_2"))))))))</f>
        <v>0</v>
      </c>
      <c r="BC240" s="43">
        <f t="shared" si="570"/>
        <v>17.307499999999997</v>
      </c>
      <c r="BD240" s="237">
        <f t="shared" si="571"/>
        <v>0</v>
      </c>
      <c r="BE240" s="43">
        <f t="shared" si="572"/>
        <v>0</v>
      </c>
      <c r="BF240" s="201">
        <f t="shared" si="573"/>
        <v>0</v>
      </c>
      <c r="BG240" s="201">
        <f t="shared" si="574"/>
        <v>0</v>
      </c>
      <c r="BH240" s="61">
        <f t="shared" si="597"/>
        <v>17.307499999999997</v>
      </c>
      <c r="BI240" s="237">
        <f t="shared" si="575"/>
        <v>0</v>
      </c>
      <c r="BJ240" s="247">
        <f t="shared" si="576"/>
        <v>0</v>
      </c>
      <c r="BK240" s="431">
        <f t="shared" si="598"/>
        <v>0</v>
      </c>
      <c r="BL240" s="250">
        <f t="shared" si="599"/>
        <v>0</v>
      </c>
      <c r="BM240" s="237">
        <f t="shared" si="577"/>
        <v>0</v>
      </c>
      <c r="BN240" s="452">
        <f t="shared" si="600"/>
        <v>17.307499999999997</v>
      </c>
      <c r="BO240" s="237">
        <f t="shared" si="578"/>
        <v>0</v>
      </c>
      <c r="BP240" s="432">
        <f t="shared" si="579"/>
        <v>0</v>
      </c>
      <c r="BQ240" s="22" t="str">
        <f t="shared" si="601"/>
        <v/>
      </c>
      <c r="BR240" s="250">
        <f t="shared" si="602"/>
        <v>0</v>
      </c>
      <c r="BS240" s="237">
        <f t="shared" si="580"/>
        <v>0</v>
      </c>
      <c r="BT240" s="452">
        <f t="shared" si="603"/>
        <v>17.307499999999997</v>
      </c>
      <c r="BU240" s="492">
        <f t="shared" si="604"/>
        <v>1.3449999999999998</v>
      </c>
      <c r="BV240" s="493">
        <f>IF(BT240="","",
IF(AND(BT240&gt;'Данные ТНПА'!$K$8,BT240&lt;='Данные ТНПА'!$L$8),'Данные ТНПА'!$N$8,
IF(AND(BT240&gt;'Данные ТНПА'!$K$9,BT240&lt;='Данные ТНПА'!$L$9),'Данные ТНПА'!$N$9,
IF(AND(BT240&gt;'Данные ТНПА'!$K$10,BT240&lt;='Данные ТНПА'!$L$10),'Данные ТНПА'!$N$10,
IF(AND(BT240&gt;'Данные ТНПА'!$K$11,BT240&lt;='Данные ТНПА'!$L$11),'Данные ТНПА'!$N$11,
IF(AND(BT240&gt;'Данные ТНПА'!$K$12,BT240&lt;='Данные ТНПА'!$L$12),'Данные ТНПА'!$N$12,
IF(AND(BT240&gt;'Данные ТНПА'!$K$13,BT240&lt;='Данные ТНПА'!$L$13),'Данные ТНПА'!$N$13,
IF(AND(BT240&gt;'Данные ТНПА'!$K$14,BT240&lt;='Данные ТНПА'!$L$14),'Данные ТНПА'!$N$14))))))))</f>
        <v>1.7</v>
      </c>
      <c r="BW240" s="493">
        <f t="shared" si="582"/>
        <v>20.707499999999996</v>
      </c>
      <c r="BX240" s="457">
        <f t="shared" si="498"/>
        <v>203.91749999999999</v>
      </c>
      <c r="BY240" s="457">
        <f t="shared" si="499"/>
        <v>0</v>
      </c>
      <c r="BZ240" s="457">
        <f t="shared" si="500"/>
        <v>104.53872859225851</v>
      </c>
      <c r="CA240" s="457" t="e">
        <f t="shared" si="605"/>
        <v>#REF!</v>
      </c>
      <c r="CB240" s="458">
        <f t="shared" si="584"/>
        <v>0</v>
      </c>
      <c r="CC240" s="457">
        <f t="shared" si="585"/>
        <v>0</v>
      </c>
      <c r="CD240" s="457">
        <f t="shared" si="586"/>
        <v>0</v>
      </c>
      <c r="CE240" s="457">
        <f t="shared" si="587"/>
        <v>0</v>
      </c>
      <c r="CF240" s="457">
        <f t="shared" si="588"/>
        <v>0</v>
      </c>
      <c r="CG240" s="458">
        <f t="shared" si="501"/>
        <v>0</v>
      </c>
      <c r="CH240" s="457">
        <f t="shared" si="589"/>
        <v>0</v>
      </c>
      <c r="CI240" s="457">
        <f t="shared" si="590"/>
        <v>0</v>
      </c>
      <c r="CJ240" s="458">
        <f t="shared" si="591"/>
        <v>0</v>
      </c>
      <c r="CK240" s="458">
        <f t="shared" si="606"/>
        <v>147.80365311316487</v>
      </c>
      <c r="CL240" s="457">
        <f t="shared" si="503"/>
        <v>456.25988170542337</v>
      </c>
      <c r="CM240" s="504"/>
      <c r="CN240" s="504"/>
    </row>
    <row r="241" spans="1:92" ht="14.25" hidden="1" customHeight="1" x14ac:dyDescent="0.25">
      <c r="A241" s="389" t="str">
        <f>IF(D241="",CONCATENATE("Кабель ",IF(C241="а","А",""),$A$9),CONCATENATE("Кабель ",IF(C241="а","А",""),$A$9," ",D241,"*",F241,IF(G241="ок"," (ож)","")," - ",B241," ",IF(G241="мс"," фас. ",""),$A$2))</f>
        <v>Кабель АВВГ 3*35 (ож) - 1 ГОСТ 16442-80</v>
      </c>
      <c r="B241" s="450">
        <v>1</v>
      </c>
      <c r="C241" s="451" t="s">
        <v>164</v>
      </c>
      <c r="D241" s="412">
        <v>3</v>
      </c>
      <c r="E241" s="413" t="s">
        <v>40</v>
      </c>
      <c r="F241" s="423">
        <v>35</v>
      </c>
      <c r="G241" s="414" t="str">
        <f>IF(I241=1,"ок","мк")</f>
        <v>ок</v>
      </c>
      <c r="H241" s="461">
        <v>6.68</v>
      </c>
      <c r="I241" s="497">
        <v>1</v>
      </c>
      <c r="J241" s="498" t="s">
        <v>40</v>
      </c>
      <c r="K241" s="496">
        <f>ROUNDUP(SQRT(F241/PI()*4),2)</f>
        <v>6.68</v>
      </c>
      <c r="L241" s="501">
        <v>8.15</v>
      </c>
      <c r="M241" s="475"/>
      <c r="N241" s="475"/>
      <c r="O241" s="475"/>
      <c r="P241" s="475"/>
      <c r="Q241" s="483">
        <f t="shared" si="592"/>
        <v>0.98000000000000009</v>
      </c>
      <c r="R241" s="484">
        <f>IF(B241=0.66,VLOOKUP(F241,'Данные ТНПА'!$B$8:$C$16,2,0),
IF(B241=1,VLOOKUP(F241,'Данные ТНПА'!$B$17:$C$37,2,0),"ошибка"))</f>
        <v>1.2</v>
      </c>
      <c r="S241" s="485">
        <f t="shared" si="488"/>
        <v>8.64</v>
      </c>
      <c r="T241" s="486"/>
      <c r="U241" s="487"/>
      <c r="V241" s="485">
        <f t="shared" si="489"/>
        <v>9.08</v>
      </c>
      <c r="W241" s="486"/>
      <c r="X241" s="487"/>
      <c r="Y241" s="489">
        <f t="shared" si="490"/>
        <v>0</v>
      </c>
      <c r="Z241" s="491">
        <f t="shared" si="491"/>
        <v>19.521999999999998</v>
      </c>
      <c r="AA241" s="237">
        <f t="shared" si="492"/>
        <v>0</v>
      </c>
      <c r="AB241" s="452">
        <f t="shared" si="593"/>
        <v>19.521999999999998</v>
      </c>
      <c r="AC241" s="201">
        <f t="shared" si="493"/>
        <v>0</v>
      </c>
      <c r="AD241" s="203">
        <f t="shared" si="594"/>
        <v>0</v>
      </c>
      <c r="AE241" s="37" t="str">
        <f t="shared" si="494"/>
        <v/>
      </c>
      <c r="AF241" s="202">
        <f t="shared" si="595"/>
        <v>0</v>
      </c>
      <c r="AG241" s="201">
        <f t="shared" si="596"/>
        <v>0</v>
      </c>
      <c r="AH241" s="61">
        <f t="shared" si="495"/>
        <v>19.521999999999998</v>
      </c>
      <c r="AI241" s="443">
        <f t="shared" si="504"/>
        <v>0</v>
      </c>
      <c r="AJ241" s="444">
        <f t="shared" si="555"/>
        <v>0</v>
      </c>
      <c r="AK241" s="445">
        <f t="shared" si="556"/>
        <v>0</v>
      </c>
      <c r="AL241" s="446">
        <f t="shared" si="557"/>
        <v>0</v>
      </c>
      <c r="AM241" s="447">
        <f t="shared" si="558"/>
        <v>0</v>
      </c>
      <c r="AN241" s="24">
        <f t="shared" si="559"/>
        <v>19.521999999999998</v>
      </c>
      <c r="AO241" s="443">
        <f t="shared" si="496"/>
        <v>0</v>
      </c>
      <c r="AP241" s="444">
        <f t="shared" si="560"/>
        <v>0</v>
      </c>
      <c r="AQ241" s="445">
        <f t="shared" si="561"/>
        <v>0</v>
      </c>
      <c r="AR241" s="446">
        <f t="shared" si="562"/>
        <v>0</v>
      </c>
      <c r="AS241" s="447">
        <f t="shared" si="563"/>
        <v>0</v>
      </c>
      <c r="AT241" s="24">
        <f t="shared" si="564"/>
        <v>19.521999999999998</v>
      </c>
      <c r="AU241" s="443">
        <f t="shared" si="497"/>
        <v>0</v>
      </c>
      <c r="AV241" s="444">
        <f t="shared" si="565"/>
        <v>0</v>
      </c>
      <c r="AW241" s="445">
        <f t="shared" si="566"/>
        <v>0</v>
      </c>
      <c r="AX241" s="446">
        <f t="shared" si="567"/>
        <v>0</v>
      </c>
      <c r="AY241" s="447">
        <f t="shared" si="568"/>
        <v>0</v>
      </c>
      <c r="AZ241" s="24">
        <f t="shared" si="569"/>
        <v>19.521999999999998</v>
      </c>
      <c r="BA241" s="43">
        <f>IF(BB241=0,0,
IF(D241=1,
(IF(AND(AH241&gt;'Данные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"ошибка_1"))))))),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"ошибка_2"))))))))</f>
        <v>0</v>
      </c>
      <c r="BB241" s="43">
        <f>IF(OR($AI$9=0,AND(D241&gt;1,F241&gt;10)),0,
IF(D241=1,
(IF(AND(AH241&gt;'Данные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"ошибка_1"))))))),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IF(AND(AH241&gt;'Данные ТНПА'!#REF!,AH241&lt;='Данные ТНПА'!#REF!),'Данные ТНПА'!#REF!,
"ошибка_2"))))))))</f>
        <v>0</v>
      </c>
      <c r="BC241" s="43">
        <f t="shared" si="570"/>
        <v>19.521999999999998</v>
      </c>
      <c r="BD241" s="237">
        <f t="shared" si="571"/>
        <v>0</v>
      </c>
      <c r="BE241" s="43">
        <f t="shared" si="572"/>
        <v>0</v>
      </c>
      <c r="BF241" s="201">
        <f t="shared" si="573"/>
        <v>0</v>
      </c>
      <c r="BG241" s="201">
        <f t="shared" si="574"/>
        <v>0</v>
      </c>
      <c r="BH241" s="61">
        <f t="shared" si="597"/>
        <v>19.521999999999998</v>
      </c>
      <c r="BI241" s="237">
        <f t="shared" si="575"/>
        <v>0</v>
      </c>
      <c r="BJ241" s="247">
        <f t="shared" si="576"/>
        <v>0</v>
      </c>
      <c r="BK241" s="431">
        <f t="shared" si="598"/>
        <v>0</v>
      </c>
      <c r="BL241" s="250">
        <f t="shared" si="599"/>
        <v>0</v>
      </c>
      <c r="BM241" s="237">
        <f t="shared" si="577"/>
        <v>0</v>
      </c>
      <c r="BN241" s="452">
        <f t="shared" si="600"/>
        <v>19.521999999999998</v>
      </c>
      <c r="BO241" s="237">
        <f t="shared" si="578"/>
        <v>0</v>
      </c>
      <c r="BP241" s="432">
        <f t="shared" si="579"/>
        <v>0</v>
      </c>
      <c r="BQ241" s="22" t="str">
        <f t="shared" si="601"/>
        <v/>
      </c>
      <c r="BR241" s="250">
        <f t="shared" si="602"/>
        <v>0</v>
      </c>
      <c r="BS241" s="237">
        <f t="shared" si="580"/>
        <v>0</v>
      </c>
      <c r="BT241" s="452">
        <f t="shared" si="603"/>
        <v>19.521999999999998</v>
      </c>
      <c r="BU241" s="492">
        <f t="shared" si="604"/>
        <v>1.3449999999999998</v>
      </c>
      <c r="BV241" s="493">
        <f>IF(BT241="","",
IF(AND(BT241&gt;'Данные ТНПА'!$K$8,BT241&lt;='Данные ТНПА'!$L$8),'Данные ТНПА'!$N$8,
IF(AND(BT241&gt;'Данные ТНПА'!$K$9,BT241&lt;='Данные ТНПА'!$L$9),'Данные ТНПА'!$N$9,
IF(AND(BT241&gt;'Данные ТНПА'!$K$10,BT241&lt;='Данные ТНПА'!$L$10),'Данные ТНПА'!$N$10,
IF(AND(BT241&gt;'Данные ТНПА'!$K$11,BT241&lt;='Данные ТНПА'!$L$11),'Данные ТНПА'!$N$11,
IF(AND(BT241&gt;'Данные ТНПА'!$K$12,BT241&lt;='Данные ТНПА'!$L$12),'Данные ТНПА'!$N$12,
IF(AND(BT241&gt;'Данные ТНПА'!$K$13,BT241&lt;='Данные ТНПА'!$L$13),'Данные ТНПА'!$N$13,
IF(AND(BT241&gt;'Данные ТНПА'!$K$14,BT241&lt;='Данные ТНПА'!$L$14),'Данные ТНПА'!$N$14))))))))</f>
        <v>1.7</v>
      </c>
      <c r="BW241" s="493">
        <f t="shared" si="582"/>
        <v>22.921999999999997</v>
      </c>
      <c r="BX241" s="457">
        <f t="shared" si="498"/>
        <v>285.48449999999997</v>
      </c>
      <c r="BY241" s="457">
        <f t="shared" si="499"/>
        <v>0</v>
      </c>
      <c r="BZ241" s="457">
        <f t="shared" si="500"/>
        <v>120.2576907017514</v>
      </c>
      <c r="CA241" s="457" t="e">
        <f t="shared" si="605"/>
        <v>#REF!</v>
      </c>
      <c r="CB241" s="458">
        <f t="shared" si="584"/>
        <v>0</v>
      </c>
      <c r="CC241" s="457">
        <f t="shared" si="585"/>
        <v>0</v>
      </c>
      <c r="CD241" s="457">
        <f t="shared" si="586"/>
        <v>0</v>
      </c>
      <c r="CE241" s="457">
        <f t="shared" si="587"/>
        <v>0</v>
      </c>
      <c r="CF241" s="457">
        <f t="shared" si="588"/>
        <v>0</v>
      </c>
      <c r="CG241" s="458">
        <f t="shared" si="501"/>
        <v>0</v>
      </c>
      <c r="CH241" s="457">
        <f t="shared" si="589"/>
        <v>0</v>
      </c>
      <c r="CI241" s="457">
        <f t="shared" si="590"/>
        <v>0</v>
      </c>
      <c r="CJ241" s="458">
        <f t="shared" si="591"/>
        <v>0</v>
      </c>
      <c r="CK241" s="458">
        <f t="shared" si="606"/>
        <v>165.02376042970329</v>
      </c>
      <c r="CL241" s="457">
        <f t="shared" si="503"/>
        <v>570.7659511314547</v>
      </c>
      <c r="CM241" s="504"/>
      <c r="CN241" s="504"/>
    </row>
    <row r="242" spans="1:92" ht="14.25" hidden="1" customHeight="1" x14ac:dyDescent="0.25">
      <c r="A242" s="389" t="str">
        <f>IF(D242="",CONCATENATE("Кабель ",IF(C242="а","А",""),$A$9),CONCATENATE("Кабель ",IF(C242="а","А",""),$A$9," ",D242,"*",F242,IF(G242="ок"," (ож)","")," - ",B242," ",IF(G242="мс"," фас. ",""),$A$2))</f>
        <v>Кабель АВВГ 4*25 - 1 ГОСТ 16442-80</v>
      </c>
      <c r="B242" s="450">
        <v>1</v>
      </c>
      <c r="C242" s="451" t="s">
        <v>164</v>
      </c>
      <c r="D242" s="412">
        <v>4</v>
      </c>
      <c r="E242" s="413" t="s">
        <v>40</v>
      </c>
      <c r="F242" s="423">
        <v>25</v>
      </c>
      <c r="G242" s="414" t="str">
        <f>IF(I242=1,"ок","мк")</f>
        <v>мк</v>
      </c>
      <c r="H242" s="461">
        <v>2.21</v>
      </c>
      <c r="I242" s="476">
        <v>7</v>
      </c>
      <c r="J242" s="477" t="s">
        <v>40</v>
      </c>
      <c r="K242" s="470">
        <f>ROUNDUP(SQRT(F242/I242/PI()*4*1.07),2)</f>
        <v>2.21</v>
      </c>
      <c r="L242" s="501">
        <v>1.79</v>
      </c>
      <c r="M242" s="475"/>
      <c r="N242" s="475"/>
      <c r="O242" s="475"/>
      <c r="P242" s="475"/>
      <c r="Q242" s="483">
        <f t="shared" si="592"/>
        <v>0.98000000000000009</v>
      </c>
      <c r="R242" s="484">
        <f>IF(B242=0.66,VLOOKUP(F242,'Данные ТНПА'!$B$8:$C$16,2,0),
IF(B242=1,VLOOKUP(F242,'Данные ТНПА'!$B$17:$C$37,2,0),"ошибка"))</f>
        <v>1.2</v>
      </c>
      <c r="S242" s="485">
        <f t="shared" si="488"/>
        <v>3.75</v>
      </c>
      <c r="T242" s="486"/>
      <c r="U242" s="487"/>
      <c r="V242" s="485">
        <f t="shared" si="489"/>
        <v>4.1899999999999995</v>
      </c>
      <c r="W242" s="486"/>
      <c r="X242" s="487"/>
      <c r="Y242" s="489">
        <f t="shared" si="490"/>
        <v>1.7</v>
      </c>
      <c r="Z242" s="491">
        <f t="shared" si="491"/>
        <v>10.097899999999999</v>
      </c>
      <c r="AA242" s="237">
        <f t="shared" si="492"/>
        <v>0</v>
      </c>
      <c r="AB242" s="452">
        <f t="shared" si="593"/>
        <v>10.097899999999999</v>
      </c>
      <c r="AC242" s="201">
        <f t="shared" si="493"/>
        <v>0</v>
      </c>
      <c r="AD242" s="203">
        <f t="shared" si="594"/>
        <v>0</v>
      </c>
      <c r="AE242" s="37" t="str">
        <f t="shared" si="494"/>
        <v/>
      </c>
      <c r="AF242" s="202">
        <f t="shared" si="595"/>
        <v>0</v>
      </c>
      <c r="AG242" s="201">
        <f t="shared" si="596"/>
        <v>0</v>
      </c>
      <c r="AH242" s="61">
        <f t="shared" si="495"/>
        <v>10.097899999999999</v>
      </c>
      <c r="AI242" s="443">
        <f t="shared" si="504"/>
        <v>0</v>
      </c>
      <c r="AJ242" s="444">
        <f t="shared" si="555"/>
        <v>0</v>
      </c>
      <c r="AK242" s="445">
        <f t="shared" si="556"/>
        <v>0</v>
      </c>
      <c r="AL242" s="446">
        <f t="shared" si="557"/>
        <v>0</v>
      </c>
      <c r="AM242" s="447">
        <f t="shared" si="558"/>
        <v>0</v>
      </c>
      <c r="AN242" s="24">
        <f t="shared" si="559"/>
        <v>10.097899999999999</v>
      </c>
      <c r="AO242" s="443">
        <f t="shared" si="496"/>
        <v>0</v>
      </c>
      <c r="AP242" s="444">
        <f t="shared" si="560"/>
        <v>0</v>
      </c>
      <c r="AQ242" s="445">
        <f t="shared" si="561"/>
        <v>0</v>
      </c>
      <c r="AR242" s="446">
        <f t="shared" si="562"/>
        <v>0</v>
      </c>
      <c r="AS242" s="447">
        <f t="shared" si="563"/>
        <v>0</v>
      </c>
      <c r="AT242" s="24">
        <f t="shared" si="564"/>
        <v>10.097899999999999</v>
      </c>
      <c r="AU242" s="443">
        <f t="shared" si="497"/>
        <v>0</v>
      </c>
      <c r="AV242" s="444">
        <f t="shared" si="565"/>
        <v>0</v>
      </c>
      <c r="AW242" s="445">
        <f t="shared" si="566"/>
        <v>0</v>
      </c>
      <c r="AX242" s="446">
        <f t="shared" si="567"/>
        <v>0</v>
      </c>
      <c r="AY242" s="447">
        <f t="shared" si="568"/>
        <v>0</v>
      </c>
      <c r="AZ242" s="24">
        <f t="shared" si="569"/>
        <v>10.097899999999999</v>
      </c>
      <c r="BA242" s="43">
        <f>IF(BB242=0,0,
IF(D242=1,
(IF(AND(AH242&gt;'Данные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"ошибка_1"))))))),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"ошибка_2"))))))))</f>
        <v>0</v>
      </c>
      <c r="BB242" s="43">
        <f>IF(OR($AI$9=0,AND(D242&gt;1,F242&gt;10)),0,
IF(D242=1,
(IF(AND(AH242&gt;'Данные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"ошибка_1"))))))),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IF(AND(AH242&gt;'Данные ТНПА'!#REF!,AH242&lt;='Данные ТНПА'!#REF!),'Данные ТНПА'!#REF!,
"ошибка_2"))))))))</f>
        <v>0</v>
      </c>
      <c r="BC242" s="43">
        <f t="shared" si="570"/>
        <v>10.097899999999999</v>
      </c>
      <c r="BD242" s="237">
        <f t="shared" si="571"/>
        <v>0</v>
      </c>
      <c r="BE242" s="43">
        <f t="shared" si="572"/>
        <v>0</v>
      </c>
      <c r="BF242" s="201">
        <f t="shared" si="573"/>
        <v>0</v>
      </c>
      <c r="BG242" s="201">
        <f t="shared" si="574"/>
        <v>0</v>
      </c>
      <c r="BH242" s="61">
        <f t="shared" si="597"/>
        <v>10.097899999999999</v>
      </c>
      <c r="BI242" s="237">
        <f t="shared" si="575"/>
        <v>0</v>
      </c>
      <c r="BJ242" s="247">
        <f t="shared" si="576"/>
        <v>0</v>
      </c>
      <c r="BK242" s="431">
        <f t="shared" si="598"/>
        <v>0</v>
      </c>
      <c r="BL242" s="250">
        <f t="shared" si="599"/>
        <v>0</v>
      </c>
      <c r="BM242" s="237">
        <f t="shared" si="577"/>
        <v>0</v>
      </c>
      <c r="BN242" s="452">
        <f t="shared" si="600"/>
        <v>10.097899999999999</v>
      </c>
      <c r="BO242" s="237">
        <f t="shared" si="578"/>
        <v>0</v>
      </c>
      <c r="BP242" s="432">
        <f t="shared" si="579"/>
        <v>0</v>
      </c>
      <c r="BQ242" s="22" t="str">
        <f t="shared" si="601"/>
        <v/>
      </c>
      <c r="BR242" s="250">
        <f t="shared" si="602"/>
        <v>0</v>
      </c>
      <c r="BS242" s="237">
        <f t="shared" si="580"/>
        <v>0</v>
      </c>
      <c r="BT242" s="452">
        <f t="shared" si="603"/>
        <v>10.097899999999999</v>
      </c>
      <c r="BU242" s="492">
        <f t="shared" si="604"/>
        <v>1.1749999999999998</v>
      </c>
      <c r="BV242" s="493">
        <f>IF(BT242="","",
IF(AND(BT242&gt;'Данные ТНПА'!$K$8,BT242&lt;='Данные ТНПА'!$L$8),'Данные ТНПА'!$N$8,
IF(AND(BT242&gt;'Данные ТНПА'!$K$9,BT242&lt;='Данные ТНПА'!$L$9),'Данные ТНПА'!$N$9,
IF(AND(BT242&gt;'Данные ТНПА'!$K$10,BT242&lt;='Данные ТНПА'!$L$10),'Данные ТНПА'!$N$10,
IF(AND(BT242&gt;'Данные ТНПА'!$K$11,BT242&lt;='Данные ТНПА'!$L$11),'Данные ТНПА'!$N$11,
IF(AND(BT242&gt;'Данные ТНПА'!$K$12,BT242&lt;='Данные ТНПА'!$L$12),'Данные ТНПА'!$N$12,
IF(AND(BT242&gt;'Данные ТНПА'!$K$13,BT242&lt;='Данные ТНПА'!$L$13),'Данные ТНПА'!$N$13,
IF(AND(BT242&gt;'Данные ТНПА'!$K$14,BT242&lt;='Данные ТНПА'!$L$14),'Данные ТНПА'!$N$14))))))))</f>
        <v>1.5</v>
      </c>
      <c r="BW242" s="493">
        <f t="shared" si="582"/>
        <v>13.097899999999999</v>
      </c>
      <c r="BX242" s="457">
        <f t="shared" si="498"/>
        <v>271.89</v>
      </c>
      <c r="BY242" s="457">
        <f t="shared" si="499"/>
        <v>0</v>
      </c>
      <c r="BZ242" s="457">
        <f t="shared" si="500"/>
        <v>66.925134470060996</v>
      </c>
      <c r="CA242" s="457" t="e">
        <f t="shared" ref="CA242:CA251" si="607">PI()*POWER(Y242,2)/4*$CA$9</f>
        <v>#REF!</v>
      </c>
      <c r="CB242" s="458">
        <f t="shared" si="584"/>
        <v>0</v>
      </c>
      <c r="CC242" s="457">
        <f t="shared" si="585"/>
        <v>0</v>
      </c>
      <c r="CD242" s="457">
        <f t="shared" si="586"/>
        <v>0</v>
      </c>
      <c r="CE242" s="457">
        <f t="shared" si="587"/>
        <v>0</v>
      </c>
      <c r="CF242" s="457">
        <f t="shared" si="588"/>
        <v>0</v>
      </c>
      <c r="CG242" s="458">
        <f t="shared" si="501"/>
        <v>0</v>
      </c>
      <c r="CH242" s="457">
        <f t="shared" si="589"/>
        <v>0</v>
      </c>
      <c r="CI242" s="457">
        <f t="shared" si="590"/>
        <v>0</v>
      </c>
      <c r="CJ242" s="458">
        <f t="shared" si="591"/>
        <v>0</v>
      </c>
      <c r="CK242" s="458">
        <f t="shared" si="606"/>
        <v>79.575956322558824</v>
      </c>
      <c r="CL242" s="457">
        <f t="shared" si="503"/>
        <v>418.39109079261982</v>
      </c>
      <c r="CM242" s="504"/>
      <c r="CN242" s="504"/>
    </row>
    <row r="243" spans="1:92" ht="14.25" hidden="1" customHeight="1" x14ac:dyDescent="0.25">
      <c r="A243" s="389" t="str">
        <f>IF(D243="",CONCATENATE("Кабель ",IF(C243="а","А",""),$A$9),CONCATENATE("Кабель ",IF(C243="а","А",""),$A$9," ",D243,"*",F243,IF(G243="ок"," (ож)","")," - ",B243," ",IF(G243="мс"," фас. ",""),$A$2))</f>
        <v>Кабель АВВГ 4*35 - 1 ГОСТ 16442-80</v>
      </c>
      <c r="B243" s="450">
        <v>1</v>
      </c>
      <c r="C243" s="451" t="s">
        <v>164</v>
      </c>
      <c r="D243" s="412">
        <v>4</v>
      </c>
      <c r="E243" s="413" t="s">
        <v>40</v>
      </c>
      <c r="F243" s="423">
        <v>35</v>
      </c>
      <c r="G243" s="414" t="str">
        <f>IF(I243=1,"ок","мк")</f>
        <v>мк</v>
      </c>
      <c r="H243" s="461">
        <v>2.61</v>
      </c>
      <c r="I243" s="476">
        <v>7</v>
      </c>
      <c r="J243" s="477" t="s">
        <v>40</v>
      </c>
      <c r="K243" s="470">
        <f>ROUNDUP(SQRT(F243/I243/PI()*4*1.07),2)</f>
        <v>2.61</v>
      </c>
      <c r="L243" s="501">
        <v>2.2599999999999998</v>
      </c>
      <c r="M243" s="475"/>
      <c r="N243" s="475"/>
      <c r="O243" s="475"/>
      <c r="P243" s="475"/>
      <c r="Q243" s="483">
        <f t="shared" si="592"/>
        <v>0.98000000000000009</v>
      </c>
      <c r="R243" s="484">
        <f>IF(B243=0.66,VLOOKUP(F243,'Данные ТНПА'!$B$8:$C$16,2,0),
IF(B243=1,VLOOKUP(F243,'Данные ТНПА'!$B$17:$C$37,2,0),"ошибка"))</f>
        <v>1.2</v>
      </c>
      <c r="S243" s="485">
        <f t="shared" si="488"/>
        <v>4.22</v>
      </c>
      <c r="T243" s="486"/>
      <c r="U243" s="487"/>
      <c r="V243" s="485">
        <f t="shared" si="489"/>
        <v>4.66</v>
      </c>
      <c r="W243" s="486"/>
      <c r="X243" s="487"/>
      <c r="Y243" s="489">
        <f t="shared" si="490"/>
        <v>1.9</v>
      </c>
      <c r="Z243" s="491">
        <f t="shared" si="491"/>
        <v>11.230600000000001</v>
      </c>
      <c r="AA243" s="237">
        <f t="shared" si="492"/>
        <v>0</v>
      </c>
      <c r="AB243" s="452">
        <f t="shared" si="593"/>
        <v>11.230600000000001</v>
      </c>
      <c r="AC243" s="201">
        <f t="shared" si="493"/>
        <v>0</v>
      </c>
      <c r="AD243" s="203">
        <f t="shared" si="594"/>
        <v>0</v>
      </c>
      <c r="AE243" s="37" t="str">
        <f t="shared" si="494"/>
        <v/>
      </c>
      <c r="AF243" s="202">
        <f t="shared" si="595"/>
        <v>0</v>
      </c>
      <c r="AG243" s="201">
        <f t="shared" si="596"/>
        <v>0</v>
      </c>
      <c r="AH243" s="61">
        <f t="shared" si="495"/>
        <v>11.230600000000001</v>
      </c>
      <c r="AI243" s="443">
        <f t="shared" si="504"/>
        <v>0</v>
      </c>
      <c r="AJ243" s="444">
        <f t="shared" si="555"/>
        <v>0</v>
      </c>
      <c r="AK243" s="445">
        <f t="shared" si="556"/>
        <v>0</v>
      </c>
      <c r="AL243" s="446">
        <f t="shared" si="557"/>
        <v>0</v>
      </c>
      <c r="AM243" s="447">
        <f t="shared" si="558"/>
        <v>0</v>
      </c>
      <c r="AN243" s="24">
        <f t="shared" si="559"/>
        <v>11.230600000000001</v>
      </c>
      <c r="AO243" s="443">
        <f t="shared" si="496"/>
        <v>0</v>
      </c>
      <c r="AP243" s="444">
        <f t="shared" si="560"/>
        <v>0</v>
      </c>
      <c r="AQ243" s="445">
        <f t="shared" si="561"/>
        <v>0</v>
      </c>
      <c r="AR243" s="446">
        <f t="shared" si="562"/>
        <v>0</v>
      </c>
      <c r="AS243" s="447">
        <f t="shared" si="563"/>
        <v>0</v>
      </c>
      <c r="AT243" s="24">
        <f t="shared" si="564"/>
        <v>11.230600000000001</v>
      </c>
      <c r="AU243" s="443">
        <f t="shared" si="497"/>
        <v>0</v>
      </c>
      <c r="AV243" s="444">
        <f t="shared" si="565"/>
        <v>0</v>
      </c>
      <c r="AW243" s="445">
        <f t="shared" si="566"/>
        <v>0</v>
      </c>
      <c r="AX243" s="446">
        <f t="shared" si="567"/>
        <v>0</v>
      </c>
      <c r="AY243" s="447">
        <f t="shared" si="568"/>
        <v>0</v>
      </c>
      <c r="AZ243" s="24">
        <f t="shared" si="569"/>
        <v>11.230600000000001</v>
      </c>
      <c r="BA243" s="43">
        <f>IF(BB243=0,0,
IF(D243=1,
(IF(AND(AH243&gt;'Данные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"ошибка_1"))))))),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"ошибка_2"))))))))</f>
        <v>0</v>
      </c>
      <c r="BB243" s="43">
        <f>IF(OR($AI$9=0,AND(D243&gt;1,F243&gt;10)),0,
IF(D243=1,
(IF(AND(AH243&gt;'Данные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"ошибка_1"))))))),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IF(AND(AH243&gt;'Данные ТНПА'!#REF!,AH243&lt;='Данные ТНПА'!#REF!),'Данные ТНПА'!#REF!,
"ошибка_2"))))))))</f>
        <v>0</v>
      </c>
      <c r="BC243" s="43">
        <f t="shared" si="570"/>
        <v>11.230600000000001</v>
      </c>
      <c r="BD243" s="237">
        <f t="shared" si="571"/>
        <v>0</v>
      </c>
      <c r="BE243" s="43">
        <f t="shared" si="572"/>
        <v>0</v>
      </c>
      <c r="BF243" s="201">
        <f t="shared" si="573"/>
        <v>0</v>
      </c>
      <c r="BG243" s="201">
        <f t="shared" si="574"/>
        <v>0</v>
      </c>
      <c r="BH243" s="61">
        <f t="shared" si="597"/>
        <v>11.230600000000001</v>
      </c>
      <c r="BI243" s="237">
        <f t="shared" si="575"/>
        <v>0</v>
      </c>
      <c r="BJ243" s="247">
        <f t="shared" si="576"/>
        <v>0</v>
      </c>
      <c r="BK243" s="431">
        <f t="shared" si="598"/>
        <v>0</v>
      </c>
      <c r="BL243" s="250">
        <f t="shared" si="599"/>
        <v>0</v>
      </c>
      <c r="BM243" s="237">
        <f t="shared" si="577"/>
        <v>0</v>
      </c>
      <c r="BN243" s="452">
        <f t="shared" si="600"/>
        <v>11.230600000000001</v>
      </c>
      <c r="BO243" s="237">
        <f t="shared" si="578"/>
        <v>0</v>
      </c>
      <c r="BP243" s="432">
        <f t="shared" si="579"/>
        <v>0</v>
      </c>
      <c r="BQ243" s="22" t="str">
        <f t="shared" si="601"/>
        <v/>
      </c>
      <c r="BR243" s="250">
        <f t="shared" si="602"/>
        <v>0</v>
      </c>
      <c r="BS243" s="237">
        <f t="shared" si="580"/>
        <v>0</v>
      </c>
      <c r="BT243" s="452">
        <f t="shared" si="603"/>
        <v>11.230600000000001</v>
      </c>
      <c r="BU243" s="492">
        <f t="shared" si="604"/>
        <v>1.1749999999999998</v>
      </c>
      <c r="BV243" s="493">
        <f>IF(BT243="","",
IF(AND(BT243&gt;'Данные ТНПА'!$K$8,BT243&lt;='Данные ТНПА'!$L$8),'Данные ТНПА'!$N$8,
IF(AND(BT243&gt;'Данные ТНПА'!$K$9,BT243&lt;='Данные ТНПА'!$L$9),'Данные ТНПА'!$N$9,
IF(AND(BT243&gt;'Данные ТНПА'!$K$10,BT243&lt;='Данные ТНПА'!$L$10),'Данные ТНПА'!$N$10,
IF(AND(BT243&gt;'Данные ТНПА'!$K$11,BT243&lt;='Данные ТНПА'!$L$11),'Данные ТНПА'!$N$11,
IF(AND(BT243&gt;'Данные ТНПА'!$K$12,BT243&lt;='Данные ТНПА'!$L$12),'Данные ТНПА'!$N$12,
IF(AND(BT243&gt;'Данные ТНПА'!$K$13,BT243&lt;='Данные ТНПА'!$L$13),'Данные ТНПА'!$N$13,
IF(AND(BT243&gt;'Данные ТНПА'!$K$14,BT243&lt;='Данные ТНПА'!$L$14),'Данные ТНПА'!$N$14))))))))</f>
        <v>1.5</v>
      </c>
      <c r="BW243" s="493">
        <f t="shared" si="582"/>
        <v>14.230600000000001</v>
      </c>
      <c r="BX243" s="457">
        <f t="shared" si="498"/>
        <v>380.64599999999996</v>
      </c>
      <c r="BY243" s="457">
        <f t="shared" si="499"/>
        <v>0</v>
      </c>
      <c r="BZ243" s="457">
        <f t="shared" si="500"/>
        <v>77.445138885087289</v>
      </c>
      <c r="CA243" s="457" t="e">
        <f t="shared" si="607"/>
        <v>#REF!</v>
      </c>
      <c r="CB243" s="458">
        <f t="shared" si="584"/>
        <v>0</v>
      </c>
      <c r="CC243" s="457">
        <f t="shared" si="585"/>
        <v>0</v>
      </c>
      <c r="CD243" s="457">
        <f t="shared" si="586"/>
        <v>0</v>
      </c>
      <c r="CE243" s="457">
        <f t="shared" si="587"/>
        <v>0</v>
      </c>
      <c r="CF243" s="457">
        <f t="shared" si="588"/>
        <v>0</v>
      </c>
      <c r="CG243" s="458">
        <f t="shared" si="501"/>
        <v>0</v>
      </c>
      <c r="CH243" s="457">
        <f t="shared" si="589"/>
        <v>0</v>
      </c>
      <c r="CI243" s="457">
        <f t="shared" si="590"/>
        <v>0</v>
      </c>
      <c r="CJ243" s="458">
        <f t="shared" si="591"/>
        <v>0</v>
      </c>
      <c r="CK243" s="458">
        <f t="shared" si="606"/>
        <v>87.347681007765843</v>
      </c>
      <c r="CL243" s="457">
        <f t="shared" si="503"/>
        <v>545.43881989285308</v>
      </c>
      <c r="CM243" s="504"/>
      <c r="CN243" s="504"/>
    </row>
    <row r="244" spans="1:92" ht="14.25" hidden="1" customHeight="1" x14ac:dyDescent="0.25">
      <c r="A244" s="389" t="str">
        <f>IF(D244="",CONCATENATE("Кабель ",IF(C244="а","А",""),$A$9),CONCATENATE("Кабель ",IF(C244="а","А",""),$A$9," ",D244,"*",F244,IF(G244="ок"," (ож)","")," - ",B244," ",IF(G244="мс"," фас. ",""),$A$2))</f>
        <v>Кабель АВВГ 4*50 - 1 ГОСТ 16442-80</v>
      </c>
      <c r="B244" s="450">
        <v>1</v>
      </c>
      <c r="C244" s="451" t="s">
        <v>164</v>
      </c>
      <c r="D244" s="412">
        <v>4</v>
      </c>
      <c r="E244" s="413" t="s">
        <v>40</v>
      </c>
      <c r="F244" s="423">
        <v>50</v>
      </c>
      <c r="G244" s="414" t="str">
        <f>IF(I244=1,"ок","мк")</f>
        <v>мк</v>
      </c>
      <c r="H244" s="461">
        <v>3.1199999999999997</v>
      </c>
      <c r="I244" s="476">
        <v>7</v>
      </c>
      <c r="J244" s="477" t="s">
        <v>40</v>
      </c>
      <c r="K244" s="470">
        <f>ROUNDUP(SQRT(F244/I244/PI()*4*1.07),2)</f>
        <v>3.1199999999999997</v>
      </c>
      <c r="L244" s="501">
        <v>2.7699999999999996</v>
      </c>
      <c r="M244" s="475"/>
      <c r="N244" s="475"/>
      <c r="O244" s="475"/>
      <c r="P244" s="475"/>
      <c r="Q244" s="483">
        <f t="shared" si="592"/>
        <v>1.1599999999999999</v>
      </c>
      <c r="R244" s="484">
        <f>IF(B244=0.66,VLOOKUP(F244,'Данные ТНПА'!$B$8:$C$16,2,0),
IF(B244=1,VLOOKUP(F244,'Данные ТНПА'!$B$17:$C$37,2,0),"ошибка"))</f>
        <v>1.4</v>
      </c>
      <c r="S244" s="485">
        <f t="shared" si="488"/>
        <v>5.09</v>
      </c>
      <c r="T244" s="486"/>
      <c r="U244" s="487"/>
      <c r="V244" s="485">
        <f t="shared" si="489"/>
        <v>5.5699999999999994</v>
      </c>
      <c r="W244" s="486"/>
      <c r="X244" s="487"/>
      <c r="Y244" s="489">
        <f t="shared" si="490"/>
        <v>2.2999999999999998</v>
      </c>
      <c r="Z244" s="491">
        <f t="shared" si="491"/>
        <v>13.4237</v>
      </c>
      <c r="AA244" s="237">
        <f t="shared" si="492"/>
        <v>0</v>
      </c>
      <c r="AB244" s="452">
        <f t="shared" si="593"/>
        <v>13.4237</v>
      </c>
      <c r="AC244" s="201">
        <f t="shared" si="493"/>
        <v>0</v>
      </c>
      <c r="AD244" s="203">
        <f t="shared" si="594"/>
        <v>0</v>
      </c>
      <c r="AE244" s="37" t="str">
        <f t="shared" si="494"/>
        <v/>
      </c>
      <c r="AF244" s="202">
        <f t="shared" si="595"/>
        <v>0</v>
      </c>
      <c r="AG244" s="201">
        <f t="shared" si="596"/>
        <v>0</v>
      </c>
      <c r="AH244" s="61">
        <f t="shared" si="495"/>
        <v>13.4237</v>
      </c>
      <c r="AI244" s="443">
        <f t="shared" si="504"/>
        <v>0</v>
      </c>
      <c r="AJ244" s="444">
        <f t="shared" si="555"/>
        <v>0</v>
      </c>
      <c r="AK244" s="445">
        <f t="shared" si="556"/>
        <v>0</v>
      </c>
      <c r="AL244" s="446">
        <f t="shared" si="557"/>
        <v>0</v>
      </c>
      <c r="AM244" s="447">
        <f t="shared" si="558"/>
        <v>0</v>
      </c>
      <c r="AN244" s="24">
        <f t="shared" si="559"/>
        <v>13.4237</v>
      </c>
      <c r="AO244" s="443">
        <f t="shared" si="496"/>
        <v>0</v>
      </c>
      <c r="AP244" s="444">
        <f t="shared" si="560"/>
        <v>0</v>
      </c>
      <c r="AQ244" s="445">
        <f t="shared" si="561"/>
        <v>0</v>
      </c>
      <c r="AR244" s="446">
        <f t="shared" si="562"/>
        <v>0</v>
      </c>
      <c r="AS244" s="447">
        <f t="shared" si="563"/>
        <v>0</v>
      </c>
      <c r="AT244" s="24">
        <f t="shared" si="564"/>
        <v>13.4237</v>
      </c>
      <c r="AU244" s="443">
        <f t="shared" si="497"/>
        <v>0</v>
      </c>
      <c r="AV244" s="444">
        <f t="shared" si="565"/>
        <v>0</v>
      </c>
      <c r="AW244" s="445">
        <f t="shared" si="566"/>
        <v>0</v>
      </c>
      <c r="AX244" s="446">
        <f t="shared" si="567"/>
        <v>0</v>
      </c>
      <c r="AY244" s="447">
        <f t="shared" si="568"/>
        <v>0</v>
      </c>
      <c r="AZ244" s="24">
        <f t="shared" si="569"/>
        <v>13.4237</v>
      </c>
      <c r="BA244" s="43">
        <f>IF(BB244=0,0,
IF(D244=1,
(IF(AND(AH244&gt;'Данные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"ошибка_1"))))))),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"ошибка_2"))))))))</f>
        <v>0</v>
      </c>
      <c r="BB244" s="43">
        <f>IF(OR($AI$9=0,AND(D244&gt;1,F244&gt;10)),0,
IF(D244=1,
(IF(AND(AH244&gt;'Данные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"ошибка_1"))))))),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IF(AND(AH244&gt;'Данные ТНПА'!#REF!,AH244&lt;='Данные ТНПА'!#REF!),'Данные ТНПА'!#REF!,
"ошибка_2"))))))))</f>
        <v>0</v>
      </c>
      <c r="BC244" s="43">
        <f t="shared" si="570"/>
        <v>13.4237</v>
      </c>
      <c r="BD244" s="237">
        <f t="shared" si="571"/>
        <v>0</v>
      </c>
      <c r="BE244" s="43">
        <f t="shared" si="572"/>
        <v>0</v>
      </c>
      <c r="BF244" s="201">
        <f t="shared" si="573"/>
        <v>0</v>
      </c>
      <c r="BG244" s="201">
        <f t="shared" si="574"/>
        <v>0</v>
      </c>
      <c r="BH244" s="61">
        <f t="shared" si="597"/>
        <v>13.4237</v>
      </c>
      <c r="BI244" s="237">
        <f t="shared" si="575"/>
        <v>0</v>
      </c>
      <c r="BJ244" s="247">
        <f t="shared" si="576"/>
        <v>0</v>
      </c>
      <c r="BK244" s="431">
        <f t="shared" si="598"/>
        <v>0</v>
      </c>
      <c r="BL244" s="250">
        <f t="shared" si="599"/>
        <v>0</v>
      </c>
      <c r="BM244" s="237">
        <f t="shared" si="577"/>
        <v>0</v>
      </c>
      <c r="BN244" s="452">
        <f t="shared" si="600"/>
        <v>13.4237</v>
      </c>
      <c r="BO244" s="237">
        <f t="shared" si="578"/>
        <v>0</v>
      </c>
      <c r="BP244" s="432">
        <f t="shared" si="579"/>
        <v>0</v>
      </c>
      <c r="BQ244" s="22" t="str">
        <f t="shared" si="601"/>
        <v/>
      </c>
      <c r="BR244" s="250">
        <f t="shared" si="602"/>
        <v>0</v>
      </c>
      <c r="BS244" s="237">
        <f t="shared" si="580"/>
        <v>0</v>
      </c>
      <c r="BT244" s="452">
        <f t="shared" si="603"/>
        <v>13.4237</v>
      </c>
      <c r="BU244" s="492">
        <f t="shared" si="604"/>
        <v>1.1749999999999998</v>
      </c>
      <c r="BV244" s="493">
        <f>IF(BT244="","",
IF(AND(BT244&gt;'Данные ТНПА'!$K$8,BT244&lt;='Данные ТНПА'!$L$8),'Данные ТНПА'!$N$8,
IF(AND(BT244&gt;'Данные ТНПА'!$K$9,BT244&lt;='Данные ТНПА'!$L$9),'Данные ТНПА'!$N$9,
IF(AND(BT244&gt;'Данные ТНПА'!$K$10,BT244&lt;='Данные ТНПА'!$L$10),'Данные ТНПА'!$N$10,
IF(AND(BT244&gt;'Данные ТНПА'!$K$11,BT244&lt;='Данные ТНПА'!$L$11),'Данные ТНПА'!$N$11,
IF(AND(BT244&gt;'Данные ТНПА'!$K$12,BT244&lt;='Данные ТНПА'!$L$12),'Данные ТНПА'!$N$12,
IF(AND(BT244&gt;'Данные ТНПА'!$K$13,BT244&lt;='Данные ТНПА'!$L$13),'Данные ТНПА'!$N$13,
IF(AND(BT244&gt;'Данные ТНПА'!$K$14,BT244&lt;='Данные ТНПА'!$L$14),'Данные ТНПА'!$N$14))))))))</f>
        <v>1.5</v>
      </c>
      <c r="BW244" s="493">
        <f t="shared" si="582"/>
        <v>16.4237</v>
      </c>
      <c r="BX244" s="457">
        <f t="shared" si="498"/>
        <v>543.78</v>
      </c>
      <c r="BY244" s="457">
        <f t="shared" si="499"/>
        <v>0</v>
      </c>
      <c r="BZ244" s="457">
        <f t="shared" si="500"/>
        <v>108.89323718958084</v>
      </c>
      <c r="CA244" s="457" t="e">
        <f t="shared" si="607"/>
        <v>#REF!</v>
      </c>
      <c r="CB244" s="458">
        <f t="shared" si="584"/>
        <v>0</v>
      </c>
      <c r="CC244" s="457">
        <f t="shared" si="585"/>
        <v>0</v>
      </c>
      <c r="CD244" s="457">
        <f t="shared" si="586"/>
        <v>0</v>
      </c>
      <c r="CE244" s="457">
        <f t="shared" si="587"/>
        <v>0</v>
      </c>
      <c r="CF244" s="457">
        <f t="shared" si="588"/>
        <v>0</v>
      </c>
      <c r="CG244" s="458">
        <f t="shared" si="501"/>
        <v>0</v>
      </c>
      <c r="CH244" s="457">
        <f t="shared" si="589"/>
        <v>0</v>
      </c>
      <c r="CI244" s="457">
        <f t="shared" si="590"/>
        <v>0</v>
      </c>
      <c r="CJ244" s="458">
        <f t="shared" si="591"/>
        <v>0</v>
      </c>
      <c r="CK244" s="458">
        <f t="shared" si="606"/>
        <v>102.39506284508154</v>
      </c>
      <c r="CL244" s="457">
        <f t="shared" si="503"/>
        <v>755.06830003466234</v>
      </c>
      <c r="CM244" s="504"/>
      <c r="CN244" s="504"/>
    </row>
    <row r="245" spans="1:92" ht="14.25" hidden="1" customHeight="1" x14ac:dyDescent="0.25">
      <c r="A245" s="389" t="str">
        <f>IF(D245="",CONCATENATE("Кабель ",IF(C245="а","А",""),$A$9),CONCATENATE("Кабель ",IF(C245="а","А",""),$A$9," ",D245,"*",F245,IF(G245="ок"," (ож)","")," - ",B245," ",IF(G245="мс"," фас. ",""),$A$2))</f>
        <v>Кабель АВВГ 4*2,5 (ож) - 1 ГОСТ 16442-80</v>
      </c>
      <c r="B245" s="450">
        <v>1</v>
      </c>
      <c r="C245" s="451" t="s">
        <v>164</v>
      </c>
      <c r="D245" s="412">
        <v>4</v>
      </c>
      <c r="E245" s="413" t="s">
        <v>40</v>
      </c>
      <c r="F245" s="423">
        <v>2.5</v>
      </c>
      <c r="G245" s="414" t="str">
        <f>IF(I245=1,"ок","мк")</f>
        <v>ок</v>
      </c>
      <c r="H245" s="461">
        <v>1.79</v>
      </c>
      <c r="I245" s="497">
        <v>1</v>
      </c>
      <c r="J245" s="498" t="s">
        <v>40</v>
      </c>
      <c r="K245" s="496">
        <f>ROUNDUP(SQRT(F245/PI()*4),2)</f>
        <v>1.79</v>
      </c>
      <c r="L245" s="501">
        <v>3.57</v>
      </c>
      <c r="M245" s="475"/>
      <c r="N245" s="475"/>
      <c r="O245" s="475"/>
      <c r="P245" s="475"/>
      <c r="Q245" s="483">
        <f t="shared" si="592"/>
        <v>0.62000000000000011</v>
      </c>
      <c r="R245" s="484">
        <f>IF(B245=0.66,VLOOKUP(F245,'Данные ТНПА'!$B$8:$C$16,2,0),
IF(B245=1,VLOOKUP(F245,'Данные ТНПА'!$B$17:$C$37,2,0),"ошибка"))</f>
        <v>0.8</v>
      </c>
      <c r="S245" s="485">
        <f t="shared" si="488"/>
        <v>3.0300000000000002</v>
      </c>
      <c r="T245" s="486"/>
      <c r="U245" s="487"/>
      <c r="V245" s="485">
        <f t="shared" si="489"/>
        <v>3.39</v>
      </c>
      <c r="W245" s="486"/>
      <c r="X245" s="487"/>
      <c r="Y245" s="489">
        <f t="shared" si="490"/>
        <v>0</v>
      </c>
      <c r="Z245" s="491">
        <f t="shared" si="491"/>
        <v>8.1699000000000002</v>
      </c>
      <c r="AA245" s="237">
        <f t="shared" si="492"/>
        <v>0</v>
      </c>
      <c r="AB245" s="452">
        <f t="shared" si="593"/>
        <v>8.1699000000000002</v>
      </c>
      <c r="AC245" s="201">
        <f t="shared" si="493"/>
        <v>0</v>
      </c>
      <c r="AD245" s="203">
        <f t="shared" si="594"/>
        <v>0</v>
      </c>
      <c r="AE245" s="37" t="str">
        <f t="shared" si="494"/>
        <v/>
      </c>
      <c r="AF245" s="202">
        <f t="shared" si="595"/>
        <v>0</v>
      </c>
      <c r="AG245" s="201">
        <f t="shared" si="596"/>
        <v>0</v>
      </c>
      <c r="AH245" s="61">
        <f t="shared" si="495"/>
        <v>8.1699000000000002</v>
      </c>
      <c r="AI245" s="443">
        <f t="shared" si="504"/>
        <v>0</v>
      </c>
      <c r="AJ245" s="444">
        <f t="shared" si="555"/>
        <v>0</v>
      </c>
      <c r="AK245" s="445">
        <f t="shared" si="556"/>
        <v>0</v>
      </c>
      <c r="AL245" s="446">
        <f t="shared" si="557"/>
        <v>0</v>
      </c>
      <c r="AM245" s="447">
        <f t="shared" si="558"/>
        <v>0</v>
      </c>
      <c r="AN245" s="24">
        <f t="shared" si="559"/>
        <v>8.1699000000000002</v>
      </c>
      <c r="AO245" s="443">
        <f t="shared" si="496"/>
        <v>0</v>
      </c>
      <c r="AP245" s="444">
        <f t="shared" si="560"/>
        <v>0</v>
      </c>
      <c r="AQ245" s="445">
        <f t="shared" si="561"/>
        <v>0</v>
      </c>
      <c r="AR245" s="446">
        <f t="shared" si="562"/>
        <v>0</v>
      </c>
      <c r="AS245" s="447">
        <f t="shared" si="563"/>
        <v>0</v>
      </c>
      <c r="AT245" s="24">
        <f t="shared" si="564"/>
        <v>8.1699000000000002</v>
      </c>
      <c r="AU245" s="443">
        <f t="shared" si="497"/>
        <v>0</v>
      </c>
      <c r="AV245" s="444">
        <f t="shared" si="565"/>
        <v>0</v>
      </c>
      <c r="AW245" s="445">
        <f t="shared" si="566"/>
        <v>0</v>
      </c>
      <c r="AX245" s="446">
        <f t="shared" si="567"/>
        <v>0</v>
      </c>
      <c r="AY245" s="447">
        <f t="shared" si="568"/>
        <v>0</v>
      </c>
      <c r="AZ245" s="24">
        <f t="shared" si="569"/>
        <v>8.1699000000000002</v>
      </c>
      <c r="BA245" s="43">
        <f>IF(BB245=0,0,
IF(D245=1,
(IF(AND(AH245&gt;'Данные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"ошибка_1"))))))),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"ошибка_2"))))))))</f>
        <v>0</v>
      </c>
      <c r="BB245" s="43">
        <f>IF(OR($AI$9=0,AND(D245&gt;1,F245&gt;10)),0,
IF(D245=1,
(IF(AND(AH245&gt;'Данные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"ошибка_1"))))))),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IF(AND(AH245&gt;'Данные ТНПА'!#REF!,AH245&lt;='Данные ТНПА'!#REF!),'Данные ТНПА'!#REF!,
"ошибка_2"))))))))</f>
        <v>0</v>
      </c>
      <c r="BC245" s="43">
        <f t="shared" si="570"/>
        <v>8.1699000000000002</v>
      </c>
      <c r="BD245" s="237">
        <f t="shared" si="571"/>
        <v>0</v>
      </c>
      <c r="BE245" s="43">
        <f t="shared" si="572"/>
        <v>0</v>
      </c>
      <c r="BF245" s="201">
        <f t="shared" si="573"/>
        <v>0</v>
      </c>
      <c r="BG245" s="201">
        <f t="shared" si="574"/>
        <v>0</v>
      </c>
      <c r="BH245" s="61">
        <f t="shared" si="597"/>
        <v>8.1699000000000002</v>
      </c>
      <c r="BI245" s="237">
        <f t="shared" si="575"/>
        <v>0</v>
      </c>
      <c r="BJ245" s="247">
        <f t="shared" si="576"/>
        <v>0</v>
      </c>
      <c r="BK245" s="431">
        <f t="shared" si="598"/>
        <v>0</v>
      </c>
      <c r="BL245" s="250">
        <f t="shared" si="599"/>
        <v>0</v>
      </c>
      <c r="BM245" s="237">
        <f t="shared" si="577"/>
        <v>0</v>
      </c>
      <c r="BN245" s="452">
        <f t="shared" si="600"/>
        <v>8.1699000000000002</v>
      </c>
      <c r="BO245" s="237">
        <f t="shared" si="578"/>
        <v>0</v>
      </c>
      <c r="BP245" s="432">
        <f t="shared" si="579"/>
        <v>0</v>
      </c>
      <c r="BQ245" s="22" t="str">
        <f t="shared" si="601"/>
        <v/>
      </c>
      <c r="BR245" s="250">
        <f t="shared" si="602"/>
        <v>0</v>
      </c>
      <c r="BS245" s="237">
        <f t="shared" si="580"/>
        <v>0</v>
      </c>
      <c r="BT245" s="452">
        <f t="shared" si="603"/>
        <v>8.1699000000000002</v>
      </c>
      <c r="BU245" s="492">
        <f t="shared" si="604"/>
        <v>1.1749999999999998</v>
      </c>
      <c r="BV245" s="493">
        <f>IF(BT245="","",
IF(AND(BT245&gt;'Данные ТНПА'!$K$8,BT245&lt;='Данные ТНПА'!$L$8),'Данные ТНПА'!$N$8,
IF(AND(BT245&gt;'Данные ТНПА'!$K$9,BT245&lt;='Данные ТНПА'!$L$9),'Данные ТНПА'!$N$9,
IF(AND(BT245&gt;'Данные ТНПА'!$K$10,BT245&lt;='Данные ТНПА'!$L$10),'Данные ТНПА'!$N$10,
IF(AND(BT245&gt;'Данные ТНПА'!$K$11,BT245&lt;='Данные ТНПА'!$L$11),'Данные ТНПА'!$N$11,
IF(AND(BT245&gt;'Данные ТНПА'!$K$12,BT245&lt;='Данные ТНПА'!$L$12),'Данные ТНПА'!$N$12,
IF(AND(BT245&gt;'Данные ТНПА'!$K$13,BT245&lt;='Данные ТНПА'!$L$13),'Данные ТНПА'!$N$13,
IF(AND(BT245&gt;'Данные ТНПА'!$K$14,BT245&lt;='Данные ТНПА'!$L$14),'Данные ТНПА'!$N$14))))))))</f>
        <v>1.5</v>
      </c>
      <c r="BW245" s="493">
        <f t="shared" si="582"/>
        <v>11.1699</v>
      </c>
      <c r="BX245" s="457">
        <f t="shared" si="498"/>
        <v>27.188999999999997</v>
      </c>
      <c r="BY245" s="457">
        <f t="shared" si="499"/>
        <v>0</v>
      </c>
      <c r="BZ245" s="457">
        <f t="shared" si="500"/>
        <v>35.134508620139442</v>
      </c>
      <c r="CA245" s="457" t="e">
        <f t="shared" si="607"/>
        <v>#REF!</v>
      </c>
      <c r="CB245" s="458">
        <f t="shared" si="584"/>
        <v>0</v>
      </c>
      <c r="CC245" s="457">
        <f t="shared" si="585"/>
        <v>0</v>
      </c>
      <c r="CD245" s="457">
        <f t="shared" si="586"/>
        <v>0</v>
      </c>
      <c r="CE245" s="457">
        <f t="shared" si="587"/>
        <v>0</v>
      </c>
      <c r="CF245" s="457">
        <f t="shared" si="588"/>
        <v>0</v>
      </c>
      <c r="CG245" s="458">
        <f t="shared" si="501"/>
        <v>0</v>
      </c>
      <c r="CH245" s="457">
        <f t="shared" si="589"/>
        <v>0</v>
      </c>
      <c r="CI245" s="457">
        <f t="shared" si="590"/>
        <v>0</v>
      </c>
      <c r="CJ245" s="458">
        <f t="shared" si="591"/>
        <v>0</v>
      </c>
      <c r="CK245" s="458">
        <f t="shared" si="606"/>
        <v>66.347488773270314</v>
      </c>
      <c r="CL245" s="457">
        <f t="shared" si="503"/>
        <v>128.67099739340975</v>
      </c>
      <c r="CM245" s="504"/>
      <c r="CN245" s="504"/>
    </row>
    <row r="246" spans="1:92" ht="14.25" hidden="1" customHeight="1" x14ac:dyDescent="0.25">
      <c r="A246" s="389" t="str">
        <f>IF(D246="",CONCATENATE("Кабель ",IF(C246="а","А",""),$A$9),CONCATENATE("Кабель ",IF(C246="а","А",""),$A$9," ",D246,"*",F246,IF(G246="ок"," (ож)","")," - ",B246," ",IF(G246="мс"," фас. ",""),$A$2))</f>
        <v>Кабель АВВГ 4*4 (ож) - 1 ГОСТ 16442-80</v>
      </c>
      <c r="B246" s="450">
        <v>1</v>
      </c>
      <c r="C246" s="451" t="s">
        <v>164</v>
      </c>
      <c r="D246" s="412">
        <v>4</v>
      </c>
      <c r="E246" s="413" t="s">
        <v>40</v>
      </c>
      <c r="F246" s="423">
        <v>4</v>
      </c>
      <c r="G246" s="414" t="str">
        <f>IF(I246=1,"ок","мк")</f>
        <v>ок</v>
      </c>
      <c r="H246" s="461">
        <v>2.2599999999999998</v>
      </c>
      <c r="I246" s="497">
        <v>1</v>
      </c>
      <c r="J246" s="498" t="s">
        <v>40</v>
      </c>
      <c r="K246" s="496">
        <f>ROUNDUP(SQRT(F246/PI()*4),2)</f>
        <v>2.2599999999999998</v>
      </c>
      <c r="L246" s="501">
        <v>4.5199999999999996</v>
      </c>
      <c r="M246" s="475"/>
      <c r="N246" s="475"/>
      <c r="O246" s="475"/>
      <c r="P246" s="475"/>
      <c r="Q246" s="483">
        <f t="shared" si="592"/>
        <v>0.8</v>
      </c>
      <c r="R246" s="484">
        <f>IF(B246=0.66,VLOOKUP(F246,'Данные ТНПА'!$B$8:$C$16,2,0),
IF(B246=1,VLOOKUP(F246,'Данные ТНПА'!$B$17:$C$37,2,0),"ошибка"))</f>
        <v>1</v>
      </c>
      <c r="S246" s="485">
        <f t="shared" si="488"/>
        <v>3.86</v>
      </c>
      <c r="T246" s="486"/>
      <c r="U246" s="487"/>
      <c r="V246" s="485">
        <f t="shared" si="489"/>
        <v>4.26</v>
      </c>
      <c r="W246" s="486"/>
      <c r="X246" s="487"/>
      <c r="Y246" s="489">
        <f t="shared" si="490"/>
        <v>0</v>
      </c>
      <c r="Z246" s="491">
        <f t="shared" si="491"/>
        <v>10.2666</v>
      </c>
      <c r="AA246" s="237">
        <f t="shared" si="492"/>
        <v>0</v>
      </c>
      <c r="AB246" s="452">
        <f t="shared" si="593"/>
        <v>10.2666</v>
      </c>
      <c r="AC246" s="201">
        <f t="shared" si="493"/>
        <v>0</v>
      </c>
      <c r="AD246" s="203">
        <f t="shared" si="594"/>
        <v>0</v>
      </c>
      <c r="AE246" s="37" t="str">
        <f t="shared" si="494"/>
        <v/>
      </c>
      <c r="AF246" s="202">
        <f t="shared" si="595"/>
        <v>0</v>
      </c>
      <c r="AG246" s="201">
        <f t="shared" si="596"/>
        <v>0</v>
      </c>
      <c r="AH246" s="61">
        <f t="shared" si="495"/>
        <v>10.2666</v>
      </c>
      <c r="AI246" s="443">
        <f t="shared" si="504"/>
        <v>0</v>
      </c>
      <c r="AJ246" s="444">
        <f t="shared" si="555"/>
        <v>0</v>
      </c>
      <c r="AK246" s="445">
        <f t="shared" si="556"/>
        <v>0</v>
      </c>
      <c r="AL246" s="446">
        <f t="shared" si="557"/>
        <v>0</v>
      </c>
      <c r="AM246" s="447">
        <f t="shared" si="558"/>
        <v>0</v>
      </c>
      <c r="AN246" s="24">
        <f t="shared" si="559"/>
        <v>10.2666</v>
      </c>
      <c r="AO246" s="443">
        <f t="shared" si="496"/>
        <v>0</v>
      </c>
      <c r="AP246" s="444">
        <f t="shared" si="560"/>
        <v>0</v>
      </c>
      <c r="AQ246" s="445">
        <f t="shared" si="561"/>
        <v>0</v>
      </c>
      <c r="AR246" s="446">
        <f t="shared" si="562"/>
        <v>0</v>
      </c>
      <c r="AS246" s="447">
        <f t="shared" si="563"/>
        <v>0</v>
      </c>
      <c r="AT246" s="24">
        <f t="shared" si="564"/>
        <v>10.2666</v>
      </c>
      <c r="AU246" s="443">
        <f t="shared" si="497"/>
        <v>0</v>
      </c>
      <c r="AV246" s="444">
        <f t="shared" si="565"/>
        <v>0</v>
      </c>
      <c r="AW246" s="445">
        <f t="shared" si="566"/>
        <v>0</v>
      </c>
      <c r="AX246" s="446">
        <f t="shared" si="567"/>
        <v>0</v>
      </c>
      <c r="AY246" s="447">
        <f t="shared" si="568"/>
        <v>0</v>
      </c>
      <c r="AZ246" s="24">
        <f t="shared" si="569"/>
        <v>10.2666</v>
      </c>
      <c r="BA246" s="43">
        <f>IF(BB246=0,0,
IF(D246=1,
(IF(AND(AH246&gt;'Данные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"ошибка_1"))))))),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"ошибка_2"))))))))</f>
        <v>0</v>
      </c>
      <c r="BB246" s="43">
        <f>IF(OR($AI$9=0,AND(D246&gt;1,F246&gt;10)),0,
IF(D246=1,
(IF(AND(AH246&gt;'Данные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"ошибка_1"))))))),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IF(AND(AH246&gt;'Данные ТНПА'!#REF!,AH246&lt;='Данные ТНПА'!#REF!),'Данные ТНПА'!#REF!,
"ошибка_2"))))))))</f>
        <v>0</v>
      </c>
      <c r="BC246" s="43">
        <f t="shared" si="570"/>
        <v>10.2666</v>
      </c>
      <c r="BD246" s="237">
        <f t="shared" ref="BD246:BD261" si="608">IF(BC246="","",
IF(BC246=0,0,$BD$9))</f>
        <v>0</v>
      </c>
      <c r="BE246" s="43">
        <f t="shared" si="572"/>
        <v>0</v>
      </c>
      <c r="BF246" s="201">
        <f t="shared" si="573"/>
        <v>0</v>
      </c>
      <c r="BG246" s="201">
        <f t="shared" si="574"/>
        <v>0</v>
      </c>
      <c r="BH246" s="61">
        <f t="shared" si="597"/>
        <v>10.2666</v>
      </c>
      <c r="BI246" s="237">
        <f t="shared" si="575"/>
        <v>0</v>
      </c>
      <c r="BJ246" s="247">
        <f t="shared" si="576"/>
        <v>0</v>
      </c>
      <c r="BK246" s="431">
        <f t="shared" si="598"/>
        <v>0</v>
      </c>
      <c r="BL246" s="250">
        <f t="shared" si="599"/>
        <v>0</v>
      </c>
      <c r="BM246" s="237">
        <f t="shared" ref="BM246:BM261" si="609">IF(BL246="","",$BM$9)</f>
        <v>0</v>
      </c>
      <c r="BN246" s="452">
        <f t="shared" si="600"/>
        <v>10.2666</v>
      </c>
      <c r="BO246" s="237">
        <f t="shared" ref="BO246:BO261" si="610">IF(BN246="","",$BO$9)</f>
        <v>0</v>
      </c>
      <c r="BP246" s="432">
        <f t="shared" ref="BP246:BP261" si="611">IF(BO246="","",IF(BO246&gt;0,$BP$9,0))</f>
        <v>0</v>
      </c>
      <c r="BQ246" s="22" t="str">
        <f t="shared" si="601"/>
        <v/>
      </c>
      <c r="BR246" s="250">
        <f t="shared" si="602"/>
        <v>0</v>
      </c>
      <c r="BS246" s="237">
        <f t="shared" si="580"/>
        <v>0</v>
      </c>
      <c r="BT246" s="452">
        <f t="shared" si="603"/>
        <v>10.2666</v>
      </c>
      <c r="BU246" s="492">
        <f t="shared" si="604"/>
        <v>1.1749999999999998</v>
      </c>
      <c r="BV246" s="493">
        <f>IF(BT246="","",
IF(AND(BT246&gt;'Данные ТНПА'!$K$8,BT246&lt;='Данные ТНПА'!$L$8),'Данные ТНПА'!$N$8,
IF(AND(BT246&gt;'Данные ТНПА'!$K$9,BT246&lt;='Данные ТНПА'!$L$9),'Данные ТНПА'!$N$9,
IF(AND(BT246&gt;'Данные ТНПА'!$K$10,BT246&lt;='Данные ТНПА'!$L$10),'Данные ТНПА'!$N$10,
IF(AND(BT246&gt;'Данные ТНПА'!$K$11,BT246&lt;='Данные ТНПА'!$L$11),'Данные ТНПА'!$N$11,
IF(AND(BT246&gt;'Данные ТНПА'!$K$12,BT246&lt;='Данные ТНПА'!$L$12),'Данные ТНПА'!$N$12,
IF(AND(BT246&gt;'Данные ТНПА'!$K$13,BT246&lt;='Данные ТНПА'!$L$13),'Данные ТНПА'!$N$13,
IF(AND(BT246&gt;'Данные ТНПА'!$K$14,BT246&lt;='Данные ТНПА'!$L$14),'Данные ТНПА'!$N$14))))))))</f>
        <v>1.5</v>
      </c>
      <c r="BW246" s="493">
        <f t="shared" si="582"/>
        <v>13.2666</v>
      </c>
      <c r="BX246" s="457">
        <f t="shared" si="498"/>
        <v>43.502400000000002</v>
      </c>
      <c r="BY246" s="457">
        <f t="shared" si="499"/>
        <v>0</v>
      </c>
      <c r="BZ246" s="457">
        <f t="shared" si="500"/>
        <v>55.279197925508967</v>
      </c>
      <c r="CA246" s="457" t="e">
        <f t="shared" si="607"/>
        <v>#REF!</v>
      </c>
      <c r="CB246" s="458">
        <f t="shared" si="584"/>
        <v>0</v>
      </c>
      <c r="CC246" s="457">
        <f t="shared" si="585"/>
        <v>0</v>
      </c>
      <c r="CD246" s="457">
        <f t="shared" si="586"/>
        <v>0</v>
      </c>
      <c r="CE246" s="457">
        <f t="shared" si="587"/>
        <v>0</v>
      </c>
      <c r="CF246" s="457">
        <f t="shared" si="588"/>
        <v>0</v>
      </c>
      <c r="CG246" s="458">
        <f t="shared" si="501"/>
        <v>0</v>
      </c>
      <c r="CH246" s="457">
        <f t="shared" ref="CH246:CH261" si="612">IF(BE246="","",
IF(BD246=0,0,
PI()*(BC246+BD246*BE246)*BD246*BE246*$CH$9*ROUND(100/(100-BG246),2)))</f>
        <v>0</v>
      </c>
      <c r="CI246" s="457">
        <f t="shared" ref="CI246:CI261" si="613">IF(BH246="","",
PI()*(BH246+BI246*BJ246)*BI246*BJ246*$CI$9*ROUND(100/(100+BM246),2))</f>
        <v>0</v>
      </c>
      <c r="CJ246" s="458">
        <f t="shared" ref="CJ246:CJ261" si="614">IF(BO246="","",PI()*(BN246+BO246*BP246)*BO246*BP246*$CJ$9*ROUND(100/(100-BS246),2))</f>
        <v>0</v>
      </c>
      <c r="CK246" s="458">
        <f t="shared" si="606"/>
        <v>80.733447233121566</v>
      </c>
      <c r="CL246" s="457">
        <f t="shared" si="503"/>
        <v>179.51504515863053</v>
      </c>
      <c r="CM246" s="504"/>
      <c r="CN246" s="504"/>
    </row>
    <row r="247" spans="1:92" ht="14.25" hidden="1" customHeight="1" x14ac:dyDescent="0.25">
      <c r="A247" s="389" t="str">
        <f>IF(D247="",CONCATENATE("Кабель ",IF(C247="а","А",""),$A$9),CONCATENATE("Кабель ",IF(C247="а","А",""),$A$9," ",D247,"*",F247,IF(G247="ок"," (ож)","")," - ",B247," ",IF(G247="мс"," фас. ",""),$A$2))</f>
        <v>Кабель АВВГ 4*6 (ож) - 1 ГОСТ 16442-80</v>
      </c>
      <c r="B247" s="450">
        <v>1</v>
      </c>
      <c r="C247" s="451" t="s">
        <v>164</v>
      </c>
      <c r="D247" s="412">
        <v>4</v>
      </c>
      <c r="E247" s="413" t="s">
        <v>40</v>
      </c>
      <c r="F247" s="423">
        <v>6</v>
      </c>
      <c r="G247" s="414" t="str">
        <f>IF(I247=1,"ок","мк")</f>
        <v>ок</v>
      </c>
      <c r="H247" s="461">
        <v>2.7699999999999996</v>
      </c>
      <c r="I247" s="497">
        <v>1</v>
      </c>
      <c r="J247" s="498" t="s">
        <v>40</v>
      </c>
      <c r="K247" s="496">
        <f>ROUNDUP(SQRT(F247/PI()*4),2)</f>
        <v>2.7699999999999996</v>
      </c>
      <c r="L247" s="501">
        <v>5.6499999999999995</v>
      </c>
      <c r="M247" s="475"/>
      <c r="N247" s="475"/>
      <c r="O247" s="475"/>
      <c r="P247" s="475"/>
      <c r="Q247" s="483">
        <f t="shared" si="592"/>
        <v>0.8</v>
      </c>
      <c r="R247" s="484">
        <f>IF(B247=0.66,VLOOKUP(F247,'Данные ТНПА'!$B$8:$C$16,2,0),
IF(B247=1,VLOOKUP(F247,'Данные ТНПА'!$B$17:$C$37,2,0),"ошибка"))</f>
        <v>1</v>
      </c>
      <c r="S247" s="485">
        <f t="shared" si="488"/>
        <v>4.3699999999999992</v>
      </c>
      <c r="T247" s="486"/>
      <c r="U247" s="487"/>
      <c r="V247" s="485">
        <f t="shared" si="489"/>
        <v>4.7699999999999996</v>
      </c>
      <c r="W247" s="486"/>
      <c r="X247" s="487"/>
      <c r="Y247" s="489">
        <f t="shared" si="490"/>
        <v>0</v>
      </c>
      <c r="Z247" s="491">
        <f t="shared" si="491"/>
        <v>11.495699999999999</v>
      </c>
      <c r="AA247" s="237">
        <f t="shared" si="492"/>
        <v>0</v>
      </c>
      <c r="AB247" s="452">
        <f t="shared" si="593"/>
        <v>11.495699999999999</v>
      </c>
      <c r="AC247" s="201">
        <f t="shared" si="493"/>
        <v>0</v>
      </c>
      <c r="AD247" s="203">
        <f t="shared" si="594"/>
        <v>0</v>
      </c>
      <c r="AE247" s="37" t="str">
        <f t="shared" si="494"/>
        <v/>
      </c>
      <c r="AF247" s="202">
        <f t="shared" si="595"/>
        <v>0</v>
      </c>
      <c r="AG247" s="201">
        <f t="shared" si="596"/>
        <v>0</v>
      </c>
      <c r="AH247" s="61">
        <f t="shared" si="495"/>
        <v>11.495699999999999</v>
      </c>
      <c r="AI247" s="443">
        <f t="shared" si="504"/>
        <v>0</v>
      </c>
      <c r="AJ247" s="444">
        <f t="shared" si="555"/>
        <v>0</v>
      </c>
      <c r="AK247" s="445">
        <f t="shared" si="556"/>
        <v>0</v>
      </c>
      <c r="AL247" s="446">
        <f t="shared" si="557"/>
        <v>0</v>
      </c>
      <c r="AM247" s="447">
        <f t="shared" si="558"/>
        <v>0</v>
      </c>
      <c r="AN247" s="24">
        <f t="shared" si="559"/>
        <v>11.495699999999999</v>
      </c>
      <c r="AO247" s="443">
        <f t="shared" si="496"/>
        <v>0</v>
      </c>
      <c r="AP247" s="444">
        <f t="shared" si="560"/>
        <v>0</v>
      </c>
      <c r="AQ247" s="445">
        <f t="shared" si="561"/>
        <v>0</v>
      </c>
      <c r="AR247" s="446">
        <f t="shared" si="562"/>
        <v>0</v>
      </c>
      <c r="AS247" s="447">
        <f t="shared" si="563"/>
        <v>0</v>
      </c>
      <c r="AT247" s="24">
        <f t="shared" si="564"/>
        <v>11.495699999999999</v>
      </c>
      <c r="AU247" s="443">
        <f t="shared" si="497"/>
        <v>0</v>
      </c>
      <c r="AV247" s="444">
        <f t="shared" si="565"/>
        <v>0</v>
      </c>
      <c r="AW247" s="445">
        <f t="shared" si="566"/>
        <v>0</v>
      </c>
      <c r="AX247" s="446">
        <f t="shared" si="567"/>
        <v>0</v>
      </c>
      <c r="AY247" s="447">
        <f t="shared" si="568"/>
        <v>0</v>
      </c>
      <c r="AZ247" s="24">
        <f t="shared" si="569"/>
        <v>11.495699999999999</v>
      </c>
      <c r="BA247" s="43">
        <f>IF(BB247=0,0,
IF(D247=1,
(IF(AND(AH247&gt;'Данные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"ошибка_1"))))))),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"ошибка_2"))))))))</f>
        <v>0</v>
      </c>
      <c r="BB247" s="43">
        <f>IF(OR($AI$9=0,AND(D247&gt;1,F247&gt;10)),0,
IF(D247=1,
(IF(AND(AH247&gt;'Данные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"ошибка_1"))))))),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IF(AND(AH247&gt;'Данные ТНПА'!#REF!,AH247&lt;='Данные ТНПА'!#REF!),'Данные ТНПА'!#REF!,
"ошибка_2"))))))))</f>
        <v>0</v>
      </c>
      <c r="BC247" s="43">
        <f t="shared" si="570"/>
        <v>11.495699999999999</v>
      </c>
      <c r="BD247" s="237">
        <f t="shared" si="608"/>
        <v>0</v>
      </c>
      <c r="BE247" s="43">
        <f t="shared" si="572"/>
        <v>0</v>
      </c>
      <c r="BF247" s="201">
        <f t="shared" si="573"/>
        <v>0</v>
      </c>
      <c r="BG247" s="201">
        <f t="shared" si="574"/>
        <v>0</v>
      </c>
      <c r="BH247" s="61">
        <f t="shared" si="597"/>
        <v>11.495699999999999</v>
      </c>
      <c r="BI247" s="237">
        <f t="shared" si="575"/>
        <v>0</v>
      </c>
      <c r="BJ247" s="247">
        <f t="shared" si="576"/>
        <v>0</v>
      </c>
      <c r="BK247" s="431">
        <f t="shared" si="598"/>
        <v>0</v>
      </c>
      <c r="BL247" s="250">
        <f t="shared" si="599"/>
        <v>0</v>
      </c>
      <c r="BM247" s="237">
        <f t="shared" si="609"/>
        <v>0</v>
      </c>
      <c r="BN247" s="452">
        <f t="shared" si="600"/>
        <v>11.495699999999999</v>
      </c>
      <c r="BO247" s="237">
        <f t="shared" si="610"/>
        <v>0</v>
      </c>
      <c r="BP247" s="432">
        <f t="shared" si="611"/>
        <v>0</v>
      </c>
      <c r="BQ247" s="22" t="str">
        <f t="shared" si="601"/>
        <v/>
      </c>
      <c r="BR247" s="250">
        <f t="shared" si="602"/>
        <v>0</v>
      </c>
      <c r="BS247" s="237">
        <f t="shared" si="580"/>
        <v>0</v>
      </c>
      <c r="BT247" s="452">
        <f t="shared" si="603"/>
        <v>11.495699999999999</v>
      </c>
      <c r="BU247" s="492">
        <f t="shared" si="604"/>
        <v>1.1749999999999998</v>
      </c>
      <c r="BV247" s="493">
        <f>IF(BT247="","",
IF(AND(BT247&gt;'Данные ТНПА'!$K$8,BT247&lt;='Данные ТНПА'!$L$8),'Данные ТНПА'!$N$8,
IF(AND(BT247&gt;'Данные ТНПА'!$K$9,BT247&lt;='Данные ТНПА'!$L$9),'Данные ТНПА'!$N$9,
IF(AND(BT247&gt;'Данные ТНПА'!$K$10,BT247&lt;='Данные ТНПА'!$L$10),'Данные ТНПА'!$N$10,
IF(AND(BT247&gt;'Данные ТНПА'!$K$11,BT247&lt;='Данные ТНПА'!$L$11),'Данные ТНПА'!$N$11,
IF(AND(BT247&gt;'Данные ТНПА'!$K$12,BT247&lt;='Данные ТНПА'!$L$12),'Данные ТНПА'!$N$12,
IF(AND(BT247&gt;'Данные ТНПА'!$K$13,BT247&lt;='Данные ТНПА'!$L$13),'Данные ТНПА'!$N$13,
IF(AND(BT247&gt;'Данные ТНПА'!$K$14,BT247&lt;='Данные ТНПА'!$L$14),'Данные ТНПА'!$N$14))))))))</f>
        <v>1.5</v>
      </c>
      <c r="BW247" s="493">
        <f t="shared" si="582"/>
        <v>14.495699999999999</v>
      </c>
      <c r="BX247" s="457">
        <f t="shared" si="498"/>
        <v>65.253600000000006</v>
      </c>
      <c r="BY247" s="457">
        <f t="shared" si="499"/>
        <v>0</v>
      </c>
      <c r="BZ247" s="457">
        <f t="shared" si="500"/>
        <v>63.927170607106994</v>
      </c>
      <c r="CA247" s="457" t="e">
        <f t="shared" si="607"/>
        <v>#REF!</v>
      </c>
      <c r="CB247" s="458">
        <f t="shared" si="584"/>
        <v>0</v>
      </c>
      <c r="CC247" s="457">
        <f t="shared" si="585"/>
        <v>0</v>
      </c>
      <c r="CD247" s="457">
        <f t="shared" si="586"/>
        <v>0</v>
      </c>
      <c r="CE247" s="457">
        <f t="shared" si="587"/>
        <v>0</v>
      </c>
      <c r="CF247" s="457">
        <f t="shared" si="588"/>
        <v>0</v>
      </c>
      <c r="CG247" s="458">
        <f t="shared" si="501"/>
        <v>0</v>
      </c>
      <c r="CH247" s="457">
        <f t="shared" si="612"/>
        <v>0</v>
      </c>
      <c r="CI247" s="457">
        <f t="shared" si="613"/>
        <v>0</v>
      </c>
      <c r="CJ247" s="458">
        <f t="shared" si="614"/>
        <v>0</v>
      </c>
      <c r="CK247" s="458">
        <f t="shared" si="606"/>
        <v>89.166595295793016</v>
      </c>
      <c r="CL247" s="457">
        <f t="shared" si="503"/>
        <v>218.34736590290004</v>
      </c>
      <c r="CM247" s="504"/>
      <c r="CN247" s="504"/>
    </row>
    <row r="248" spans="1:92" ht="14.25" hidden="1" customHeight="1" x14ac:dyDescent="0.25">
      <c r="A248" s="389" t="str">
        <f>IF(D248="",CONCATENATE("Кабель ",IF(C248="а","А",""),$A$9),CONCATENATE("Кабель ",IF(C248="а","А",""),$A$9," ",D248,"*",F248,IF(G248="ок"," (ож)","")," - ",B248," ",IF(G248="мс"," фас. ",""),$A$2))</f>
        <v>Кабель АВВГ 4*10 (ож) - 1 ГОСТ 16442-80</v>
      </c>
      <c r="B248" s="450">
        <v>1</v>
      </c>
      <c r="C248" s="451" t="s">
        <v>164</v>
      </c>
      <c r="D248" s="412">
        <v>4</v>
      </c>
      <c r="E248" s="413" t="s">
        <v>40</v>
      </c>
      <c r="F248" s="423">
        <v>10</v>
      </c>
      <c r="G248" s="414" t="str">
        <f>IF(I248=1,"ок","мк")</f>
        <v>ок</v>
      </c>
      <c r="H248" s="461">
        <v>3.57</v>
      </c>
      <c r="I248" s="497">
        <v>1</v>
      </c>
      <c r="J248" s="498" t="s">
        <v>40</v>
      </c>
      <c r="K248" s="496">
        <f>ROUNDUP(SQRT(F248/PI()*4),2)</f>
        <v>3.57</v>
      </c>
      <c r="L248" s="501">
        <v>6.68</v>
      </c>
      <c r="M248" s="475"/>
      <c r="N248" s="475"/>
      <c r="O248" s="475"/>
      <c r="P248" s="475"/>
      <c r="Q248" s="483">
        <f t="shared" si="592"/>
        <v>0.8</v>
      </c>
      <c r="R248" s="484">
        <f>IF(B248=0.66,VLOOKUP(F248,'Данные ТНПА'!$B$8:$C$16,2,0),
IF(B248=1,VLOOKUP(F248,'Данные ТНПА'!$B$17:$C$37,2,0),"ошибка"))</f>
        <v>1</v>
      </c>
      <c r="S248" s="485">
        <f t="shared" si="488"/>
        <v>5.17</v>
      </c>
      <c r="T248" s="486"/>
      <c r="U248" s="487"/>
      <c r="V248" s="485">
        <f t="shared" si="489"/>
        <v>5.57</v>
      </c>
      <c r="W248" s="486"/>
      <c r="X248" s="487"/>
      <c r="Y248" s="489">
        <f t="shared" si="490"/>
        <v>0</v>
      </c>
      <c r="Z248" s="491">
        <f t="shared" si="491"/>
        <v>13.423700000000002</v>
      </c>
      <c r="AA248" s="237">
        <f t="shared" si="492"/>
        <v>0</v>
      </c>
      <c r="AB248" s="452">
        <f t="shared" si="593"/>
        <v>13.423700000000002</v>
      </c>
      <c r="AC248" s="201">
        <f t="shared" si="493"/>
        <v>0</v>
      </c>
      <c r="AD248" s="203">
        <f t="shared" si="594"/>
        <v>0</v>
      </c>
      <c r="AE248" s="37" t="str">
        <f t="shared" si="494"/>
        <v/>
      </c>
      <c r="AF248" s="202">
        <f t="shared" si="595"/>
        <v>0</v>
      </c>
      <c r="AG248" s="201">
        <f t="shared" si="596"/>
        <v>0</v>
      </c>
      <c r="AH248" s="61">
        <f t="shared" si="495"/>
        <v>13.423700000000002</v>
      </c>
      <c r="AI248" s="443">
        <f t="shared" si="504"/>
        <v>0</v>
      </c>
      <c r="AJ248" s="444">
        <f t="shared" si="555"/>
        <v>0</v>
      </c>
      <c r="AK248" s="445">
        <f t="shared" si="556"/>
        <v>0</v>
      </c>
      <c r="AL248" s="446">
        <f t="shared" si="557"/>
        <v>0</v>
      </c>
      <c r="AM248" s="447">
        <f t="shared" si="558"/>
        <v>0</v>
      </c>
      <c r="AN248" s="24">
        <f t="shared" si="559"/>
        <v>13.423700000000002</v>
      </c>
      <c r="AO248" s="443">
        <f t="shared" si="496"/>
        <v>0</v>
      </c>
      <c r="AP248" s="444">
        <f t="shared" si="560"/>
        <v>0</v>
      </c>
      <c r="AQ248" s="445">
        <f t="shared" si="561"/>
        <v>0</v>
      </c>
      <c r="AR248" s="446">
        <f t="shared" si="562"/>
        <v>0</v>
      </c>
      <c r="AS248" s="447">
        <f t="shared" si="563"/>
        <v>0</v>
      </c>
      <c r="AT248" s="24">
        <f t="shared" si="564"/>
        <v>13.423700000000002</v>
      </c>
      <c r="AU248" s="443">
        <f t="shared" si="497"/>
        <v>0</v>
      </c>
      <c r="AV248" s="444">
        <f t="shared" si="565"/>
        <v>0</v>
      </c>
      <c r="AW248" s="445">
        <f t="shared" si="566"/>
        <v>0</v>
      </c>
      <c r="AX248" s="446">
        <f t="shared" si="567"/>
        <v>0</v>
      </c>
      <c r="AY248" s="447">
        <f t="shared" si="568"/>
        <v>0</v>
      </c>
      <c r="AZ248" s="24">
        <f t="shared" si="569"/>
        <v>13.423700000000002</v>
      </c>
      <c r="BA248" s="43">
        <f>IF(BB248=0,0,
IF(D248=1,
(IF(AND(AH248&gt;'Данные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"ошибка_1"))))))),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"ошибка_2"))))))))</f>
        <v>0</v>
      </c>
      <c r="BB248" s="43">
        <f>IF(OR($AI$9=0,AND(D248&gt;1,F248&gt;10)),0,
IF(D248=1,
(IF(AND(AH248&gt;'Данные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"ошибка_1"))))))),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IF(AND(AH248&gt;'Данные ТНПА'!#REF!,AH248&lt;='Данные ТНПА'!#REF!),'Данные ТНПА'!#REF!,
"ошибка_2"))))))))</f>
        <v>0</v>
      </c>
      <c r="BC248" s="43">
        <f t="shared" si="570"/>
        <v>13.423700000000002</v>
      </c>
      <c r="BD248" s="237">
        <f t="shared" si="608"/>
        <v>0</v>
      </c>
      <c r="BE248" s="43">
        <f t="shared" si="572"/>
        <v>0</v>
      </c>
      <c r="BF248" s="201">
        <f t="shared" si="573"/>
        <v>0</v>
      </c>
      <c r="BG248" s="201">
        <f t="shared" si="574"/>
        <v>0</v>
      </c>
      <c r="BH248" s="61">
        <f t="shared" si="597"/>
        <v>13.423700000000002</v>
      </c>
      <c r="BI248" s="237">
        <f t="shared" si="575"/>
        <v>0</v>
      </c>
      <c r="BJ248" s="247">
        <f t="shared" si="576"/>
        <v>0</v>
      </c>
      <c r="BK248" s="431">
        <f t="shared" si="598"/>
        <v>0</v>
      </c>
      <c r="BL248" s="250">
        <f t="shared" si="599"/>
        <v>0</v>
      </c>
      <c r="BM248" s="237">
        <f t="shared" si="609"/>
        <v>0</v>
      </c>
      <c r="BN248" s="452">
        <f t="shared" si="600"/>
        <v>13.423700000000002</v>
      </c>
      <c r="BO248" s="237">
        <f t="shared" si="610"/>
        <v>0</v>
      </c>
      <c r="BP248" s="432">
        <f t="shared" si="611"/>
        <v>0</v>
      </c>
      <c r="BQ248" s="22" t="str">
        <f t="shared" si="601"/>
        <v/>
      </c>
      <c r="BR248" s="250">
        <f t="shared" si="602"/>
        <v>0</v>
      </c>
      <c r="BS248" s="237">
        <f t="shared" si="580"/>
        <v>0</v>
      </c>
      <c r="BT248" s="452">
        <f t="shared" si="603"/>
        <v>13.423700000000002</v>
      </c>
      <c r="BU248" s="492">
        <f t="shared" si="604"/>
        <v>1.1749999999999998</v>
      </c>
      <c r="BV248" s="493">
        <f>IF(BT248="","",
IF(AND(BT248&gt;'Данные ТНПА'!$K$8,BT248&lt;='Данные ТНПА'!$L$8),'Данные ТНПА'!$N$8,
IF(AND(BT248&gt;'Данные ТНПА'!$K$9,BT248&lt;='Данные ТНПА'!$L$9),'Данные ТНПА'!$N$9,
IF(AND(BT248&gt;'Данные ТНПА'!$K$10,BT248&lt;='Данные ТНПА'!$L$10),'Данные ТНПА'!$N$10,
IF(AND(BT248&gt;'Данные ТНПА'!$K$11,BT248&lt;='Данные ТНПА'!$L$11),'Данные ТНПА'!$N$11,
IF(AND(BT248&gt;'Данные ТНПА'!$K$12,BT248&lt;='Данные ТНПА'!$L$12),'Данные ТНПА'!$N$12,
IF(AND(BT248&gt;'Данные ТНПА'!$K$13,BT248&lt;='Данные ТНПА'!$L$13),'Данные ТНПА'!$N$13,
IF(AND(BT248&gt;'Данные ТНПА'!$K$14,BT248&lt;='Данные ТНПА'!$L$14),'Данные ТНПА'!$N$14))))))))</f>
        <v>1.5</v>
      </c>
      <c r="BW248" s="493">
        <f t="shared" si="582"/>
        <v>16.423700000000004</v>
      </c>
      <c r="BX248" s="457">
        <f t="shared" si="498"/>
        <v>108.75599999999999</v>
      </c>
      <c r="BY248" s="457">
        <f t="shared" si="499"/>
        <v>0</v>
      </c>
      <c r="BZ248" s="457">
        <f t="shared" si="500"/>
        <v>77.492617950790191</v>
      </c>
      <c r="CA248" s="457" t="e">
        <f t="shared" si="607"/>
        <v>#REF!</v>
      </c>
      <c r="CB248" s="458">
        <f t="shared" si="584"/>
        <v>0</v>
      </c>
      <c r="CC248" s="457">
        <f t="shared" si="585"/>
        <v>0</v>
      </c>
      <c r="CD248" s="457">
        <f t="shared" si="586"/>
        <v>0</v>
      </c>
      <c r="CE248" s="457">
        <f t="shared" si="587"/>
        <v>0</v>
      </c>
      <c r="CF248" s="457">
        <f t="shared" si="588"/>
        <v>0</v>
      </c>
      <c r="CG248" s="458">
        <f t="shared" si="501"/>
        <v>0</v>
      </c>
      <c r="CH248" s="457">
        <f t="shared" si="612"/>
        <v>0</v>
      </c>
      <c r="CI248" s="457">
        <f t="shared" si="613"/>
        <v>0</v>
      </c>
      <c r="CJ248" s="458">
        <f t="shared" si="614"/>
        <v>0</v>
      </c>
      <c r="CK248" s="458">
        <f t="shared" si="606"/>
        <v>102.39506284508154</v>
      </c>
      <c r="CL248" s="457">
        <f t="shared" si="503"/>
        <v>288.64368079587172</v>
      </c>
      <c r="CM248" s="504"/>
      <c r="CN248" s="504"/>
    </row>
    <row r="249" spans="1:92" ht="14.25" hidden="1" customHeight="1" x14ac:dyDescent="0.25">
      <c r="A249" s="389" t="str">
        <f>IF(D249="",CONCATENATE("Кабель ",IF(C249="а","А",""),$A$9),CONCATENATE("Кабель ",IF(C249="а","А",""),$A$9," ",D249,"*",F249,IF(G249="ок"," (ож)","")," - ",B249," ",IF(G249="мс"," фас. ",""),$A$2))</f>
        <v>Кабель АВВГ 4*16 (ож) - 1 ГОСТ 16442-80</v>
      </c>
      <c r="B249" s="450">
        <v>1</v>
      </c>
      <c r="C249" s="451" t="s">
        <v>164</v>
      </c>
      <c r="D249" s="412">
        <v>4</v>
      </c>
      <c r="E249" s="413" t="s">
        <v>40</v>
      </c>
      <c r="F249" s="423">
        <v>16</v>
      </c>
      <c r="G249" s="414" t="str">
        <f>IF(I249=1,"ок","мк")</f>
        <v>ок</v>
      </c>
      <c r="H249" s="461">
        <v>4.5199999999999996</v>
      </c>
      <c r="I249" s="497">
        <v>1</v>
      </c>
      <c r="J249" s="498" t="s">
        <v>40</v>
      </c>
      <c r="K249" s="496">
        <f>ROUNDUP(SQRT(F249/PI()*4),2)</f>
        <v>4.5199999999999996</v>
      </c>
      <c r="L249" s="501">
        <v>5.99</v>
      </c>
      <c r="M249" s="475"/>
      <c r="N249" s="475"/>
      <c r="O249" s="475"/>
      <c r="P249" s="475"/>
      <c r="Q249" s="483">
        <f t="shared" si="592"/>
        <v>0.8</v>
      </c>
      <c r="R249" s="484">
        <f>IF(B249=0.66,VLOOKUP(F249,'Данные ТНПА'!$B$8:$C$16,2,0),
IF(B249=1,VLOOKUP(F249,'Данные ТНПА'!$B$17:$C$37,2,0),"ошибка"))</f>
        <v>1</v>
      </c>
      <c r="S249" s="485">
        <f t="shared" si="488"/>
        <v>6.1199999999999992</v>
      </c>
      <c r="T249" s="486"/>
      <c r="U249" s="487"/>
      <c r="V249" s="485">
        <f t="shared" si="489"/>
        <v>6.52</v>
      </c>
      <c r="W249" s="486"/>
      <c r="X249" s="487"/>
      <c r="Y249" s="489">
        <f t="shared" si="490"/>
        <v>0</v>
      </c>
      <c r="Z249" s="491">
        <f t="shared" si="491"/>
        <v>15.713200000000001</v>
      </c>
      <c r="AA249" s="237">
        <f t="shared" si="492"/>
        <v>0</v>
      </c>
      <c r="AB249" s="452">
        <f t="shared" si="593"/>
        <v>15.713200000000001</v>
      </c>
      <c r="AC249" s="201">
        <f t="shared" si="493"/>
        <v>0</v>
      </c>
      <c r="AD249" s="203">
        <f t="shared" si="594"/>
        <v>0</v>
      </c>
      <c r="AE249" s="37" t="str">
        <f t="shared" si="494"/>
        <v/>
      </c>
      <c r="AF249" s="202">
        <f t="shared" si="595"/>
        <v>0</v>
      </c>
      <c r="AG249" s="201">
        <f t="shared" si="596"/>
        <v>0</v>
      </c>
      <c r="AH249" s="61">
        <f t="shared" si="495"/>
        <v>15.713200000000001</v>
      </c>
      <c r="AI249" s="443">
        <f t="shared" si="504"/>
        <v>0</v>
      </c>
      <c r="AJ249" s="444">
        <f t="shared" si="555"/>
        <v>0</v>
      </c>
      <c r="AK249" s="445">
        <f t="shared" si="556"/>
        <v>0</v>
      </c>
      <c r="AL249" s="446">
        <f t="shared" si="557"/>
        <v>0</v>
      </c>
      <c r="AM249" s="447">
        <f t="shared" si="558"/>
        <v>0</v>
      </c>
      <c r="AN249" s="24">
        <f t="shared" si="559"/>
        <v>15.713200000000001</v>
      </c>
      <c r="AO249" s="443">
        <f t="shared" si="496"/>
        <v>0</v>
      </c>
      <c r="AP249" s="444">
        <f t="shared" si="560"/>
        <v>0</v>
      </c>
      <c r="AQ249" s="445">
        <f t="shared" si="561"/>
        <v>0</v>
      </c>
      <c r="AR249" s="446">
        <f t="shared" si="562"/>
        <v>0</v>
      </c>
      <c r="AS249" s="447">
        <f t="shared" si="563"/>
        <v>0</v>
      </c>
      <c r="AT249" s="24">
        <f t="shared" si="564"/>
        <v>15.713200000000001</v>
      </c>
      <c r="AU249" s="443">
        <f t="shared" si="497"/>
        <v>0</v>
      </c>
      <c r="AV249" s="444">
        <f t="shared" si="565"/>
        <v>0</v>
      </c>
      <c r="AW249" s="445">
        <f t="shared" si="566"/>
        <v>0</v>
      </c>
      <c r="AX249" s="446">
        <f t="shared" si="567"/>
        <v>0</v>
      </c>
      <c r="AY249" s="447">
        <f t="shared" si="568"/>
        <v>0</v>
      </c>
      <c r="AZ249" s="24">
        <f t="shared" si="569"/>
        <v>15.713200000000001</v>
      </c>
      <c r="BA249" s="43">
        <f>IF(BB249=0,0,
IF(D249=1,
(IF(AND(AH249&gt;'Данные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"ошибка_1"))))))),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"ошибка_2"))))))))</f>
        <v>0</v>
      </c>
      <c r="BB249" s="43">
        <f>IF(OR($AI$9=0,AND(D249&gt;1,F249&gt;10)),0,
IF(D249=1,
(IF(AND(AH249&gt;'Данные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"ошибка_1"))))))),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IF(AND(AH249&gt;'Данные ТНПА'!#REF!,AH249&lt;='Данные ТНПА'!#REF!),'Данные ТНПА'!#REF!,
"ошибка_2"))))))))</f>
        <v>0</v>
      </c>
      <c r="BC249" s="43">
        <f t="shared" si="570"/>
        <v>15.713200000000001</v>
      </c>
      <c r="BD249" s="237">
        <f t="shared" si="608"/>
        <v>0</v>
      </c>
      <c r="BE249" s="43">
        <f t="shared" si="572"/>
        <v>0</v>
      </c>
      <c r="BF249" s="201">
        <f t="shared" si="573"/>
        <v>0</v>
      </c>
      <c r="BG249" s="201">
        <f t="shared" si="574"/>
        <v>0</v>
      </c>
      <c r="BH249" s="61">
        <f t="shared" si="597"/>
        <v>15.713200000000001</v>
      </c>
      <c r="BI249" s="237">
        <f t="shared" si="575"/>
        <v>0</v>
      </c>
      <c r="BJ249" s="247">
        <f t="shared" si="576"/>
        <v>0</v>
      </c>
      <c r="BK249" s="431">
        <f t="shared" si="598"/>
        <v>0</v>
      </c>
      <c r="BL249" s="250">
        <f t="shared" si="599"/>
        <v>0</v>
      </c>
      <c r="BM249" s="237">
        <f t="shared" si="609"/>
        <v>0</v>
      </c>
      <c r="BN249" s="452">
        <f t="shared" si="600"/>
        <v>15.713200000000001</v>
      </c>
      <c r="BO249" s="237">
        <f t="shared" si="610"/>
        <v>0</v>
      </c>
      <c r="BP249" s="432">
        <f t="shared" si="611"/>
        <v>0</v>
      </c>
      <c r="BQ249" s="22" t="str">
        <f t="shared" si="601"/>
        <v/>
      </c>
      <c r="BR249" s="250">
        <f t="shared" si="602"/>
        <v>0</v>
      </c>
      <c r="BS249" s="237">
        <f t="shared" si="580"/>
        <v>0</v>
      </c>
      <c r="BT249" s="452">
        <f t="shared" si="603"/>
        <v>15.713200000000001</v>
      </c>
      <c r="BU249" s="492">
        <f t="shared" si="604"/>
        <v>1.3449999999999998</v>
      </c>
      <c r="BV249" s="493">
        <f>IF(BT249="","",
IF(AND(BT249&gt;'Данные ТНПА'!$K$8,BT249&lt;='Данные ТНПА'!$L$8),'Данные ТНПА'!$N$8,
IF(AND(BT249&gt;'Данные ТНПА'!$K$9,BT249&lt;='Данные ТНПА'!$L$9),'Данные ТНПА'!$N$9,
IF(AND(BT249&gt;'Данные ТНПА'!$K$10,BT249&lt;='Данные ТНПА'!$L$10),'Данные ТНПА'!$N$10,
IF(AND(BT249&gt;'Данные ТНПА'!$K$11,BT249&lt;='Данные ТНПА'!$L$11),'Данные ТНПА'!$N$11,
IF(AND(BT249&gt;'Данные ТНПА'!$K$12,BT249&lt;='Данные ТНПА'!$L$12),'Данные ТНПА'!$N$12,
IF(AND(BT249&gt;'Данные ТНПА'!$K$13,BT249&lt;='Данные ТНПА'!$L$13),'Данные ТНПА'!$N$13,
IF(AND(BT249&gt;'Данные ТНПА'!$K$14,BT249&lt;='Данные ТНПА'!$L$14),'Данные ТНПА'!$N$14))))))))</f>
        <v>1.7</v>
      </c>
      <c r="BW249" s="493">
        <f t="shared" si="582"/>
        <v>19.113199999999999</v>
      </c>
      <c r="BX249" s="457">
        <f t="shared" si="498"/>
        <v>174.00960000000001</v>
      </c>
      <c r="BY249" s="457">
        <f t="shared" si="499"/>
        <v>0</v>
      </c>
      <c r="BZ249" s="457">
        <f t="shared" si="500"/>
        <v>93.601586671413955</v>
      </c>
      <c r="CA249" s="457" t="e">
        <f t="shared" si="607"/>
        <v>#REF!</v>
      </c>
      <c r="CB249" s="458">
        <f t="shared" si="584"/>
        <v>0</v>
      </c>
      <c r="CC249" s="457">
        <f t="shared" si="585"/>
        <v>0</v>
      </c>
      <c r="CD249" s="457">
        <f t="shared" si="586"/>
        <v>0</v>
      </c>
      <c r="CE249" s="457">
        <f t="shared" si="587"/>
        <v>0</v>
      </c>
      <c r="CF249" s="457">
        <f t="shared" si="588"/>
        <v>0</v>
      </c>
      <c r="CG249" s="458">
        <f t="shared" si="501"/>
        <v>0</v>
      </c>
      <c r="CH249" s="457">
        <f t="shared" si="612"/>
        <v>0</v>
      </c>
      <c r="CI249" s="457">
        <f t="shared" si="613"/>
        <v>0</v>
      </c>
      <c r="CJ249" s="458">
        <f t="shared" si="614"/>
        <v>0</v>
      </c>
      <c r="CK249" s="458">
        <f t="shared" si="606"/>
        <v>135.4062644950763</v>
      </c>
      <c r="CL249" s="457">
        <f t="shared" si="503"/>
        <v>403.01745116649028</v>
      </c>
      <c r="CM249" s="504"/>
      <c r="CN249" s="504"/>
    </row>
    <row r="250" spans="1:92" ht="14.25" hidden="1" customHeight="1" x14ac:dyDescent="0.25">
      <c r="A250" s="389" t="str">
        <f>IF(D250="",CONCATENATE("Кабель ",IF(C250="а","А",""),$A$9),CONCATENATE("Кабель ",IF(C250="а","А",""),$A$9," ",D250,"*",F250,IF(G250="ок"," (ож)","")," - ",B250," ",IF(G250="мс"," фас. ",""),$A$2))</f>
        <v>Кабель АВВГ 4*25 (ож) - 1 ГОСТ 16442-80</v>
      </c>
      <c r="B250" s="450">
        <v>1</v>
      </c>
      <c r="C250" s="451" t="s">
        <v>164</v>
      </c>
      <c r="D250" s="412">
        <v>4</v>
      </c>
      <c r="E250" s="413" t="s">
        <v>40</v>
      </c>
      <c r="F250" s="423">
        <v>25</v>
      </c>
      <c r="G250" s="414" t="str">
        <f>IF(I250=1,"ок","мк")</f>
        <v>ок</v>
      </c>
      <c r="H250" s="461">
        <v>5.6499999999999995</v>
      </c>
      <c r="I250" s="497">
        <v>1</v>
      </c>
      <c r="J250" s="498" t="s">
        <v>40</v>
      </c>
      <c r="K250" s="496">
        <f>ROUNDUP(SQRT(F250/PI()*4),2)</f>
        <v>5.6499999999999995</v>
      </c>
      <c r="L250" s="501">
        <v>7.1000000000000005</v>
      </c>
      <c r="M250" s="475"/>
      <c r="N250" s="475"/>
      <c r="O250" s="475"/>
      <c r="P250" s="475"/>
      <c r="Q250" s="483">
        <f t="shared" ref="Q250:Q251" si="615">0.9*R250-0.1</f>
        <v>0.98000000000000009</v>
      </c>
      <c r="R250" s="484">
        <f>IF(B250=0.66,VLOOKUP(F250,'Данные ТНПА'!$B$8:$C$16,2,0),
IF(B250=1,VLOOKUP(F250,'Данные ТНПА'!$B$17:$C$37,2,0),"ошибка"))</f>
        <v>1.2</v>
      </c>
      <c r="S250" s="485">
        <f t="shared" si="488"/>
        <v>7.6099999999999994</v>
      </c>
      <c r="T250" s="486"/>
      <c r="U250" s="487"/>
      <c r="V250" s="485">
        <f t="shared" si="489"/>
        <v>8.0499999999999989</v>
      </c>
      <c r="W250" s="486"/>
      <c r="X250" s="487"/>
      <c r="Y250" s="489">
        <f t="shared" si="490"/>
        <v>3.3</v>
      </c>
      <c r="Z250" s="491">
        <f t="shared" si="491"/>
        <v>19.400499999999997</v>
      </c>
      <c r="AA250" s="237">
        <f t="shared" si="492"/>
        <v>0</v>
      </c>
      <c r="AB250" s="452">
        <f t="shared" si="593"/>
        <v>19.400499999999997</v>
      </c>
      <c r="AC250" s="201">
        <f t="shared" si="493"/>
        <v>0</v>
      </c>
      <c r="AD250" s="203">
        <f t="shared" si="594"/>
        <v>0</v>
      </c>
      <c r="AE250" s="37" t="str">
        <f t="shared" si="494"/>
        <v/>
      </c>
      <c r="AF250" s="202">
        <f t="shared" si="595"/>
        <v>0</v>
      </c>
      <c r="AG250" s="201">
        <f t="shared" si="596"/>
        <v>0</v>
      </c>
      <c r="AH250" s="61">
        <f t="shared" si="495"/>
        <v>19.400499999999997</v>
      </c>
      <c r="AI250" s="443">
        <f t="shared" si="504"/>
        <v>0</v>
      </c>
      <c r="AJ250" s="444">
        <f t="shared" si="555"/>
        <v>0</v>
      </c>
      <c r="AK250" s="445">
        <f t="shared" si="556"/>
        <v>0</v>
      </c>
      <c r="AL250" s="446">
        <f t="shared" si="557"/>
        <v>0</v>
      </c>
      <c r="AM250" s="447">
        <f t="shared" si="558"/>
        <v>0</v>
      </c>
      <c r="AN250" s="24">
        <f t="shared" si="559"/>
        <v>19.400499999999997</v>
      </c>
      <c r="AO250" s="443">
        <f t="shared" si="496"/>
        <v>0</v>
      </c>
      <c r="AP250" s="444">
        <f t="shared" si="560"/>
        <v>0</v>
      </c>
      <c r="AQ250" s="445">
        <f t="shared" si="561"/>
        <v>0</v>
      </c>
      <c r="AR250" s="446">
        <f t="shared" si="562"/>
        <v>0</v>
      </c>
      <c r="AS250" s="447">
        <f t="shared" si="563"/>
        <v>0</v>
      </c>
      <c r="AT250" s="24">
        <f t="shared" si="564"/>
        <v>19.400499999999997</v>
      </c>
      <c r="AU250" s="443">
        <f t="shared" si="497"/>
        <v>0</v>
      </c>
      <c r="AV250" s="444">
        <f t="shared" si="565"/>
        <v>0</v>
      </c>
      <c r="AW250" s="445">
        <f t="shared" si="566"/>
        <v>0</v>
      </c>
      <c r="AX250" s="446">
        <f t="shared" si="567"/>
        <v>0</v>
      </c>
      <c r="AY250" s="447">
        <f t="shared" si="568"/>
        <v>0</v>
      </c>
      <c r="AZ250" s="24">
        <f t="shared" si="569"/>
        <v>19.400499999999997</v>
      </c>
      <c r="BA250" s="43">
        <f>IF(BB250=0,0,
IF(D250=1,
(IF(AND(AH250&gt;'Данные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"ошибка_1"))))))),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"ошибка_2"))))))))</f>
        <v>0</v>
      </c>
      <c r="BB250" s="43">
        <f>IF(OR($AI$9=0,AND(D250&gt;1,F250&gt;10)),0,
IF(D250=1,
(IF(AND(AH250&gt;'Данные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"ошибка_1"))))))),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IF(AND(AH250&gt;'Данные ТНПА'!#REF!,AH250&lt;='Данные ТНПА'!#REF!),'Данные ТНПА'!#REF!,
"ошибка_2"))))))))</f>
        <v>0</v>
      </c>
      <c r="BC250" s="43">
        <f t="shared" si="570"/>
        <v>19.400499999999997</v>
      </c>
      <c r="BD250" s="237">
        <f t="shared" si="608"/>
        <v>0</v>
      </c>
      <c r="BE250" s="43">
        <f t="shared" si="572"/>
        <v>0</v>
      </c>
      <c r="BF250" s="201">
        <f t="shared" si="573"/>
        <v>0</v>
      </c>
      <c r="BG250" s="201">
        <f t="shared" si="574"/>
        <v>0</v>
      </c>
      <c r="BH250" s="61">
        <f t="shared" si="597"/>
        <v>19.400499999999997</v>
      </c>
      <c r="BI250" s="237">
        <f t="shared" si="575"/>
        <v>0</v>
      </c>
      <c r="BJ250" s="247">
        <f t="shared" si="576"/>
        <v>0</v>
      </c>
      <c r="BK250" s="431">
        <f t="shared" si="598"/>
        <v>0</v>
      </c>
      <c r="BL250" s="250">
        <f t="shared" ref="BL250:BL261" si="616">IF(BK250="","",
IF(BJ250&lt;&gt;0,
IF(AND(BC250&gt;7,BC250&lt;=10),15,
IF(AND(BC250&gt;10,BC250&lt;=13),20,
IF(AND(BC250&gt;13,BC250&lt;=21),30,
IF(AND(BC250&gt;21,BC250&lt;=31),40,
IF(AND(BC250&gt;31,BC250&lt;=70),50,
IF(AND(BC250&gt;70,BC250&lt;=80),60,
"ошибка")))))),0))</f>
        <v>0</v>
      </c>
      <c r="BM250" s="237">
        <f t="shared" si="609"/>
        <v>0</v>
      </c>
      <c r="BN250" s="452">
        <f t="shared" si="600"/>
        <v>19.400499999999997</v>
      </c>
      <c r="BO250" s="237">
        <f t="shared" si="610"/>
        <v>0</v>
      </c>
      <c r="BP250" s="432">
        <f t="shared" si="611"/>
        <v>0</v>
      </c>
      <c r="BQ250" s="22" t="str">
        <f t="shared" si="601"/>
        <v/>
      </c>
      <c r="BR250" s="250">
        <f t="shared" si="602"/>
        <v>0</v>
      </c>
      <c r="BS250" s="237">
        <f t="shared" si="580"/>
        <v>0</v>
      </c>
      <c r="BT250" s="452">
        <f t="shared" si="603"/>
        <v>19.400499999999997</v>
      </c>
      <c r="BU250" s="492">
        <f t="shared" ref="BU250:BU251" si="617">0.85*BV250-0.1</f>
        <v>1.3449999999999998</v>
      </c>
      <c r="BV250" s="493">
        <f>IF(BT250="","",
IF(AND(BT250&gt;'Данные ТНПА'!$K$8,BT250&lt;='Данные ТНПА'!$L$8),'Данные ТНПА'!$N$8,
IF(AND(BT250&gt;'Данные ТНПА'!$K$9,BT250&lt;='Данные ТНПА'!$L$9),'Данные ТНПА'!$N$9,
IF(AND(BT250&gt;'Данные ТНПА'!$K$10,BT250&lt;='Данные ТНПА'!$L$10),'Данные ТНПА'!$N$10,
IF(AND(BT250&gt;'Данные ТНПА'!$K$11,BT250&lt;='Данные ТНПА'!$L$11),'Данные ТНПА'!$N$11,
IF(AND(BT250&gt;'Данные ТНПА'!$K$12,BT250&lt;='Данные ТНПА'!$L$12),'Данные ТНПА'!$N$12,
IF(AND(BT250&gt;'Данные ТНПА'!$K$13,BT250&lt;='Данные ТНПА'!$L$13),'Данные ТНПА'!$N$13,
IF(AND(BT250&gt;'Данные ТНПА'!$K$14,BT250&lt;='Данные ТНПА'!$L$14),'Данные ТНПА'!$N$14))))))))</f>
        <v>1.7</v>
      </c>
      <c r="BW250" s="493">
        <f t="shared" si="582"/>
        <v>22.800499999999996</v>
      </c>
      <c r="BX250" s="457">
        <f t="shared" si="498"/>
        <v>271.89</v>
      </c>
      <c r="BY250" s="457">
        <f t="shared" si="499"/>
        <v>0</v>
      </c>
      <c r="BZ250" s="457">
        <f t="shared" si="500"/>
        <v>139.38497145634469</v>
      </c>
      <c r="CA250" s="457" t="e">
        <f t="shared" si="607"/>
        <v>#REF!</v>
      </c>
      <c r="CB250" s="458">
        <f t="shared" si="584"/>
        <v>0</v>
      </c>
      <c r="CC250" s="457">
        <f t="shared" si="585"/>
        <v>0</v>
      </c>
      <c r="CD250" s="457">
        <f t="shared" si="586"/>
        <v>0</v>
      </c>
      <c r="CE250" s="457">
        <f t="shared" si="587"/>
        <v>0</v>
      </c>
      <c r="CF250" s="457">
        <f t="shared" si="588"/>
        <v>0</v>
      </c>
      <c r="CG250" s="458">
        <f t="shared" si="501"/>
        <v>0</v>
      </c>
      <c r="CH250" s="457">
        <f t="shared" si="612"/>
        <v>0</v>
      </c>
      <c r="CI250" s="457">
        <f t="shared" si="613"/>
        <v>0</v>
      </c>
      <c r="CJ250" s="458">
        <f t="shared" si="614"/>
        <v>0</v>
      </c>
      <c r="CK250" s="458">
        <f t="shared" si="606"/>
        <v>164.07896790815917</v>
      </c>
      <c r="CL250" s="457">
        <f t="shared" si="503"/>
        <v>575.35393936450384</v>
      </c>
      <c r="CM250" s="504"/>
      <c r="CN250" s="504"/>
    </row>
    <row r="251" spans="1:92" ht="14.25" hidden="1" customHeight="1" x14ac:dyDescent="0.25">
      <c r="A251" s="389" t="str">
        <f>IF(D251="",CONCATENATE("Кабель ",IF(C251="а","А",""),$A$9),CONCATENATE("Кабель ",IF(C251="а","А",""),$A$9," ",D251,"*",F251,IF(G251="ок"," (ож)","")," - ",B251," ",IF(G251="мс"," фас. ",""),$A$2))</f>
        <v>Кабель АВВГ 4*35 (ож) - 1 ГОСТ 16442-80</v>
      </c>
      <c r="B251" s="450">
        <v>1</v>
      </c>
      <c r="C251" s="451" t="s">
        <v>164</v>
      </c>
      <c r="D251" s="412">
        <v>4</v>
      </c>
      <c r="E251" s="413" t="s">
        <v>40</v>
      </c>
      <c r="F251" s="423">
        <v>35</v>
      </c>
      <c r="G251" s="414" t="str">
        <f>IF(I251=1,"ок","мк")</f>
        <v>ок</v>
      </c>
      <c r="H251" s="461">
        <v>6.68</v>
      </c>
      <c r="I251" s="497">
        <v>1</v>
      </c>
      <c r="J251" s="498" t="s">
        <v>40</v>
      </c>
      <c r="K251" s="496">
        <f>ROUNDUP(SQRT(F251/PI()*4),2)</f>
        <v>6.68</v>
      </c>
      <c r="L251" s="501">
        <v>8.15</v>
      </c>
      <c r="M251" s="475"/>
      <c r="N251" s="475"/>
      <c r="O251" s="475"/>
      <c r="P251" s="475"/>
      <c r="Q251" s="483">
        <f t="shared" si="615"/>
        <v>0.98000000000000009</v>
      </c>
      <c r="R251" s="484">
        <f>IF(B251=0.66,VLOOKUP(F251,'Данные ТНПА'!$B$8:$C$16,2,0),
IF(B251=1,VLOOKUP(F251,'Данные ТНПА'!$B$17:$C$37,2,0),"ошибка"))</f>
        <v>1.2</v>
      </c>
      <c r="S251" s="485">
        <f t="shared" si="488"/>
        <v>8.64</v>
      </c>
      <c r="T251" s="486"/>
      <c r="U251" s="487"/>
      <c r="V251" s="485">
        <f t="shared" si="489"/>
        <v>9.08</v>
      </c>
      <c r="W251" s="486"/>
      <c r="X251" s="487"/>
      <c r="Y251" s="489">
        <f t="shared" si="490"/>
        <v>3.8</v>
      </c>
      <c r="Z251" s="491">
        <f t="shared" si="491"/>
        <v>21.882800000000003</v>
      </c>
      <c r="AA251" s="237">
        <f t="shared" si="492"/>
        <v>0</v>
      </c>
      <c r="AB251" s="452">
        <f t="shared" si="593"/>
        <v>21.882800000000003</v>
      </c>
      <c r="AC251" s="201">
        <f t="shared" si="493"/>
        <v>0</v>
      </c>
      <c r="AD251" s="203">
        <f t="shared" si="594"/>
        <v>0</v>
      </c>
      <c r="AE251" s="37" t="str">
        <f t="shared" si="494"/>
        <v/>
      </c>
      <c r="AF251" s="202">
        <f t="shared" si="595"/>
        <v>0</v>
      </c>
      <c r="AG251" s="201">
        <f t="shared" si="596"/>
        <v>0</v>
      </c>
      <c r="AH251" s="61">
        <f t="shared" si="495"/>
        <v>21.882800000000003</v>
      </c>
      <c r="AI251" s="443">
        <f t="shared" si="504"/>
        <v>0</v>
      </c>
      <c r="AJ251" s="444">
        <f t="shared" si="555"/>
        <v>0</v>
      </c>
      <c r="AK251" s="445">
        <f t="shared" si="556"/>
        <v>0</v>
      </c>
      <c r="AL251" s="446">
        <f t="shared" si="557"/>
        <v>0</v>
      </c>
      <c r="AM251" s="447">
        <f t="shared" si="558"/>
        <v>0</v>
      </c>
      <c r="AN251" s="24">
        <f t="shared" si="559"/>
        <v>21.882800000000003</v>
      </c>
      <c r="AO251" s="443">
        <f t="shared" si="496"/>
        <v>0</v>
      </c>
      <c r="AP251" s="444">
        <f t="shared" si="560"/>
        <v>0</v>
      </c>
      <c r="AQ251" s="445">
        <f t="shared" si="561"/>
        <v>0</v>
      </c>
      <c r="AR251" s="446">
        <f t="shared" si="562"/>
        <v>0</v>
      </c>
      <c r="AS251" s="447">
        <f t="shared" si="563"/>
        <v>0</v>
      </c>
      <c r="AT251" s="24">
        <f t="shared" si="564"/>
        <v>21.882800000000003</v>
      </c>
      <c r="AU251" s="443">
        <f t="shared" si="497"/>
        <v>0</v>
      </c>
      <c r="AV251" s="444">
        <f t="shared" si="565"/>
        <v>0</v>
      </c>
      <c r="AW251" s="445">
        <f t="shared" si="566"/>
        <v>0</v>
      </c>
      <c r="AX251" s="446">
        <f t="shared" si="567"/>
        <v>0</v>
      </c>
      <c r="AY251" s="447">
        <f t="shared" si="568"/>
        <v>0</v>
      </c>
      <c r="AZ251" s="24">
        <f t="shared" si="569"/>
        <v>21.882800000000003</v>
      </c>
      <c r="BA251" s="43">
        <f>IF(BB251=0,0,
IF(D251=1,
(IF(AND(AH251&gt;'Данные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"ошибка_1"))))))),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"ошибка_2"))))))))</f>
        <v>0</v>
      </c>
      <c r="BB251" s="43">
        <f>IF(OR($AI$9=0,AND(D251&gt;1,F251&gt;10)),0,
IF(D251=1,
(IF(AND(AH251&gt;'Данные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"ошибка_1"))))))),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IF(AND(AH251&gt;'Данные ТНПА'!#REF!,AH251&lt;='Данные ТНПА'!#REF!),'Данные ТНПА'!#REF!,
"ошибка_2"))))))))</f>
        <v>0</v>
      </c>
      <c r="BC251" s="43">
        <f t="shared" si="570"/>
        <v>21.882800000000003</v>
      </c>
      <c r="BD251" s="237">
        <f t="shared" si="608"/>
        <v>0</v>
      </c>
      <c r="BE251" s="43">
        <f t="shared" ref="BE251:BE261" si="618">IF(BC251="","",
IF(BC251=0,0,$BE$9))</f>
        <v>0</v>
      </c>
      <c r="BF251" s="201">
        <f t="shared" ref="BF251:BF261" si="619">IF(BC251="","",
IF($BD$9=0,0,
IF(BC251&lt;=13,20,
IF(AND(BC251&gt;13,BC251&lt;=18),30,
IF(AND(BC251&gt;18,BC251&lt;=23),40,
IF(AND(BC251&gt;23,BC251&lt;=30),50,
60))))))</f>
        <v>0</v>
      </c>
      <c r="BG251" s="201">
        <f t="shared" ref="BG251:BG261" si="620">IF(BC251="","",$BG$9)</f>
        <v>0</v>
      </c>
      <c r="BH251" s="61">
        <f t="shared" si="597"/>
        <v>21.882800000000003</v>
      </c>
      <c r="BI251" s="237">
        <f t="shared" ref="BI251:BI261" si="621">IF(BC251="","",$BI$9)</f>
        <v>0</v>
      </c>
      <c r="BJ251" s="247">
        <f t="shared" ref="BJ251:BJ261" si="622">IF(BC251="","",$BJ$9)</f>
        <v>0</v>
      </c>
      <c r="BK251" s="431">
        <f t="shared" si="598"/>
        <v>0</v>
      </c>
      <c r="BL251" s="250">
        <f t="shared" si="616"/>
        <v>0</v>
      </c>
      <c r="BM251" s="237">
        <f t="shared" si="609"/>
        <v>0</v>
      </c>
      <c r="BN251" s="452">
        <f t="shared" si="600"/>
        <v>21.882800000000003</v>
      </c>
      <c r="BO251" s="237">
        <f t="shared" si="610"/>
        <v>0</v>
      </c>
      <c r="BP251" s="432">
        <f t="shared" si="611"/>
        <v>0</v>
      </c>
      <c r="BQ251" s="22" t="str">
        <f t="shared" si="601"/>
        <v/>
      </c>
      <c r="BR251" s="250">
        <f t="shared" si="602"/>
        <v>0</v>
      </c>
      <c r="BS251" s="237">
        <f t="shared" ref="BS251:BS261" si="623">IF(BO251="","",IF(BO251=0,0,$BS$9))</f>
        <v>0</v>
      </c>
      <c r="BT251" s="452">
        <f t="shared" si="603"/>
        <v>21.882800000000003</v>
      </c>
      <c r="BU251" s="492">
        <f t="shared" si="617"/>
        <v>1.5149999999999999</v>
      </c>
      <c r="BV251" s="493">
        <f>IF(BT251="","",
IF(AND(BT251&gt;'Данные ТНПА'!$K$8,BT251&lt;='Данные ТНПА'!$L$8),'Данные ТНПА'!$N$8,
IF(AND(BT251&gt;'Данные ТНПА'!$K$9,BT251&lt;='Данные ТНПА'!$L$9),'Данные ТНПА'!$N$9,
IF(AND(BT251&gt;'Данные ТНПА'!$K$10,BT251&lt;='Данные ТНПА'!$L$10),'Данные ТНПА'!$N$10,
IF(AND(BT251&gt;'Данные ТНПА'!$K$11,BT251&lt;='Данные ТНПА'!$L$11),'Данные ТНПА'!$N$11,
IF(AND(BT251&gt;'Данные ТНПА'!$K$12,BT251&lt;='Данные ТНПА'!$L$12),'Данные ТНПА'!$N$12,
IF(AND(BT251&gt;'Данные ТНПА'!$K$13,BT251&lt;='Данные ТНПА'!$L$13),'Данные ТНПА'!$N$13,
IF(AND(BT251&gt;'Данные ТНПА'!$K$14,BT251&lt;='Данные ТНПА'!$L$14),'Данные ТНПА'!$N$14))))))))</f>
        <v>1.9</v>
      </c>
      <c r="BW251" s="493">
        <f t="shared" si="582"/>
        <v>25.682800000000004</v>
      </c>
      <c r="BX251" s="457">
        <f t="shared" si="498"/>
        <v>380.64599999999996</v>
      </c>
      <c r="BY251" s="457">
        <f t="shared" si="499"/>
        <v>0</v>
      </c>
      <c r="BZ251" s="457">
        <f t="shared" si="500"/>
        <v>160.34358760233519</v>
      </c>
      <c r="CA251" s="457" t="e">
        <f t="shared" si="607"/>
        <v>#REF!</v>
      </c>
      <c r="CB251" s="458">
        <f t="shared" ref="CB251:CB261" si="624">IF(AA251="","",
IF(AA251=2,SQRT((Z251*PI()/50)^2+1)*$CB$9*AA251,0))</f>
        <v>0</v>
      </c>
      <c r="CC251" s="457">
        <f t="shared" si="585"/>
        <v>0</v>
      </c>
      <c r="CD251" s="457">
        <f t="shared" si="586"/>
        <v>0</v>
      </c>
      <c r="CE251" s="457">
        <f t="shared" si="587"/>
        <v>0</v>
      </c>
      <c r="CF251" s="457">
        <f t="shared" si="588"/>
        <v>0</v>
      </c>
      <c r="CG251" s="458">
        <f t="shared" si="501"/>
        <v>0</v>
      </c>
      <c r="CH251" s="457">
        <f t="shared" si="612"/>
        <v>0</v>
      </c>
      <c r="CI251" s="457">
        <f t="shared" si="613"/>
        <v>0</v>
      </c>
      <c r="CJ251" s="458">
        <f t="shared" si="614"/>
        <v>0</v>
      </c>
      <c r="CK251" s="458">
        <f t="shared" si="606"/>
        <v>206.6939821090306</v>
      </c>
      <c r="CL251" s="457">
        <f t="shared" si="503"/>
        <v>747.68356971136575</v>
      </c>
      <c r="CM251" s="504"/>
      <c r="CN251" s="504"/>
    </row>
    <row r="252" spans="1:92" ht="14.25" hidden="1" customHeight="1" x14ac:dyDescent="0.25">
      <c r="A252" s="389" t="str">
        <f>IF(D252="",CONCATENATE("Кабель ",IF(C252="а","А",""),$A$9),CONCATENATE("Кабель ",IF(C252="а","А",""),$A$9," ",D252,"*",F252,IF(G252="ок"," (ож)","")," - ",B252," ",IF(G252="мс"," фас. ",""),$A$2))</f>
        <v>Кабель АВВГ 5*25 - 1 ГОСТ 16442-80</v>
      </c>
      <c r="B252" s="450">
        <v>1</v>
      </c>
      <c r="C252" s="451" t="s">
        <v>164</v>
      </c>
      <c r="D252" s="412">
        <v>5</v>
      </c>
      <c r="E252" s="413" t="s">
        <v>40</v>
      </c>
      <c r="F252" s="423">
        <v>25</v>
      </c>
      <c r="G252" s="414" t="str">
        <f>IF(I252=1,"ок","мк")</f>
        <v>мк</v>
      </c>
      <c r="H252" s="461">
        <v>2.21</v>
      </c>
      <c r="I252" s="476">
        <v>7</v>
      </c>
      <c r="J252" s="477" t="s">
        <v>40</v>
      </c>
      <c r="K252" s="470">
        <f>ROUNDUP(SQRT(F252/I252/PI()*4*1.07),2)</f>
        <v>2.21</v>
      </c>
      <c r="L252" s="501">
        <v>1.79</v>
      </c>
      <c r="M252" s="475"/>
      <c r="N252" s="475"/>
      <c r="O252" s="475"/>
      <c r="P252" s="475"/>
      <c r="Q252" s="483">
        <f t="shared" ref="Q252:Q261" si="625">0.9*R252-0.1</f>
        <v>0.98000000000000009</v>
      </c>
      <c r="R252" s="484">
        <f>IF(B252=0.66,VLOOKUP(F252,'Данные ТНПА'!$B$8:$C$16,2,0),
IF(B252=1,VLOOKUP(F252,'Данные ТНПА'!$B$17:$C$37,2,0),"ошибка"))</f>
        <v>1.2</v>
      </c>
      <c r="S252" s="485">
        <f t="shared" si="488"/>
        <v>3.75</v>
      </c>
      <c r="T252" s="486"/>
      <c r="U252" s="487"/>
      <c r="V252" s="485">
        <f t="shared" si="489"/>
        <v>4.1899999999999995</v>
      </c>
      <c r="W252" s="486"/>
      <c r="X252" s="487"/>
      <c r="Y252" s="489">
        <f t="shared" si="490"/>
        <v>2.9</v>
      </c>
      <c r="Z252" s="491">
        <f t="shared" si="491"/>
        <v>11.312999999999999</v>
      </c>
      <c r="AA252" s="237">
        <f t="shared" si="492"/>
        <v>0</v>
      </c>
      <c r="AB252" s="452">
        <f t="shared" si="593"/>
        <v>11.312999999999999</v>
      </c>
      <c r="AC252" s="201">
        <f t="shared" si="493"/>
        <v>0</v>
      </c>
      <c r="AD252" s="203">
        <f t="shared" si="594"/>
        <v>0</v>
      </c>
      <c r="AE252" s="37" t="str">
        <f t="shared" si="494"/>
        <v/>
      </c>
      <c r="AF252" s="202">
        <f t="shared" si="595"/>
        <v>0</v>
      </c>
      <c r="AG252" s="201">
        <f t="shared" si="596"/>
        <v>0</v>
      </c>
      <c r="AH252" s="61">
        <f t="shared" si="495"/>
        <v>11.312999999999999</v>
      </c>
      <c r="AI252" s="443">
        <f t="shared" si="504"/>
        <v>0</v>
      </c>
      <c r="AJ252" s="444">
        <f t="shared" si="555"/>
        <v>0</v>
      </c>
      <c r="AK252" s="445">
        <f t="shared" si="556"/>
        <v>0</v>
      </c>
      <c r="AL252" s="446">
        <f t="shared" si="557"/>
        <v>0</v>
      </c>
      <c r="AM252" s="447">
        <f t="shared" si="558"/>
        <v>0</v>
      </c>
      <c r="AN252" s="24">
        <f t="shared" si="559"/>
        <v>11.312999999999999</v>
      </c>
      <c r="AO252" s="443">
        <f t="shared" si="496"/>
        <v>0</v>
      </c>
      <c r="AP252" s="444">
        <f t="shared" si="560"/>
        <v>0</v>
      </c>
      <c r="AQ252" s="445">
        <f t="shared" si="561"/>
        <v>0</v>
      </c>
      <c r="AR252" s="446">
        <f t="shared" si="562"/>
        <v>0</v>
      </c>
      <c r="AS252" s="447">
        <f t="shared" si="563"/>
        <v>0</v>
      </c>
      <c r="AT252" s="24">
        <f t="shared" si="564"/>
        <v>11.312999999999999</v>
      </c>
      <c r="AU252" s="443">
        <f t="shared" si="497"/>
        <v>0</v>
      </c>
      <c r="AV252" s="444">
        <f t="shared" si="565"/>
        <v>0</v>
      </c>
      <c r="AW252" s="445">
        <f t="shared" si="566"/>
        <v>0</v>
      </c>
      <c r="AX252" s="446">
        <f t="shared" si="567"/>
        <v>0</v>
      </c>
      <c r="AY252" s="447">
        <f t="shared" si="568"/>
        <v>0</v>
      </c>
      <c r="AZ252" s="24">
        <f t="shared" si="569"/>
        <v>11.312999999999999</v>
      </c>
      <c r="BA252" s="43">
        <f>IF(BB252=0,0,
IF(D252=1,
(IF(AND(AH252&gt;'Данные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"ошибка_1"))))))),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"ошибка_2"))))))))</f>
        <v>0</v>
      </c>
      <c r="BB252" s="43">
        <f>IF(OR($AI$9=0,AND(D252&gt;1,F252&gt;10)),0,
IF(D252=1,
(IF(AND(AH252&gt;'Данные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"ошибка_1"))))))),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IF(AND(AH252&gt;'Данные ТНПА'!#REF!,AH252&lt;='Данные ТНПА'!#REF!),'Данные ТНПА'!#REF!,
"ошибка_2"))))))))</f>
        <v>0</v>
      </c>
      <c r="BC252" s="43">
        <f t="shared" si="570"/>
        <v>11.312999999999999</v>
      </c>
      <c r="BD252" s="237">
        <f t="shared" si="608"/>
        <v>0</v>
      </c>
      <c r="BE252" s="43">
        <f t="shared" si="618"/>
        <v>0</v>
      </c>
      <c r="BF252" s="201">
        <f t="shared" si="619"/>
        <v>0</v>
      </c>
      <c r="BG252" s="201">
        <f t="shared" si="620"/>
        <v>0</v>
      </c>
      <c r="BH252" s="61">
        <f t="shared" si="597"/>
        <v>11.312999999999999</v>
      </c>
      <c r="BI252" s="237">
        <f t="shared" si="621"/>
        <v>0</v>
      </c>
      <c r="BJ252" s="247">
        <f t="shared" si="622"/>
        <v>0</v>
      </c>
      <c r="BK252" s="431">
        <f t="shared" si="598"/>
        <v>0</v>
      </c>
      <c r="BL252" s="250">
        <f t="shared" si="616"/>
        <v>0</v>
      </c>
      <c r="BM252" s="237">
        <f t="shared" si="609"/>
        <v>0</v>
      </c>
      <c r="BN252" s="452">
        <f t="shared" si="600"/>
        <v>11.312999999999999</v>
      </c>
      <c r="BO252" s="237">
        <f t="shared" si="610"/>
        <v>0</v>
      </c>
      <c r="BP252" s="432">
        <f t="shared" si="611"/>
        <v>0</v>
      </c>
      <c r="BQ252" s="22" t="str">
        <f t="shared" si="601"/>
        <v/>
      </c>
      <c r="BR252" s="250">
        <f t="shared" si="602"/>
        <v>0</v>
      </c>
      <c r="BS252" s="237">
        <f t="shared" si="623"/>
        <v>0</v>
      </c>
      <c r="BT252" s="452">
        <f t="shared" si="603"/>
        <v>11.312999999999999</v>
      </c>
      <c r="BU252" s="492">
        <f t="shared" ref="BU252:BU261" si="626">0.85*BV252-0.1</f>
        <v>1.1749999999999998</v>
      </c>
      <c r="BV252" s="493">
        <f>IF(BT252="","",
IF(AND(BT252&gt;'Данные ТНПА'!$K$8,BT252&lt;='Данные ТНПА'!$L$8),'Данные ТНПА'!$N$8,
IF(AND(BT252&gt;'Данные ТНПА'!$K$9,BT252&lt;='Данные ТНПА'!$L$9),'Данные ТНПА'!$N$9,
IF(AND(BT252&gt;'Данные ТНПА'!$K$10,BT252&lt;='Данные ТНПА'!$L$10),'Данные ТНПА'!$N$10,
IF(AND(BT252&gt;'Данные ТНПА'!$K$11,BT252&lt;='Данные ТНПА'!$L$11),'Данные ТНПА'!$N$11,
IF(AND(BT252&gt;'Данные ТНПА'!$K$12,BT252&lt;='Данные ТНПА'!$L$12),'Данные ТНПА'!$N$12,
IF(AND(BT252&gt;'Данные ТНПА'!$K$13,BT252&lt;='Данные ТНПА'!$L$13),'Данные ТНПА'!$N$13,
IF(AND(BT252&gt;'Данные ТНПА'!$K$14,BT252&lt;='Данные ТНПА'!$L$14),'Данные ТНПА'!$N$14))))))))</f>
        <v>1.5</v>
      </c>
      <c r="BW252" s="493">
        <f t="shared" si="582"/>
        <v>14.312999999999999</v>
      </c>
      <c r="BX252" s="457">
        <f t="shared" si="498"/>
        <v>339.86249999999995</v>
      </c>
      <c r="BY252" s="457">
        <f t="shared" si="499"/>
        <v>0</v>
      </c>
      <c r="BZ252" s="457">
        <f t="shared" si="500"/>
        <v>83.656418087576256</v>
      </c>
      <c r="CA252" s="457" t="e">
        <f t="shared" ref="CA252:CA261" si="627">PI()*POWER(Y252,2)/4*$CA$9</f>
        <v>#REF!</v>
      </c>
      <c r="CB252" s="458">
        <f t="shared" si="624"/>
        <v>0</v>
      </c>
      <c r="CC252" s="457">
        <f t="shared" si="585"/>
        <v>0</v>
      </c>
      <c r="CD252" s="457">
        <f t="shared" si="586"/>
        <v>0</v>
      </c>
      <c r="CE252" s="457">
        <f t="shared" si="587"/>
        <v>0</v>
      </c>
      <c r="CF252" s="457">
        <f t="shared" si="588"/>
        <v>0</v>
      </c>
      <c r="CG252" s="458">
        <f t="shared" si="501"/>
        <v>0</v>
      </c>
      <c r="CH252" s="457">
        <f t="shared" si="612"/>
        <v>0</v>
      </c>
      <c r="CI252" s="457">
        <f t="shared" si="613"/>
        <v>0</v>
      </c>
      <c r="CJ252" s="458">
        <f t="shared" si="614"/>
        <v>0</v>
      </c>
      <c r="CK252" s="458">
        <f t="shared" si="606"/>
        <v>87.9130470482541</v>
      </c>
      <c r="CL252" s="457">
        <f t="shared" si="503"/>
        <v>511.4319651358303</v>
      </c>
      <c r="CM252" s="504"/>
      <c r="CN252" s="504"/>
    </row>
    <row r="253" spans="1:92" ht="14.25" hidden="1" customHeight="1" x14ac:dyDescent="0.25">
      <c r="A253" s="389" t="str">
        <f>IF(D253="",CONCATENATE("Кабель ",IF(C253="а","А",""),$A$9),CONCATENATE("Кабель ",IF(C253="а","А",""),$A$9," ",D253,"*",F253,IF(G253="ок"," (ож)","")," - ",B253," ",IF(G253="мс"," фас. ",""),$A$2))</f>
        <v>Кабель АВВГ 5*35 - 1 ГОСТ 16442-80</v>
      </c>
      <c r="B253" s="450">
        <v>1</v>
      </c>
      <c r="C253" s="451" t="s">
        <v>164</v>
      </c>
      <c r="D253" s="412">
        <v>5</v>
      </c>
      <c r="E253" s="413" t="s">
        <v>40</v>
      </c>
      <c r="F253" s="423">
        <v>35</v>
      </c>
      <c r="G253" s="414" t="str">
        <f>IF(I253=1,"ок","мк")</f>
        <v>мк</v>
      </c>
      <c r="H253" s="461">
        <v>2.61</v>
      </c>
      <c r="I253" s="476">
        <v>7</v>
      </c>
      <c r="J253" s="477" t="s">
        <v>40</v>
      </c>
      <c r="K253" s="470">
        <f>ROUNDUP(SQRT(F253/I253/PI()*4*1.07),2)</f>
        <v>2.61</v>
      </c>
      <c r="L253" s="501">
        <v>2.2599999999999998</v>
      </c>
      <c r="M253" s="475"/>
      <c r="N253" s="475"/>
      <c r="O253" s="475"/>
      <c r="P253" s="475"/>
      <c r="Q253" s="483">
        <f t="shared" si="625"/>
        <v>0.98000000000000009</v>
      </c>
      <c r="R253" s="484">
        <f>IF(B253=0.66,VLOOKUP(F253,'Данные ТНПА'!$B$8:$C$16,2,0),
IF(B253=1,VLOOKUP(F253,'Данные ТНПА'!$B$17:$C$37,2,0),"ошибка"))</f>
        <v>1.2</v>
      </c>
      <c r="S253" s="485">
        <f t="shared" si="488"/>
        <v>4.22</v>
      </c>
      <c r="T253" s="486"/>
      <c r="U253" s="487"/>
      <c r="V253" s="485">
        <f t="shared" si="489"/>
        <v>4.66</v>
      </c>
      <c r="W253" s="486"/>
      <c r="X253" s="487"/>
      <c r="Y253" s="489">
        <f t="shared" si="490"/>
        <v>3.3</v>
      </c>
      <c r="Z253" s="491">
        <f t="shared" si="491"/>
        <v>12.582000000000001</v>
      </c>
      <c r="AA253" s="237">
        <f t="shared" si="492"/>
        <v>0</v>
      </c>
      <c r="AB253" s="452">
        <f t="shared" si="593"/>
        <v>12.582000000000001</v>
      </c>
      <c r="AC253" s="201">
        <f t="shared" si="493"/>
        <v>0</v>
      </c>
      <c r="AD253" s="203">
        <f t="shared" si="594"/>
        <v>0</v>
      </c>
      <c r="AE253" s="37" t="str">
        <f t="shared" si="494"/>
        <v/>
      </c>
      <c r="AF253" s="202">
        <f t="shared" si="595"/>
        <v>0</v>
      </c>
      <c r="AG253" s="201">
        <f t="shared" si="596"/>
        <v>0</v>
      </c>
      <c r="AH253" s="61">
        <f t="shared" si="495"/>
        <v>12.582000000000001</v>
      </c>
      <c r="AI253" s="443">
        <f t="shared" si="504"/>
        <v>0</v>
      </c>
      <c r="AJ253" s="444">
        <f t="shared" si="555"/>
        <v>0</v>
      </c>
      <c r="AK253" s="445">
        <f t="shared" si="556"/>
        <v>0</v>
      </c>
      <c r="AL253" s="446">
        <f t="shared" si="557"/>
        <v>0</v>
      </c>
      <c r="AM253" s="447">
        <f t="shared" si="558"/>
        <v>0</v>
      </c>
      <c r="AN253" s="24">
        <f t="shared" si="559"/>
        <v>12.582000000000001</v>
      </c>
      <c r="AO253" s="443">
        <f t="shared" si="496"/>
        <v>0</v>
      </c>
      <c r="AP253" s="444">
        <f t="shared" si="560"/>
        <v>0</v>
      </c>
      <c r="AQ253" s="445">
        <f t="shared" si="561"/>
        <v>0</v>
      </c>
      <c r="AR253" s="446">
        <f t="shared" si="562"/>
        <v>0</v>
      </c>
      <c r="AS253" s="447">
        <f t="shared" si="563"/>
        <v>0</v>
      </c>
      <c r="AT253" s="24">
        <f t="shared" si="564"/>
        <v>12.582000000000001</v>
      </c>
      <c r="AU253" s="443">
        <f t="shared" si="497"/>
        <v>0</v>
      </c>
      <c r="AV253" s="444">
        <f t="shared" si="565"/>
        <v>0</v>
      </c>
      <c r="AW253" s="445">
        <f t="shared" si="566"/>
        <v>0</v>
      </c>
      <c r="AX253" s="446">
        <f t="shared" si="567"/>
        <v>0</v>
      </c>
      <c r="AY253" s="447">
        <f t="shared" si="568"/>
        <v>0</v>
      </c>
      <c r="AZ253" s="24">
        <f t="shared" si="569"/>
        <v>12.582000000000001</v>
      </c>
      <c r="BA253" s="43">
        <f>IF(BB253=0,0,
IF(D253=1,
(IF(AND(AH253&gt;'Данные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"ошибка_1"))))))),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"ошибка_2"))))))))</f>
        <v>0</v>
      </c>
      <c r="BB253" s="43">
        <f>IF(OR($AI$9=0,AND(D253&gt;1,F253&gt;10)),0,
IF(D253=1,
(IF(AND(AH253&gt;'Данные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"ошибка_1"))))))),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IF(AND(AH253&gt;'Данные ТНПА'!#REF!,AH253&lt;='Данные ТНПА'!#REF!),'Данные ТНПА'!#REF!,
"ошибка_2"))))))))</f>
        <v>0</v>
      </c>
      <c r="BC253" s="43">
        <f t="shared" si="570"/>
        <v>12.582000000000001</v>
      </c>
      <c r="BD253" s="237">
        <f t="shared" si="608"/>
        <v>0</v>
      </c>
      <c r="BE253" s="43">
        <f t="shared" si="618"/>
        <v>0</v>
      </c>
      <c r="BF253" s="201">
        <f t="shared" si="619"/>
        <v>0</v>
      </c>
      <c r="BG253" s="201">
        <f t="shared" si="620"/>
        <v>0</v>
      </c>
      <c r="BH253" s="61">
        <f t="shared" si="597"/>
        <v>12.582000000000001</v>
      </c>
      <c r="BI253" s="237">
        <f t="shared" si="621"/>
        <v>0</v>
      </c>
      <c r="BJ253" s="247">
        <f t="shared" si="622"/>
        <v>0</v>
      </c>
      <c r="BK253" s="431">
        <f t="shared" si="598"/>
        <v>0</v>
      </c>
      <c r="BL253" s="250">
        <f t="shared" si="616"/>
        <v>0</v>
      </c>
      <c r="BM253" s="237">
        <f t="shared" si="609"/>
        <v>0</v>
      </c>
      <c r="BN253" s="452">
        <f t="shared" si="600"/>
        <v>12.582000000000001</v>
      </c>
      <c r="BO253" s="237">
        <f t="shared" si="610"/>
        <v>0</v>
      </c>
      <c r="BP253" s="432">
        <f t="shared" si="611"/>
        <v>0</v>
      </c>
      <c r="BQ253" s="22" t="str">
        <f t="shared" si="601"/>
        <v/>
      </c>
      <c r="BR253" s="250">
        <f t="shared" si="602"/>
        <v>0</v>
      </c>
      <c r="BS253" s="237">
        <f t="shared" si="623"/>
        <v>0</v>
      </c>
      <c r="BT253" s="452">
        <f t="shared" si="603"/>
        <v>12.582000000000001</v>
      </c>
      <c r="BU253" s="492">
        <f t="shared" si="626"/>
        <v>1.1749999999999998</v>
      </c>
      <c r="BV253" s="493">
        <f>IF(BT253="","",
IF(AND(BT253&gt;'Данные ТНПА'!$K$8,BT253&lt;='Данные ТНПА'!$L$8),'Данные ТНПА'!$N$8,
IF(AND(BT253&gt;'Данные ТНПА'!$K$9,BT253&lt;='Данные ТНПА'!$L$9),'Данные ТНПА'!$N$9,
IF(AND(BT253&gt;'Данные ТНПА'!$K$10,BT253&lt;='Данные ТНПА'!$L$10),'Данные ТНПА'!$N$10,
IF(AND(BT253&gt;'Данные ТНПА'!$K$11,BT253&lt;='Данные ТНПА'!$L$11),'Данные ТНПА'!$N$11,
IF(AND(BT253&gt;'Данные ТНПА'!$K$12,BT253&lt;='Данные ТНПА'!$L$12),'Данные ТНПА'!$N$12,
IF(AND(BT253&gt;'Данные ТНПА'!$K$13,BT253&lt;='Данные ТНПА'!$L$13),'Данные ТНПА'!$N$13,
IF(AND(BT253&gt;'Данные ТНПА'!$K$14,BT253&lt;='Данные ТНПА'!$L$14),'Данные ТНПА'!$N$14))))))))</f>
        <v>1.5</v>
      </c>
      <c r="BW253" s="493">
        <f t="shared" si="582"/>
        <v>15.582000000000001</v>
      </c>
      <c r="BX253" s="457">
        <f t="shared" si="498"/>
        <v>475.80749999999995</v>
      </c>
      <c r="BY253" s="457">
        <f t="shared" si="499"/>
        <v>0</v>
      </c>
      <c r="BZ253" s="457">
        <f t="shared" si="500"/>
        <v>96.806423606359118</v>
      </c>
      <c r="CA253" s="457" t="e">
        <f t="shared" si="627"/>
        <v>#REF!</v>
      </c>
      <c r="CB253" s="458">
        <f t="shared" si="624"/>
        <v>0</v>
      </c>
      <c r="CC253" s="457">
        <f t="shared" si="585"/>
        <v>0</v>
      </c>
      <c r="CD253" s="457">
        <f t="shared" si="586"/>
        <v>0</v>
      </c>
      <c r="CE253" s="457">
        <f t="shared" si="587"/>
        <v>0</v>
      </c>
      <c r="CF253" s="457">
        <f t="shared" si="588"/>
        <v>0</v>
      </c>
      <c r="CG253" s="458">
        <f t="shared" si="501"/>
        <v>0</v>
      </c>
      <c r="CH253" s="457">
        <f t="shared" si="612"/>
        <v>0</v>
      </c>
      <c r="CI253" s="457">
        <f t="shared" si="613"/>
        <v>0</v>
      </c>
      <c r="CJ253" s="458">
        <f t="shared" si="614"/>
        <v>0</v>
      </c>
      <c r="CK253" s="458">
        <f t="shared" si="606"/>
        <v>96.619958521307595</v>
      </c>
      <c r="CL253" s="457">
        <f t="shared" si="503"/>
        <v>669.23388212766667</v>
      </c>
      <c r="CM253" s="504"/>
      <c r="CN253" s="504"/>
    </row>
    <row r="254" spans="1:92" ht="14.25" hidden="1" customHeight="1" x14ac:dyDescent="0.25">
      <c r="A254" s="389" t="str">
        <f>IF(D254="",CONCATENATE("Кабель ",IF(C254="а","А",""),$A$9),CONCATENATE("Кабель ",IF(C254="а","А",""),$A$9," ",D254,"*",F254,IF(G254="ок"," (ож)","")," - ",B254," ",IF(G254="мс"," фас. ",""),$A$2))</f>
        <v>Кабель АВВГ 5*50 - 1 ГОСТ 16442-80</v>
      </c>
      <c r="B254" s="450">
        <v>1</v>
      </c>
      <c r="C254" s="451" t="s">
        <v>164</v>
      </c>
      <c r="D254" s="412">
        <v>5</v>
      </c>
      <c r="E254" s="413" t="s">
        <v>40</v>
      </c>
      <c r="F254" s="423">
        <v>50</v>
      </c>
      <c r="G254" s="414" t="str">
        <f>IF(I254=1,"ок","мк")</f>
        <v>мк</v>
      </c>
      <c r="H254" s="461">
        <v>3.1199999999999997</v>
      </c>
      <c r="I254" s="476">
        <v>7</v>
      </c>
      <c r="J254" s="477" t="s">
        <v>40</v>
      </c>
      <c r="K254" s="470">
        <f>ROUNDUP(SQRT(F254/I254/PI()*4*1.07),2)</f>
        <v>3.1199999999999997</v>
      </c>
      <c r="L254" s="501">
        <v>2.7699999999999996</v>
      </c>
      <c r="M254" s="475"/>
      <c r="N254" s="475"/>
      <c r="O254" s="475"/>
      <c r="P254" s="475"/>
      <c r="Q254" s="483">
        <f t="shared" si="625"/>
        <v>1.1599999999999999</v>
      </c>
      <c r="R254" s="484">
        <f>IF(B254=0.66,VLOOKUP(F254,'Данные ТНПА'!$B$8:$C$16,2,0),
IF(B254=1,VLOOKUP(F254,'Данные ТНПА'!$B$17:$C$37,2,0),"ошибка"))</f>
        <v>1.4</v>
      </c>
      <c r="S254" s="485">
        <f t="shared" si="488"/>
        <v>5.09</v>
      </c>
      <c r="T254" s="486"/>
      <c r="U254" s="487"/>
      <c r="V254" s="485">
        <f t="shared" si="489"/>
        <v>5.5699999999999994</v>
      </c>
      <c r="W254" s="486"/>
      <c r="X254" s="487"/>
      <c r="Y254" s="489">
        <f t="shared" si="490"/>
        <v>3.9</v>
      </c>
      <c r="Z254" s="491">
        <f t="shared" si="491"/>
        <v>15.039</v>
      </c>
      <c r="AA254" s="237">
        <f t="shared" si="492"/>
        <v>0</v>
      </c>
      <c r="AB254" s="452">
        <f t="shared" si="593"/>
        <v>15.039</v>
      </c>
      <c r="AC254" s="201">
        <f t="shared" si="493"/>
        <v>0</v>
      </c>
      <c r="AD254" s="203">
        <f t="shared" si="594"/>
        <v>0</v>
      </c>
      <c r="AE254" s="37" t="str">
        <f t="shared" si="494"/>
        <v/>
      </c>
      <c r="AF254" s="202">
        <f t="shared" si="595"/>
        <v>0</v>
      </c>
      <c r="AG254" s="201">
        <f t="shared" si="596"/>
        <v>0</v>
      </c>
      <c r="AH254" s="61">
        <f t="shared" si="495"/>
        <v>15.039</v>
      </c>
      <c r="AI254" s="443">
        <f t="shared" si="504"/>
        <v>0</v>
      </c>
      <c r="AJ254" s="444">
        <f t="shared" si="555"/>
        <v>0</v>
      </c>
      <c r="AK254" s="445">
        <f t="shared" si="556"/>
        <v>0</v>
      </c>
      <c r="AL254" s="446">
        <f t="shared" si="557"/>
        <v>0</v>
      </c>
      <c r="AM254" s="447">
        <f t="shared" si="558"/>
        <v>0</v>
      </c>
      <c r="AN254" s="24">
        <f t="shared" si="559"/>
        <v>15.039</v>
      </c>
      <c r="AO254" s="443">
        <f t="shared" si="496"/>
        <v>0</v>
      </c>
      <c r="AP254" s="444">
        <f t="shared" si="560"/>
        <v>0</v>
      </c>
      <c r="AQ254" s="445">
        <f t="shared" si="561"/>
        <v>0</v>
      </c>
      <c r="AR254" s="446">
        <f t="shared" si="562"/>
        <v>0</v>
      </c>
      <c r="AS254" s="447">
        <f t="shared" si="563"/>
        <v>0</v>
      </c>
      <c r="AT254" s="24">
        <f t="shared" si="564"/>
        <v>15.039</v>
      </c>
      <c r="AU254" s="443">
        <f t="shared" si="497"/>
        <v>0</v>
      </c>
      <c r="AV254" s="444">
        <f t="shared" si="565"/>
        <v>0</v>
      </c>
      <c r="AW254" s="445">
        <f t="shared" si="566"/>
        <v>0</v>
      </c>
      <c r="AX254" s="446">
        <f t="shared" si="567"/>
        <v>0</v>
      </c>
      <c r="AY254" s="447">
        <f t="shared" si="568"/>
        <v>0</v>
      </c>
      <c r="AZ254" s="24">
        <f t="shared" si="569"/>
        <v>15.039</v>
      </c>
      <c r="BA254" s="43">
        <f>IF(BB254=0,0,
IF(D254=1,
(IF(AND(AH254&gt;'Данные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"ошибка_1"))))))),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"ошибка_2"))))))))</f>
        <v>0</v>
      </c>
      <c r="BB254" s="43">
        <f>IF(OR($AI$9=0,AND(D254&gt;1,F254&gt;10)),0,
IF(D254=1,
(IF(AND(AH254&gt;'Данные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"ошибка_1"))))))),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IF(AND(AH254&gt;'Данные ТНПА'!#REF!,AH254&lt;='Данные ТНПА'!#REF!),'Данные ТНПА'!#REF!,
"ошибка_2"))))))))</f>
        <v>0</v>
      </c>
      <c r="BC254" s="43">
        <f t="shared" si="570"/>
        <v>15.039</v>
      </c>
      <c r="BD254" s="237">
        <f t="shared" si="608"/>
        <v>0</v>
      </c>
      <c r="BE254" s="43">
        <f t="shared" si="618"/>
        <v>0</v>
      </c>
      <c r="BF254" s="201">
        <f t="shared" si="619"/>
        <v>0</v>
      </c>
      <c r="BG254" s="201">
        <f t="shared" si="620"/>
        <v>0</v>
      </c>
      <c r="BH254" s="61">
        <f t="shared" si="597"/>
        <v>15.039</v>
      </c>
      <c r="BI254" s="237">
        <f t="shared" si="621"/>
        <v>0</v>
      </c>
      <c r="BJ254" s="247">
        <f t="shared" si="622"/>
        <v>0</v>
      </c>
      <c r="BK254" s="431">
        <f t="shared" si="598"/>
        <v>0</v>
      </c>
      <c r="BL254" s="250">
        <f t="shared" si="616"/>
        <v>0</v>
      </c>
      <c r="BM254" s="237">
        <f t="shared" si="609"/>
        <v>0</v>
      </c>
      <c r="BN254" s="452">
        <f t="shared" si="600"/>
        <v>15.039</v>
      </c>
      <c r="BO254" s="237">
        <f t="shared" si="610"/>
        <v>0</v>
      </c>
      <c r="BP254" s="432">
        <f t="shared" si="611"/>
        <v>0</v>
      </c>
      <c r="BQ254" s="22" t="str">
        <f t="shared" si="601"/>
        <v/>
      </c>
      <c r="BR254" s="250">
        <f t="shared" si="602"/>
        <v>0</v>
      </c>
      <c r="BS254" s="237">
        <f t="shared" si="623"/>
        <v>0</v>
      </c>
      <c r="BT254" s="452">
        <f t="shared" si="603"/>
        <v>15.039</v>
      </c>
      <c r="BU254" s="492">
        <f t="shared" si="626"/>
        <v>1.3449999999999998</v>
      </c>
      <c r="BV254" s="493">
        <f>IF(BT254="","",
IF(AND(BT254&gt;'Данные ТНПА'!$K$8,BT254&lt;='Данные ТНПА'!$L$8),'Данные ТНПА'!$N$8,
IF(AND(BT254&gt;'Данные ТНПА'!$K$9,BT254&lt;='Данные ТНПА'!$L$9),'Данные ТНПА'!$N$9,
IF(AND(BT254&gt;'Данные ТНПА'!$K$10,BT254&lt;='Данные ТНПА'!$L$10),'Данные ТНПА'!$N$10,
IF(AND(BT254&gt;'Данные ТНПА'!$K$11,BT254&lt;='Данные ТНПА'!$L$11),'Данные ТНПА'!$N$11,
IF(AND(BT254&gt;'Данные ТНПА'!$K$12,BT254&lt;='Данные ТНПА'!$L$12),'Данные ТНПА'!$N$12,
IF(AND(BT254&gt;'Данные ТНПА'!$K$13,BT254&lt;='Данные ТНПА'!$L$13),'Данные ТНПА'!$N$13,
IF(AND(BT254&gt;'Данные ТНПА'!$K$14,BT254&lt;='Данные ТНПА'!$L$14),'Данные ТНПА'!$N$14))))))))</f>
        <v>1.7</v>
      </c>
      <c r="BW254" s="493">
        <f t="shared" si="582"/>
        <v>18.439</v>
      </c>
      <c r="BX254" s="457">
        <f t="shared" si="498"/>
        <v>679.72499999999991</v>
      </c>
      <c r="BY254" s="457">
        <f t="shared" si="499"/>
        <v>0</v>
      </c>
      <c r="BZ254" s="457">
        <f t="shared" si="500"/>
        <v>136.11654648697606</v>
      </c>
      <c r="CA254" s="457" t="e">
        <f t="shared" si="627"/>
        <v>#REF!</v>
      </c>
      <c r="CB254" s="458">
        <f t="shared" si="624"/>
        <v>0</v>
      </c>
      <c r="CC254" s="457">
        <f t="shared" si="585"/>
        <v>0</v>
      </c>
      <c r="CD254" s="457">
        <f t="shared" si="586"/>
        <v>0</v>
      </c>
      <c r="CE254" s="457">
        <f t="shared" si="587"/>
        <v>0</v>
      </c>
      <c r="CF254" s="457">
        <f t="shared" si="588"/>
        <v>0</v>
      </c>
      <c r="CG254" s="458">
        <f t="shared" si="501"/>
        <v>0</v>
      </c>
      <c r="CH254" s="457">
        <f t="shared" si="612"/>
        <v>0</v>
      </c>
      <c r="CI254" s="457">
        <f t="shared" si="613"/>
        <v>0</v>
      </c>
      <c r="CJ254" s="458">
        <f t="shared" si="614"/>
        <v>0</v>
      </c>
      <c r="CK254" s="458">
        <f t="shared" si="606"/>
        <v>130.16363800927357</v>
      </c>
      <c r="CL254" s="457">
        <f t="shared" si="503"/>
        <v>946.00518449624951</v>
      </c>
      <c r="CM254" s="504"/>
      <c r="CN254" s="504"/>
    </row>
    <row r="255" spans="1:92" ht="14.25" hidden="1" customHeight="1" x14ac:dyDescent="0.25">
      <c r="A255" s="389" t="str">
        <f>IF(D255="",CONCATENATE("Кабель ",IF(C255="а","А",""),$A$9),CONCATENATE("Кабель ",IF(C255="а","А",""),$A$9," ",D255,"*",F255,IF(G255="ок"," (ож)","")," - ",B255," ",IF(G255="мс"," фас. ",""),$A$2))</f>
        <v>Кабель АВВГ 5*2,5 (ож) - 1 ГОСТ 16442-80</v>
      </c>
      <c r="B255" s="450">
        <v>1</v>
      </c>
      <c r="C255" s="451" t="s">
        <v>164</v>
      </c>
      <c r="D255" s="412">
        <v>5</v>
      </c>
      <c r="E255" s="413" t="s">
        <v>40</v>
      </c>
      <c r="F255" s="423">
        <v>2.5</v>
      </c>
      <c r="G255" s="414" t="str">
        <f>IF(I255=1,"ок","мк")</f>
        <v>ок</v>
      </c>
      <c r="H255" s="461">
        <v>1.79</v>
      </c>
      <c r="I255" s="497">
        <v>1</v>
      </c>
      <c r="J255" s="498" t="s">
        <v>40</v>
      </c>
      <c r="K255" s="496">
        <f>ROUNDUP(SQRT(F255/PI()*4),2)</f>
        <v>1.79</v>
      </c>
      <c r="L255" s="501">
        <v>3.57</v>
      </c>
      <c r="M255" s="475"/>
      <c r="N255" s="475"/>
      <c r="O255" s="475"/>
      <c r="P255" s="475"/>
      <c r="Q255" s="483">
        <f t="shared" si="625"/>
        <v>0.62000000000000011</v>
      </c>
      <c r="R255" s="484">
        <f>IF(B255=0.66,VLOOKUP(F255,'Данные ТНПА'!$B$8:$C$16,2,0),
IF(B255=1,VLOOKUP(F255,'Данные ТНПА'!$B$17:$C$37,2,0),"ошибка"))</f>
        <v>0.8</v>
      </c>
      <c r="S255" s="485">
        <f t="shared" si="488"/>
        <v>3.0300000000000002</v>
      </c>
      <c r="T255" s="486"/>
      <c r="U255" s="487"/>
      <c r="V255" s="485">
        <f t="shared" si="489"/>
        <v>3.39</v>
      </c>
      <c r="W255" s="486"/>
      <c r="X255" s="487"/>
      <c r="Y255" s="489">
        <f t="shared" si="490"/>
        <v>2.4</v>
      </c>
      <c r="Z255" s="491">
        <f t="shared" si="491"/>
        <v>9.1530000000000005</v>
      </c>
      <c r="AA255" s="237">
        <f t="shared" si="492"/>
        <v>0</v>
      </c>
      <c r="AB255" s="452">
        <f t="shared" si="593"/>
        <v>9.1530000000000005</v>
      </c>
      <c r="AC255" s="201">
        <f t="shared" si="493"/>
        <v>0</v>
      </c>
      <c r="AD255" s="203">
        <f t="shared" si="594"/>
        <v>0</v>
      </c>
      <c r="AE255" s="37" t="str">
        <f t="shared" si="494"/>
        <v/>
      </c>
      <c r="AF255" s="202">
        <f t="shared" si="595"/>
        <v>0</v>
      </c>
      <c r="AG255" s="201">
        <f t="shared" si="596"/>
        <v>0</v>
      </c>
      <c r="AH255" s="61">
        <f t="shared" si="495"/>
        <v>9.1530000000000005</v>
      </c>
      <c r="AI255" s="443">
        <f t="shared" si="504"/>
        <v>0</v>
      </c>
      <c r="AJ255" s="444">
        <f t="shared" si="555"/>
        <v>0</v>
      </c>
      <c r="AK255" s="445">
        <f t="shared" si="556"/>
        <v>0</v>
      </c>
      <c r="AL255" s="446">
        <f t="shared" si="557"/>
        <v>0</v>
      </c>
      <c r="AM255" s="447">
        <f t="shared" si="558"/>
        <v>0</v>
      </c>
      <c r="AN255" s="24">
        <f t="shared" si="559"/>
        <v>9.1530000000000005</v>
      </c>
      <c r="AO255" s="443">
        <f t="shared" si="496"/>
        <v>0</v>
      </c>
      <c r="AP255" s="444">
        <f t="shared" si="560"/>
        <v>0</v>
      </c>
      <c r="AQ255" s="445">
        <f t="shared" si="561"/>
        <v>0</v>
      </c>
      <c r="AR255" s="446">
        <f t="shared" si="562"/>
        <v>0</v>
      </c>
      <c r="AS255" s="447">
        <f t="shared" si="563"/>
        <v>0</v>
      </c>
      <c r="AT255" s="24">
        <f t="shared" si="564"/>
        <v>9.1530000000000005</v>
      </c>
      <c r="AU255" s="443">
        <f t="shared" si="497"/>
        <v>0</v>
      </c>
      <c r="AV255" s="444">
        <f t="shared" si="565"/>
        <v>0</v>
      </c>
      <c r="AW255" s="445">
        <f t="shared" si="566"/>
        <v>0</v>
      </c>
      <c r="AX255" s="446">
        <f t="shared" si="567"/>
        <v>0</v>
      </c>
      <c r="AY255" s="447">
        <f t="shared" si="568"/>
        <v>0</v>
      </c>
      <c r="AZ255" s="24">
        <f t="shared" si="569"/>
        <v>9.1530000000000005</v>
      </c>
      <c r="BA255" s="43">
        <f>IF(BB255=0,0,
IF(D255=1,
(IF(AND(AH255&gt;'Данные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"ошибка_1"))))))),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"ошибка_2"))))))))</f>
        <v>0</v>
      </c>
      <c r="BB255" s="43">
        <f>IF(OR($AI$9=0,AND(D255&gt;1,F255&gt;10)),0,
IF(D255=1,
(IF(AND(AH255&gt;'Данные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"ошибка_1"))))))),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IF(AND(AH255&gt;'Данные ТНПА'!#REF!,AH255&lt;='Данные ТНПА'!#REF!),'Данные ТНПА'!#REF!,
"ошибка_2"))))))))</f>
        <v>0</v>
      </c>
      <c r="BC255" s="43">
        <f t="shared" si="570"/>
        <v>9.1530000000000005</v>
      </c>
      <c r="BD255" s="237">
        <f t="shared" si="608"/>
        <v>0</v>
      </c>
      <c r="BE255" s="43">
        <f t="shared" si="618"/>
        <v>0</v>
      </c>
      <c r="BF255" s="201">
        <f t="shared" si="619"/>
        <v>0</v>
      </c>
      <c r="BG255" s="201">
        <f t="shared" si="620"/>
        <v>0</v>
      </c>
      <c r="BH255" s="61">
        <f t="shared" si="597"/>
        <v>9.1530000000000005</v>
      </c>
      <c r="BI255" s="237">
        <f t="shared" si="621"/>
        <v>0</v>
      </c>
      <c r="BJ255" s="247">
        <f t="shared" si="622"/>
        <v>0</v>
      </c>
      <c r="BK255" s="431">
        <f t="shared" si="598"/>
        <v>0</v>
      </c>
      <c r="BL255" s="250">
        <f t="shared" si="616"/>
        <v>0</v>
      </c>
      <c r="BM255" s="237">
        <f t="shared" si="609"/>
        <v>0</v>
      </c>
      <c r="BN255" s="452">
        <f t="shared" si="600"/>
        <v>9.1530000000000005</v>
      </c>
      <c r="BO255" s="237">
        <f t="shared" si="610"/>
        <v>0</v>
      </c>
      <c r="BP255" s="432">
        <f t="shared" si="611"/>
        <v>0</v>
      </c>
      <c r="BQ255" s="22" t="str">
        <f t="shared" si="601"/>
        <v/>
      </c>
      <c r="BR255" s="250">
        <f t="shared" si="602"/>
        <v>0</v>
      </c>
      <c r="BS255" s="237">
        <f t="shared" si="623"/>
        <v>0</v>
      </c>
      <c r="BT255" s="452">
        <f t="shared" si="603"/>
        <v>9.1530000000000005</v>
      </c>
      <c r="BU255" s="492">
        <f t="shared" si="626"/>
        <v>1.1749999999999998</v>
      </c>
      <c r="BV255" s="493">
        <f>IF(BT255="","",
IF(AND(BT255&gt;'Данные ТНПА'!$K$8,BT255&lt;='Данные ТНПА'!$L$8),'Данные ТНПА'!$N$8,
IF(AND(BT255&gt;'Данные ТНПА'!$K$9,BT255&lt;='Данные ТНПА'!$L$9),'Данные ТНПА'!$N$9,
IF(AND(BT255&gt;'Данные ТНПА'!$K$10,BT255&lt;='Данные ТНПА'!$L$10),'Данные ТНПА'!$N$10,
IF(AND(BT255&gt;'Данные ТНПА'!$K$11,BT255&lt;='Данные ТНПА'!$L$11),'Данные ТНПА'!$N$11,
IF(AND(BT255&gt;'Данные ТНПА'!$K$12,BT255&lt;='Данные ТНПА'!$L$12),'Данные ТНПА'!$N$12,
IF(AND(BT255&gt;'Данные ТНПА'!$K$13,BT255&lt;='Данные ТНПА'!$L$13),'Данные ТНПА'!$N$13,
IF(AND(BT255&gt;'Данные ТНПА'!$K$14,BT255&lt;='Данные ТНПА'!$L$14),'Данные ТНПА'!$N$14))))))))</f>
        <v>1.5</v>
      </c>
      <c r="BW255" s="493">
        <f t="shared" si="582"/>
        <v>12.153</v>
      </c>
      <c r="BX255" s="457">
        <f t="shared" si="498"/>
        <v>33.986249999999998</v>
      </c>
      <c r="BY255" s="457">
        <f t="shared" si="499"/>
        <v>0</v>
      </c>
      <c r="BZ255" s="457">
        <f t="shared" si="500"/>
        <v>43.918135775174306</v>
      </c>
      <c r="CA255" s="457" t="e">
        <f t="shared" si="627"/>
        <v>#REF!</v>
      </c>
      <c r="CB255" s="458">
        <f t="shared" si="624"/>
        <v>0</v>
      </c>
      <c r="CC255" s="457">
        <f t="shared" si="585"/>
        <v>0</v>
      </c>
      <c r="CD255" s="457">
        <f t="shared" si="586"/>
        <v>0</v>
      </c>
      <c r="CE255" s="457">
        <f t="shared" si="587"/>
        <v>0</v>
      </c>
      <c r="CF255" s="457">
        <f t="shared" si="588"/>
        <v>0</v>
      </c>
      <c r="CG255" s="458">
        <f t="shared" si="501"/>
        <v>0</v>
      </c>
      <c r="CH255" s="457">
        <f t="shared" si="612"/>
        <v>0</v>
      </c>
      <c r="CI255" s="457">
        <f t="shared" si="613"/>
        <v>0</v>
      </c>
      <c r="CJ255" s="458">
        <f t="shared" si="614"/>
        <v>0</v>
      </c>
      <c r="CK255" s="458">
        <f t="shared" si="606"/>
        <v>73.092772200503475</v>
      </c>
      <c r="CL255" s="457">
        <f t="shared" si="503"/>
        <v>150.99715797567779</v>
      </c>
      <c r="CM255" s="504"/>
      <c r="CN255" s="504"/>
    </row>
    <row r="256" spans="1:92" ht="14.25" hidden="1" customHeight="1" x14ac:dyDescent="0.25">
      <c r="A256" s="389" t="str">
        <f>IF(D256="",CONCATENATE("Кабель ",IF(C256="а","А",""),$A$9),CONCATENATE("Кабель ",IF(C256="а","А",""),$A$9," ",D256,"*",F256,IF(G256="ок"," (ож)","")," - ",B256," ",IF(G256="мс"," фас. ",""),$A$2))</f>
        <v>Кабель АВВГ 5*4 (ож) - 1 ГОСТ 16442-80</v>
      </c>
      <c r="B256" s="450">
        <v>1</v>
      </c>
      <c r="C256" s="451" t="s">
        <v>164</v>
      </c>
      <c r="D256" s="412">
        <v>5</v>
      </c>
      <c r="E256" s="413" t="s">
        <v>40</v>
      </c>
      <c r="F256" s="423">
        <v>4</v>
      </c>
      <c r="G256" s="414" t="str">
        <f>IF(I256=1,"ок","мк")</f>
        <v>ок</v>
      </c>
      <c r="H256" s="461">
        <v>2.2599999999999998</v>
      </c>
      <c r="I256" s="497">
        <v>1</v>
      </c>
      <c r="J256" s="498" t="s">
        <v>40</v>
      </c>
      <c r="K256" s="496">
        <f>ROUNDUP(SQRT(F256/PI()*4),2)</f>
        <v>2.2599999999999998</v>
      </c>
      <c r="L256" s="501">
        <v>4.5199999999999996</v>
      </c>
      <c r="M256" s="475"/>
      <c r="N256" s="475"/>
      <c r="O256" s="475"/>
      <c r="P256" s="475"/>
      <c r="Q256" s="483">
        <f t="shared" si="625"/>
        <v>0.8</v>
      </c>
      <c r="R256" s="484">
        <f>IF(B256=0.66,VLOOKUP(F256,'Данные ТНПА'!$B$8:$C$16,2,0),
IF(B256=1,VLOOKUP(F256,'Данные ТНПА'!$B$17:$C$37,2,0),"ошибка"))</f>
        <v>1</v>
      </c>
      <c r="S256" s="485">
        <f t="shared" si="488"/>
        <v>3.86</v>
      </c>
      <c r="T256" s="486"/>
      <c r="U256" s="487"/>
      <c r="V256" s="485">
        <f t="shared" si="489"/>
        <v>4.26</v>
      </c>
      <c r="W256" s="486"/>
      <c r="X256" s="487"/>
      <c r="Y256" s="489">
        <f t="shared" si="490"/>
        <v>3</v>
      </c>
      <c r="Z256" s="491">
        <f t="shared" si="491"/>
        <v>11.502000000000001</v>
      </c>
      <c r="AA256" s="237">
        <f t="shared" si="492"/>
        <v>0</v>
      </c>
      <c r="AB256" s="452">
        <f t="shared" si="593"/>
        <v>11.502000000000001</v>
      </c>
      <c r="AC256" s="201">
        <f t="shared" si="493"/>
        <v>0</v>
      </c>
      <c r="AD256" s="203">
        <f t="shared" si="594"/>
        <v>0</v>
      </c>
      <c r="AE256" s="37" t="str">
        <f t="shared" si="494"/>
        <v/>
      </c>
      <c r="AF256" s="202">
        <f t="shared" si="595"/>
        <v>0</v>
      </c>
      <c r="AG256" s="201">
        <f t="shared" si="596"/>
        <v>0</v>
      </c>
      <c r="AH256" s="61">
        <f t="shared" si="495"/>
        <v>11.502000000000001</v>
      </c>
      <c r="AI256" s="443">
        <f t="shared" si="504"/>
        <v>0</v>
      </c>
      <c r="AJ256" s="444">
        <f t="shared" si="555"/>
        <v>0</v>
      </c>
      <c r="AK256" s="445">
        <f t="shared" si="556"/>
        <v>0</v>
      </c>
      <c r="AL256" s="446">
        <f t="shared" si="557"/>
        <v>0</v>
      </c>
      <c r="AM256" s="447">
        <f t="shared" si="558"/>
        <v>0</v>
      </c>
      <c r="AN256" s="24">
        <f t="shared" si="559"/>
        <v>11.502000000000001</v>
      </c>
      <c r="AO256" s="443">
        <f t="shared" si="496"/>
        <v>0</v>
      </c>
      <c r="AP256" s="444">
        <f t="shared" si="560"/>
        <v>0</v>
      </c>
      <c r="AQ256" s="445">
        <f t="shared" si="561"/>
        <v>0</v>
      </c>
      <c r="AR256" s="446">
        <f t="shared" si="562"/>
        <v>0</v>
      </c>
      <c r="AS256" s="447">
        <f t="shared" si="563"/>
        <v>0</v>
      </c>
      <c r="AT256" s="24">
        <f t="shared" si="564"/>
        <v>11.502000000000001</v>
      </c>
      <c r="AU256" s="443">
        <f t="shared" si="497"/>
        <v>0</v>
      </c>
      <c r="AV256" s="444">
        <f t="shared" si="565"/>
        <v>0</v>
      </c>
      <c r="AW256" s="445">
        <f t="shared" si="566"/>
        <v>0</v>
      </c>
      <c r="AX256" s="446">
        <f t="shared" si="567"/>
        <v>0</v>
      </c>
      <c r="AY256" s="447">
        <f t="shared" si="568"/>
        <v>0</v>
      </c>
      <c r="AZ256" s="24">
        <f t="shared" si="569"/>
        <v>11.502000000000001</v>
      </c>
      <c r="BA256" s="43">
        <f>IF(BB256=0,0,
IF(D256=1,
(IF(AND(AH256&gt;'Данные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"ошибка_1"))))))),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"ошибка_2"))))))))</f>
        <v>0</v>
      </c>
      <c r="BB256" s="43">
        <f>IF(OR($AI$9=0,AND(D256&gt;1,F256&gt;10)),0,
IF(D256=1,
(IF(AND(AH256&gt;'Данные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"ошибка_1"))))))),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IF(AND(AH256&gt;'Данные ТНПА'!#REF!,AH256&lt;='Данные ТНПА'!#REF!),'Данные ТНПА'!#REF!,
"ошибка_2"))))))))</f>
        <v>0</v>
      </c>
      <c r="BC256" s="43">
        <f t="shared" si="570"/>
        <v>11.502000000000001</v>
      </c>
      <c r="BD256" s="237">
        <f t="shared" si="608"/>
        <v>0</v>
      </c>
      <c r="BE256" s="43">
        <f t="shared" si="618"/>
        <v>0</v>
      </c>
      <c r="BF256" s="201">
        <f t="shared" si="619"/>
        <v>0</v>
      </c>
      <c r="BG256" s="201">
        <f t="shared" si="620"/>
        <v>0</v>
      </c>
      <c r="BH256" s="61">
        <f t="shared" si="597"/>
        <v>11.502000000000001</v>
      </c>
      <c r="BI256" s="237">
        <f t="shared" si="621"/>
        <v>0</v>
      </c>
      <c r="BJ256" s="247">
        <f t="shared" si="622"/>
        <v>0</v>
      </c>
      <c r="BK256" s="431">
        <f t="shared" si="598"/>
        <v>0</v>
      </c>
      <c r="BL256" s="250">
        <f t="shared" si="616"/>
        <v>0</v>
      </c>
      <c r="BM256" s="237">
        <f t="shared" si="609"/>
        <v>0</v>
      </c>
      <c r="BN256" s="452">
        <f t="shared" si="600"/>
        <v>11.502000000000001</v>
      </c>
      <c r="BO256" s="237">
        <f t="shared" si="610"/>
        <v>0</v>
      </c>
      <c r="BP256" s="432">
        <f t="shared" si="611"/>
        <v>0</v>
      </c>
      <c r="BQ256" s="22" t="str">
        <f t="shared" si="601"/>
        <v/>
      </c>
      <c r="BR256" s="250">
        <f t="shared" si="602"/>
        <v>0</v>
      </c>
      <c r="BS256" s="237">
        <f t="shared" si="623"/>
        <v>0</v>
      </c>
      <c r="BT256" s="452">
        <f t="shared" si="603"/>
        <v>11.502000000000001</v>
      </c>
      <c r="BU256" s="492">
        <f t="shared" si="626"/>
        <v>1.1749999999999998</v>
      </c>
      <c r="BV256" s="493">
        <f>IF(BT256="","",
IF(AND(BT256&gt;'Данные ТНПА'!$K$8,BT256&lt;='Данные ТНПА'!$L$8),'Данные ТНПА'!$N$8,
IF(AND(BT256&gt;'Данные ТНПА'!$K$9,BT256&lt;='Данные ТНПА'!$L$9),'Данные ТНПА'!$N$9,
IF(AND(BT256&gt;'Данные ТНПА'!$K$10,BT256&lt;='Данные ТНПА'!$L$10),'Данные ТНПА'!$N$10,
IF(AND(BT256&gt;'Данные ТНПА'!$K$11,BT256&lt;='Данные ТНПА'!$L$11),'Данные ТНПА'!$N$11,
IF(AND(BT256&gt;'Данные ТНПА'!$K$12,BT256&lt;='Данные ТНПА'!$L$12),'Данные ТНПА'!$N$12,
IF(AND(BT256&gt;'Данные ТНПА'!$K$13,BT256&lt;='Данные ТНПА'!$L$13),'Данные ТНПА'!$N$13,
IF(AND(BT256&gt;'Данные ТНПА'!$K$14,BT256&lt;='Данные ТНПА'!$L$14),'Данные ТНПА'!$N$14))))))))</f>
        <v>1.5</v>
      </c>
      <c r="BW256" s="493">
        <f t="shared" si="582"/>
        <v>14.502000000000001</v>
      </c>
      <c r="BX256" s="457">
        <f t="shared" si="498"/>
        <v>54.377999999999993</v>
      </c>
      <c r="BY256" s="457">
        <f t="shared" si="499"/>
        <v>0</v>
      </c>
      <c r="BZ256" s="457">
        <f t="shared" si="500"/>
        <v>69.098997406886213</v>
      </c>
      <c r="CA256" s="457" t="e">
        <f t="shared" si="627"/>
        <v>#REF!</v>
      </c>
      <c r="CB256" s="458">
        <f t="shared" si="624"/>
        <v>0</v>
      </c>
      <c r="CC256" s="457">
        <f t="shared" si="585"/>
        <v>0</v>
      </c>
      <c r="CD256" s="457">
        <f t="shared" si="586"/>
        <v>0</v>
      </c>
      <c r="CE256" s="457">
        <f t="shared" si="587"/>
        <v>0</v>
      </c>
      <c r="CF256" s="457">
        <f t="shared" si="588"/>
        <v>0</v>
      </c>
      <c r="CG256" s="458">
        <f t="shared" si="501"/>
        <v>0</v>
      </c>
      <c r="CH256" s="457">
        <f t="shared" si="612"/>
        <v>0</v>
      </c>
      <c r="CI256" s="457">
        <f t="shared" si="613"/>
        <v>0</v>
      </c>
      <c r="CJ256" s="458">
        <f t="shared" si="614"/>
        <v>0</v>
      </c>
      <c r="CK256" s="458">
        <f t="shared" si="606"/>
        <v>89.209821097432282</v>
      </c>
      <c r="CL256" s="457">
        <f t="shared" si="503"/>
        <v>212.68681850431847</v>
      </c>
      <c r="CM256" s="504"/>
      <c r="CN256" s="504"/>
    </row>
    <row r="257" spans="1:92" ht="14.25" hidden="1" customHeight="1" x14ac:dyDescent="0.25">
      <c r="A257" s="389" t="str">
        <f>IF(D257="",CONCATENATE("Кабель ",IF(C257="а","А",""),$A$9),CONCATENATE("Кабель ",IF(C257="а","А",""),$A$9," ",D257,"*",F257,IF(G257="ок"," (ож)","")," - ",B257," ",IF(G257="мс"," фас. ",""),$A$2))</f>
        <v>Кабель АВВГ 5*6 (ож) - 1 ГОСТ 16442-80</v>
      </c>
      <c r="B257" s="450">
        <v>1</v>
      </c>
      <c r="C257" s="451" t="s">
        <v>164</v>
      </c>
      <c r="D257" s="412">
        <v>5</v>
      </c>
      <c r="E257" s="413" t="s">
        <v>40</v>
      </c>
      <c r="F257" s="423">
        <v>6</v>
      </c>
      <c r="G257" s="414" t="str">
        <f>IF(I257=1,"ок","мк")</f>
        <v>ок</v>
      </c>
      <c r="H257" s="461">
        <v>2.7699999999999996</v>
      </c>
      <c r="I257" s="497">
        <v>1</v>
      </c>
      <c r="J257" s="498" t="s">
        <v>40</v>
      </c>
      <c r="K257" s="496">
        <f>ROUNDUP(SQRT(F257/PI()*4),2)</f>
        <v>2.7699999999999996</v>
      </c>
      <c r="L257" s="501">
        <v>5.6499999999999995</v>
      </c>
      <c r="M257" s="475"/>
      <c r="N257" s="475"/>
      <c r="O257" s="475"/>
      <c r="P257" s="475"/>
      <c r="Q257" s="483">
        <f t="shared" si="625"/>
        <v>0.8</v>
      </c>
      <c r="R257" s="484">
        <f>IF(B257=0.66,VLOOKUP(F257,'Данные ТНПА'!$B$8:$C$16,2,0),
IF(B257=1,VLOOKUP(F257,'Данные ТНПА'!$B$17:$C$37,2,0),"ошибка"))</f>
        <v>1</v>
      </c>
      <c r="S257" s="485">
        <f t="shared" si="488"/>
        <v>4.3699999999999992</v>
      </c>
      <c r="T257" s="486"/>
      <c r="U257" s="487"/>
      <c r="V257" s="485">
        <f t="shared" si="489"/>
        <v>4.7699999999999996</v>
      </c>
      <c r="W257" s="486"/>
      <c r="X257" s="487"/>
      <c r="Y257" s="489">
        <f t="shared" si="490"/>
        <v>3.3</v>
      </c>
      <c r="Z257" s="491">
        <f t="shared" si="491"/>
        <v>12.879</v>
      </c>
      <c r="AA257" s="237">
        <f t="shared" si="492"/>
        <v>0</v>
      </c>
      <c r="AB257" s="452">
        <f t="shared" si="593"/>
        <v>12.879</v>
      </c>
      <c r="AC257" s="201">
        <f t="shared" si="493"/>
        <v>0</v>
      </c>
      <c r="AD257" s="203">
        <f t="shared" si="594"/>
        <v>0</v>
      </c>
      <c r="AE257" s="37" t="str">
        <f t="shared" si="494"/>
        <v/>
      </c>
      <c r="AF257" s="202">
        <f t="shared" si="595"/>
        <v>0</v>
      </c>
      <c r="AG257" s="201">
        <f t="shared" si="596"/>
        <v>0</v>
      </c>
      <c r="AH257" s="61">
        <f t="shared" si="495"/>
        <v>12.879</v>
      </c>
      <c r="AI257" s="443">
        <f t="shared" si="504"/>
        <v>0</v>
      </c>
      <c r="AJ257" s="444">
        <f t="shared" si="555"/>
        <v>0</v>
      </c>
      <c r="AK257" s="445">
        <f t="shared" si="556"/>
        <v>0</v>
      </c>
      <c r="AL257" s="446">
        <f t="shared" si="557"/>
        <v>0</v>
      </c>
      <c r="AM257" s="447">
        <f t="shared" si="558"/>
        <v>0</v>
      </c>
      <c r="AN257" s="24">
        <f t="shared" si="559"/>
        <v>12.879</v>
      </c>
      <c r="AO257" s="443">
        <f t="shared" si="496"/>
        <v>0</v>
      </c>
      <c r="AP257" s="444">
        <f t="shared" si="560"/>
        <v>0</v>
      </c>
      <c r="AQ257" s="445">
        <f t="shared" si="561"/>
        <v>0</v>
      </c>
      <c r="AR257" s="446">
        <f t="shared" si="562"/>
        <v>0</v>
      </c>
      <c r="AS257" s="447">
        <f t="shared" si="563"/>
        <v>0</v>
      </c>
      <c r="AT257" s="24">
        <f t="shared" si="564"/>
        <v>12.879</v>
      </c>
      <c r="AU257" s="443">
        <f t="shared" si="497"/>
        <v>0</v>
      </c>
      <c r="AV257" s="444">
        <f t="shared" si="565"/>
        <v>0</v>
      </c>
      <c r="AW257" s="445">
        <f t="shared" si="566"/>
        <v>0</v>
      </c>
      <c r="AX257" s="446">
        <f t="shared" si="567"/>
        <v>0</v>
      </c>
      <c r="AY257" s="447">
        <f t="shared" si="568"/>
        <v>0</v>
      </c>
      <c r="AZ257" s="24">
        <f t="shared" si="569"/>
        <v>12.879</v>
      </c>
      <c r="BA257" s="43">
        <f>IF(BB257=0,0,
IF(D257=1,
(IF(AND(AH257&gt;'Данные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"ошибка_1"))))))),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"ошибка_2"))))))))</f>
        <v>0</v>
      </c>
      <c r="BB257" s="43">
        <f>IF(OR($AI$9=0,AND(D257&gt;1,F257&gt;10)),0,
IF(D257=1,
(IF(AND(AH257&gt;'Данные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"ошибка_1"))))))),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IF(AND(AH257&gt;'Данные ТНПА'!#REF!,AH257&lt;='Данные ТНПА'!#REF!),'Данные ТНПА'!#REF!,
"ошибка_2"))))))))</f>
        <v>0</v>
      </c>
      <c r="BC257" s="43">
        <f t="shared" si="570"/>
        <v>12.879</v>
      </c>
      <c r="BD257" s="237">
        <f t="shared" si="608"/>
        <v>0</v>
      </c>
      <c r="BE257" s="43">
        <f t="shared" si="618"/>
        <v>0</v>
      </c>
      <c r="BF257" s="201">
        <f t="shared" si="619"/>
        <v>0</v>
      </c>
      <c r="BG257" s="201">
        <f t="shared" si="620"/>
        <v>0</v>
      </c>
      <c r="BH257" s="61">
        <f t="shared" si="597"/>
        <v>12.879</v>
      </c>
      <c r="BI257" s="237">
        <f t="shared" si="621"/>
        <v>0</v>
      </c>
      <c r="BJ257" s="247">
        <f t="shared" si="622"/>
        <v>0</v>
      </c>
      <c r="BK257" s="431">
        <f t="shared" si="598"/>
        <v>0</v>
      </c>
      <c r="BL257" s="250">
        <f t="shared" si="616"/>
        <v>0</v>
      </c>
      <c r="BM257" s="237">
        <f t="shared" si="609"/>
        <v>0</v>
      </c>
      <c r="BN257" s="452">
        <f t="shared" si="600"/>
        <v>12.879</v>
      </c>
      <c r="BO257" s="237">
        <f t="shared" si="610"/>
        <v>0</v>
      </c>
      <c r="BP257" s="432">
        <f t="shared" si="611"/>
        <v>0</v>
      </c>
      <c r="BQ257" s="22" t="str">
        <f t="shared" si="601"/>
        <v/>
      </c>
      <c r="BR257" s="250">
        <f t="shared" si="602"/>
        <v>0</v>
      </c>
      <c r="BS257" s="237">
        <f t="shared" si="623"/>
        <v>0</v>
      </c>
      <c r="BT257" s="452">
        <f t="shared" si="603"/>
        <v>12.879</v>
      </c>
      <c r="BU257" s="492">
        <f t="shared" si="626"/>
        <v>1.1749999999999998</v>
      </c>
      <c r="BV257" s="493">
        <f>IF(BT257="","",
IF(AND(BT257&gt;'Данные ТНПА'!$K$8,BT257&lt;='Данные ТНПА'!$L$8),'Данные ТНПА'!$N$8,
IF(AND(BT257&gt;'Данные ТНПА'!$K$9,BT257&lt;='Данные ТНПА'!$L$9),'Данные ТНПА'!$N$9,
IF(AND(BT257&gt;'Данные ТНПА'!$K$10,BT257&lt;='Данные ТНПА'!$L$10),'Данные ТНПА'!$N$10,
IF(AND(BT257&gt;'Данные ТНПА'!$K$11,BT257&lt;='Данные ТНПА'!$L$11),'Данные ТНПА'!$N$11,
IF(AND(BT257&gt;'Данные ТНПА'!$K$12,BT257&lt;='Данные ТНПА'!$L$12),'Данные ТНПА'!$N$12,
IF(AND(BT257&gt;'Данные ТНПА'!$K$13,BT257&lt;='Данные ТНПА'!$L$13),'Данные ТНПА'!$N$13,
IF(AND(BT257&gt;'Данные ТНПА'!$K$14,BT257&lt;='Данные ТНПА'!$L$14),'Данные ТНПА'!$N$14))))))))</f>
        <v>1.5</v>
      </c>
      <c r="BW257" s="493">
        <f t="shared" si="582"/>
        <v>15.879</v>
      </c>
      <c r="BX257" s="457">
        <f t="shared" si="498"/>
        <v>81.567000000000007</v>
      </c>
      <c r="BY257" s="457">
        <f t="shared" si="499"/>
        <v>0</v>
      </c>
      <c r="BZ257" s="457">
        <f t="shared" si="500"/>
        <v>79.908963258883745</v>
      </c>
      <c r="CA257" s="457" t="e">
        <f t="shared" si="627"/>
        <v>#REF!</v>
      </c>
      <c r="CB257" s="458">
        <f t="shared" si="624"/>
        <v>0</v>
      </c>
      <c r="CC257" s="457">
        <f t="shared" si="585"/>
        <v>0</v>
      </c>
      <c r="CD257" s="457">
        <f t="shared" si="586"/>
        <v>0</v>
      </c>
      <c r="CE257" s="457">
        <f t="shared" si="587"/>
        <v>0</v>
      </c>
      <c r="CF257" s="457">
        <f t="shared" si="588"/>
        <v>0</v>
      </c>
      <c r="CG257" s="458">
        <f t="shared" si="501"/>
        <v>0</v>
      </c>
      <c r="CH257" s="457">
        <f t="shared" si="612"/>
        <v>0</v>
      </c>
      <c r="CI257" s="457">
        <f t="shared" si="613"/>
        <v>0</v>
      </c>
      <c r="CJ257" s="458">
        <f t="shared" si="614"/>
        <v>0</v>
      </c>
      <c r="CK257" s="458">
        <f t="shared" si="606"/>
        <v>98.657746312873314</v>
      </c>
      <c r="CL257" s="457">
        <f t="shared" si="503"/>
        <v>260.13370957175709</v>
      </c>
      <c r="CM257" s="504"/>
      <c r="CN257" s="504"/>
    </row>
    <row r="258" spans="1:92" ht="14.25" hidden="1" customHeight="1" x14ac:dyDescent="0.25">
      <c r="A258" s="389" t="str">
        <f>IF(D258="",CONCATENATE("Кабель ",IF(C258="а","А",""),$A$9),CONCATENATE("Кабель ",IF(C258="а","А",""),$A$9," ",D258,"*",F258,IF(G258="ок"," (ож)","")," - ",B258," ",IF(G258="мс"," фас. ",""),$A$2))</f>
        <v>Кабель АВВГ 5*10 (ож) - 1 ГОСТ 16442-80</v>
      </c>
      <c r="B258" s="450">
        <v>1</v>
      </c>
      <c r="C258" s="451" t="s">
        <v>164</v>
      </c>
      <c r="D258" s="412">
        <v>5</v>
      </c>
      <c r="E258" s="413" t="s">
        <v>40</v>
      </c>
      <c r="F258" s="423">
        <v>10</v>
      </c>
      <c r="G258" s="414" t="str">
        <f>IF(I258=1,"ок","мк")</f>
        <v>ок</v>
      </c>
      <c r="H258" s="461">
        <v>3.57</v>
      </c>
      <c r="I258" s="497">
        <v>1</v>
      </c>
      <c r="J258" s="498" t="s">
        <v>40</v>
      </c>
      <c r="K258" s="496">
        <f>ROUNDUP(SQRT(F258/PI()*4),2)</f>
        <v>3.57</v>
      </c>
      <c r="L258" s="501">
        <v>6.68</v>
      </c>
      <c r="M258" s="475"/>
      <c r="N258" s="475"/>
      <c r="O258" s="475"/>
      <c r="P258" s="475"/>
      <c r="Q258" s="483">
        <f t="shared" si="625"/>
        <v>0.8</v>
      </c>
      <c r="R258" s="484">
        <f>IF(B258=0.66,VLOOKUP(F258,'Данные ТНПА'!$B$8:$C$16,2,0),
IF(B258=1,VLOOKUP(F258,'Данные ТНПА'!$B$17:$C$37,2,0),"ошибка"))</f>
        <v>1</v>
      </c>
      <c r="S258" s="485">
        <f t="shared" si="488"/>
        <v>5.17</v>
      </c>
      <c r="T258" s="486"/>
      <c r="U258" s="487"/>
      <c r="V258" s="485">
        <f t="shared" si="489"/>
        <v>5.57</v>
      </c>
      <c r="W258" s="486"/>
      <c r="X258" s="487"/>
      <c r="Y258" s="489">
        <f t="shared" si="490"/>
        <v>3.9</v>
      </c>
      <c r="Z258" s="491">
        <f t="shared" si="491"/>
        <v>15.039000000000001</v>
      </c>
      <c r="AA258" s="237">
        <f t="shared" si="492"/>
        <v>0</v>
      </c>
      <c r="AB258" s="452">
        <f t="shared" si="593"/>
        <v>15.039000000000001</v>
      </c>
      <c r="AC258" s="201">
        <f t="shared" si="493"/>
        <v>0</v>
      </c>
      <c r="AD258" s="203">
        <f t="shared" si="594"/>
        <v>0</v>
      </c>
      <c r="AE258" s="37" t="str">
        <f t="shared" si="494"/>
        <v/>
      </c>
      <c r="AF258" s="202">
        <f t="shared" si="595"/>
        <v>0</v>
      </c>
      <c r="AG258" s="201">
        <f t="shared" si="596"/>
        <v>0</v>
      </c>
      <c r="AH258" s="61">
        <f t="shared" si="495"/>
        <v>15.039000000000001</v>
      </c>
      <c r="AI258" s="443">
        <f t="shared" si="504"/>
        <v>0</v>
      </c>
      <c r="AJ258" s="444">
        <f t="shared" si="555"/>
        <v>0</v>
      </c>
      <c r="AK258" s="445">
        <f t="shared" si="556"/>
        <v>0</v>
      </c>
      <c r="AL258" s="446">
        <f t="shared" si="557"/>
        <v>0</v>
      </c>
      <c r="AM258" s="447">
        <f t="shared" si="558"/>
        <v>0</v>
      </c>
      <c r="AN258" s="24">
        <f t="shared" si="559"/>
        <v>15.039000000000001</v>
      </c>
      <c r="AO258" s="443">
        <f t="shared" si="496"/>
        <v>0</v>
      </c>
      <c r="AP258" s="444">
        <f t="shared" si="560"/>
        <v>0</v>
      </c>
      <c r="AQ258" s="445">
        <f t="shared" si="561"/>
        <v>0</v>
      </c>
      <c r="AR258" s="446">
        <f t="shared" si="562"/>
        <v>0</v>
      </c>
      <c r="AS258" s="447">
        <f t="shared" si="563"/>
        <v>0</v>
      </c>
      <c r="AT258" s="24">
        <f t="shared" si="564"/>
        <v>15.039000000000001</v>
      </c>
      <c r="AU258" s="443">
        <f t="shared" si="497"/>
        <v>0</v>
      </c>
      <c r="AV258" s="444">
        <f t="shared" si="565"/>
        <v>0</v>
      </c>
      <c r="AW258" s="445">
        <f t="shared" si="566"/>
        <v>0</v>
      </c>
      <c r="AX258" s="446">
        <f t="shared" si="567"/>
        <v>0</v>
      </c>
      <c r="AY258" s="447">
        <f t="shared" si="568"/>
        <v>0</v>
      </c>
      <c r="AZ258" s="24">
        <f t="shared" si="569"/>
        <v>15.039000000000001</v>
      </c>
      <c r="BA258" s="43">
        <f>IF(BB258=0,0,
IF(D258=1,
(IF(AND(AH258&gt;'Данные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"ошибка_1"))))))),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"ошибка_2"))))))))</f>
        <v>0</v>
      </c>
      <c r="BB258" s="43">
        <f>IF(OR($AI$9=0,AND(D258&gt;1,F258&gt;10)),0,
IF(D258=1,
(IF(AND(AH258&gt;'Данные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"ошибка_1"))))))),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IF(AND(AH258&gt;'Данные ТНПА'!#REF!,AH258&lt;='Данные ТНПА'!#REF!),'Данные ТНПА'!#REF!,
"ошибка_2"))))))))</f>
        <v>0</v>
      </c>
      <c r="BC258" s="43">
        <f t="shared" si="570"/>
        <v>15.039000000000001</v>
      </c>
      <c r="BD258" s="237">
        <f t="shared" si="608"/>
        <v>0</v>
      </c>
      <c r="BE258" s="43">
        <f t="shared" si="618"/>
        <v>0</v>
      </c>
      <c r="BF258" s="201">
        <f t="shared" si="619"/>
        <v>0</v>
      </c>
      <c r="BG258" s="201">
        <f t="shared" si="620"/>
        <v>0</v>
      </c>
      <c r="BH258" s="61">
        <f t="shared" si="597"/>
        <v>15.039000000000001</v>
      </c>
      <c r="BI258" s="237">
        <f t="shared" si="621"/>
        <v>0</v>
      </c>
      <c r="BJ258" s="247">
        <f t="shared" si="622"/>
        <v>0</v>
      </c>
      <c r="BK258" s="431">
        <f t="shared" si="598"/>
        <v>0</v>
      </c>
      <c r="BL258" s="250">
        <f t="shared" si="616"/>
        <v>0</v>
      </c>
      <c r="BM258" s="237">
        <f t="shared" si="609"/>
        <v>0</v>
      </c>
      <c r="BN258" s="452">
        <f t="shared" si="600"/>
        <v>15.039000000000001</v>
      </c>
      <c r="BO258" s="237">
        <f t="shared" si="610"/>
        <v>0</v>
      </c>
      <c r="BP258" s="432">
        <f t="shared" si="611"/>
        <v>0</v>
      </c>
      <c r="BQ258" s="22" t="str">
        <f t="shared" si="601"/>
        <v/>
      </c>
      <c r="BR258" s="250">
        <f t="shared" si="602"/>
        <v>0</v>
      </c>
      <c r="BS258" s="237">
        <f t="shared" si="623"/>
        <v>0</v>
      </c>
      <c r="BT258" s="452">
        <f t="shared" si="603"/>
        <v>15.039000000000001</v>
      </c>
      <c r="BU258" s="492">
        <f t="shared" si="626"/>
        <v>1.3449999999999998</v>
      </c>
      <c r="BV258" s="493">
        <f>IF(BT258="","",
IF(AND(BT258&gt;'Данные ТНПА'!$K$8,BT258&lt;='Данные ТНПА'!$L$8),'Данные ТНПА'!$N$8,
IF(AND(BT258&gt;'Данные ТНПА'!$K$9,BT258&lt;='Данные ТНПА'!$L$9),'Данные ТНПА'!$N$9,
IF(AND(BT258&gt;'Данные ТНПА'!$K$10,BT258&lt;='Данные ТНПА'!$L$10),'Данные ТНПА'!$N$10,
IF(AND(BT258&gt;'Данные ТНПА'!$K$11,BT258&lt;='Данные ТНПА'!$L$11),'Данные ТНПА'!$N$11,
IF(AND(BT258&gt;'Данные ТНПА'!$K$12,BT258&lt;='Данные ТНПА'!$L$12),'Данные ТНПА'!$N$12,
IF(AND(BT258&gt;'Данные ТНПА'!$K$13,BT258&lt;='Данные ТНПА'!$L$13),'Данные ТНПА'!$N$13,
IF(AND(BT258&gt;'Данные ТНПА'!$K$14,BT258&lt;='Данные ТНПА'!$L$14),'Данные ТНПА'!$N$14))))))))</f>
        <v>1.7</v>
      </c>
      <c r="BW258" s="493">
        <f t="shared" si="582"/>
        <v>18.439</v>
      </c>
      <c r="BX258" s="457">
        <f t="shared" si="498"/>
        <v>135.94499999999999</v>
      </c>
      <c r="BY258" s="457">
        <f t="shared" si="499"/>
        <v>0</v>
      </c>
      <c r="BZ258" s="457">
        <f t="shared" si="500"/>
        <v>96.865772438487753</v>
      </c>
      <c r="CA258" s="457" t="e">
        <f t="shared" si="627"/>
        <v>#REF!</v>
      </c>
      <c r="CB258" s="458">
        <f t="shared" si="624"/>
        <v>0</v>
      </c>
      <c r="CC258" s="457">
        <f t="shared" si="585"/>
        <v>0</v>
      </c>
      <c r="CD258" s="457">
        <f t="shared" si="586"/>
        <v>0</v>
      </c>
      <c r="CE258" s="457">
        <f t="shared" si="587"/>
        <v>0</v>
      </c>
      <c r="CF258" s="457">
        <f t="shared" si="588"/>
        <v>0</v>
      </c>
      <c r="CG258" s="458">
        <f t="shared" si="501"/>
        <v>0</v>
      </c>
      <c r="CH258" s="457">
        <f t="shared" si="612"/>
        <v>0</v>
      </c>
      <c r="CI258" s="457">
        <f t="shared" si="613"/>
        <v>0</v>
      </c>
      <c r="CJ258" s="458">
        <f t="shared" si="614"/>
        <v>0</v>
      </c>
      <c r="CK258" s="458">
        <f t="shared" si="606"/>
        <v>130.16363800927357</v>
      </c>
      <c r="CL258" s="457">
        <f t="shared" si="503"/>
        <v>362.97441044776133</v>
      </c>
      <c r="CM258" s="504"/>
      <c r="CN258" s="504"/>
    </row>
    <row r="259" spans="1:92" ht="14.25" hidden="1" customHeight="1" x14ac:dyDescent="0.25">
      <c r="A259" s="389" t="str">
        <f>IF(D259="",CONCATENATE("Кабель ",IF(C259="а","А",""),$A$9),CONCATENATE("Кабель ",IF(C259="а","А",""),$A$9," ",D259,"*",F259,IF(G259="ок"," (ож)","")," - ",B259," ",IF(G259="мс"," фас. ",""),$A$2))</f>
        <v>Кабель АВВГ 5*16 (ож) - 1 ГОСТ 16442-80</v>
      </c>
      <c r="B259" s="450">
        <v>1</v>
      </c>
      <c r="C259" s="451" t="s">
        <v>164</v>
      </c>
      <c r="D259" s="412">
        <v>5</v>
      </c>
      <c r="E259" s="413" t="s">
        <v>40</v>
      </c>
      <c r="F259" s="423">
        <v>16</v>
      </c>
      <c r="G259" s="414" t="str">
        <f>IF(I259=1,"ок","мк")</f>
        <v>ок</v>
      </c>
      <c r="H259" s="461">
        <v>4.5199999999999996</v>
      </c>
      <c r="I259" s="497">
        <v>1</v>
      </c>
      <c r="J259" s="498" t="s">
        <v>40</v>
      </c>
      <c r="K259" s="496">
        <f>ROUNDUP(SQRT(F259/PI()*4),2)</f>
        <v>4.5199999999999996</v>
      </c>
      <c r="L259" s="501">
        <v>5.99</v>
      </c>
      <c r="M259" s="475"/>
      <c r="N259" s="475"/>
      <c r="O259" s="475"/>
      <c r="P259" s="475"/>
      <c r="Q259" s="483">
        <f t="shared" si="625"/>
        <v>0.8</v>
      </c>
      <c r="R259" s="484">
        <f>IF(B259=0.66,VLOOKUP(F259,'Данные ТНПА'!$B$8:$C$16,2,0),
IF(B259=1,VLOOKUP(F259,'Данные ТНПА'!$B$17:$C$37,2,0),"ошибка"))</f>
        <v>1</v>
      </c>
      <c r="S259" s="485">
        <f t="shared" si="488"/>
        <v>6.1199999999999992</v>
      </c>
      <c r="T259" s="486"/>
      <c r="U259" s="487"/>
      <c r="V259" s="485">
        <f t="shared" si="489"/>
        <v>6.52</v>
      </c>
      <c r="W259" s="486"/>
      <c r="X259" s="487"/>
      <c r="Y259" s="489">
        <f t="shared" si="490"/>
        <v>4.5999999999999996</v>
      </c>
      <c r="Z259" s="491">
        <f t="shared" si="491"/>
        <v>17.603999999999999</v>
      </c>
      <c r="AA259" s="237">
        <f t="shared" si="492"/>
        <v>0</v>
      </c>
      <c r="AB259" s="452">
        <f t="shared" si="593"/>
        <v>17.603999999999999</v>
      </c>
      <c r="AC259" s="201">
        <f t="shared" si="493"/>
        <v>0</v>
      </c>
      <c r="AD259" s="203">
        <f t="shared" si="594"/>
        <v>0</v>
      </c>
      <c r="AE259" s="37" t="str">
        <f t="shared" si="494"/>
        <v/>
      </c>
      <c r="AF259" s="202">
        <f t="shared" si="595"/>
        <v>0</v>
      </c>
      <c r="AG259" s="201">
        <f t="shared" si="596"/>
        <v>0</v>
      </c>
      <c r="AH259" s="61">
        <f t="shared" si="495"/>
        <v>17.603999999999999</v>
      </c>
      <c r="AI259" s="443">
        <f t="shared" si="504"/>
        <v>0</v>
      </c>
      <c r="AJ259" s="444">
        <f t="shared" si="555"/>
        <v>0</v>
      </c>
      <c r="AK259" s="445">
        <f t="shared" si="556"/>
        <v>0</v>
      </c>
      <c r="AL259" s="446">
        <f t="shared" si="557"/>
        <v>0</v>
      </c>
      <c r="AM259" s="447">
        <f t="shared" si="558"/>
        <v>0</v>
      </c>
      <c r="AN259" s="24">
        <f t="shared" si="559"/>
        <v>17.603999999999999</v>
      </c>
      <c r="AO259" s="443">
        <f t="shared" si="496"/>
        <v>0</v>
      </c>
      <c r="AP259" s="444">
        <f t="shared" si="560"/>
        <v>0</v>
      </c>
      <c r="AQ259" s="445">
        <f t="shared" si="561"/>
        <v>0</v>
      </c>
      <c r="AR259" s="446">
        <f t="shared" si="562"/>
        <v>0</v>
      </c>
      <c r="AS259" s="447">
        <f t="shared" si="563"/>
        <v>0</v>
      </c>
      <c r="AT259" s="24">
        <f t="shared" si="564"/>
        <v>17.603999999999999</v>
      </c>
      <c r="AU259" s="443">
        <f t="shared" si="497"/>
        <v>0</v>
      </c>
      <c r="AV259" s="444">
        <f t="shared" si="565"/>
        <v>0</v>
      </c>
      <c r="AW259" s="445">
        <f t="shared" si="566"/>
        <v>0</v>
      </c>
      <c r="AX259" s="446">
        <f t="shared" si="567"/>
        <v>0</v>
      </c>
      <c r="AY259" s="447">
        <f t="shared" si="568"/>
        <v>0</v>
      </c>
      <c r="AZ259" s="24">
        <f t="shared" si="569"/>
        <v>17.603999999999999</v>
      </c>
      <c r="BA259" s="43">
        <f>IF(BB259=0,0,
IF(D259=1,
(IF(AND(AH259&gt;'Данные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"ошибка_1"))))))),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"ошибка_2"))))))))</f>
        <v>0</v>
      </c>
      <c r="BB259" s="43">
        <f>IF(OR($AI$9=0,AND(D259&gt;1,F259&gt;10)),0,
IF(D259=1,
(IF(AND(AH259&gt;'Данные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"ошибка_1"))))))),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IF(AND(AH259&gt;'Данные ТНПА'!#REF!,AH259&lt;='Данные ТНПА'!#REF!),'Данные ТНПА'!#REF!,
"ошибка_2"))))))))</f>
        <v>0</v>
      </c>
      <c r="BC259" s="43">
        <f t="shared" si="570"/>
        <v>17.603999999999999</v>
      </c>
      <c r="BD259" s="237">
        <f t="shared" si="608"/>
        <v>0</v>
      </c>
      <c r="BE259" s="43">
        <f t="shared" si="618"/>
        <v>0</v>
      </c>
      <c r="BF259" s="201">
        <f t="shared" si="619"/>
        <v>0</v>
      </c>
      <c r="BG259" s="201">
        <f t="shared" si="620"/>
        <v>0</v>
      </c>
      <c r="BH259" s="61">
        <f t="shared" si="597"/>
        <v>17.603999999999999</v>
      </c>
      <c r="BI259" s="237">
        <f t="shared" si="621"/>
        <v>0</v>
      </c>
      <c r="BJ259" s="247">
        <f t="shared" si="622"/>
        <v>0</v>
      </c>
      <c r="BK259" s="431">
        <f t="shared" si="598"/>
        <v>0</v>
      </c>
      <c r="BL259" s="250">
        <f t="shared" si="616"/>
        <v>0</v>
      </c>
      <c r="BM259" s="237">
        <f t="shared" si="609"/>
        <v>0</v>
      </c>
      <c r="BN259" s="452">
        <f t="shared" si="600"/>
        <v>17.603999999999999</v>
      </c>
      <c r="BO259" s="237">
        <f t="shared" si="610"/>
        <v>0</v>
      </c>
      <c r="BP259" s="432">
        <f t="shared" si="611"/>
        <v>0</v>
      </c>
      <c r="BQ259" s="22" t="str">
        <f t="shared" si="601"/>
        <v/>
      </c>
      <c r="BR259" s="250">
        <f t="shared" si="602"/>
        <v>0</v>
      </c>
      <c r="BS259" s="237">
        <f t="shared" si="623"/>
        <v>0</v>
      </c>
      <c r="BT259" s="452">
        <f t="shared" si="603"/>
        <v>17.603999999999999</v>
      </c>
      <c r="BU259" s="492">
        <f t="shared" si="626"/>
        <v>1.3449999999999998</v>
      </c>
      <c r="BV259" s="493">
        <f>IF(BT259="","",
IF(AND(BT259&gt;'Данные ТНПА'!$K$8,BT259&lt;='Данные ТНПА'!$L$8),'Данные ТНПА'!$N$8,
IF(AND(BT259&gt;'Данные ТНПА'!$K$9,BT259&lt;='Данные ТНПА'!$L$9),'Данные ТНПА'!$N$9,
IF(AND(BT259&gt;'Данные ТНПА'!$K$10,BT259&lt;='Данные ТНПА'!$L$10),'Данные ТНПА'!$N$10,
IF(AND(BT259&gt;'Данные ТНПА'!$K$11,BT259&lt;='Данные ТНПА'!$L$11),'Данные ТНПА'!$N$11,
IF(AND(BT259&gt;'Данные ТНПА'!$K$12,BT259&lt;='Данные ТНПА'!$L$12),'Данные ТНПА'!$N$12,
IF(AND(BT259&gt;'Данные ТНПА'!$K$13,BT259&lt;='Данные ТНПА'!$L$13),'Данные ТНПА'!$N$13,
IF(AND(BT259&gt;'Данные ТНПА'!$K$14,BT259&lt;='Данные ТНПА'!$L$14),'Данные ТНПА'!$N$14))))))))</f>
        <v>1.7</v>
      </c>
      <c r="BW259" s="493">
        <f t="shared" si="582"/>
        <v>21.003999999999998</v>
      </c>
      <c r="BX259" s="457">
        <f t="shared" si="498"/>
        <v>217.51199999999997</v>
      </c>
      <c r="BY259" s="457">
        <f t="shared" si="499"/>
        <v>0</v>
      </c>
      <c r="BZ259" s="457">
        <f t="shared" si="500"/>
        <v>117.00198333926744</v>
      </c>
      <c r="CA259" s="457" t="e">
        <f t="shared" si="627"/>
        <v>#REF!</v>
      </c>
      <c r="CB259" s="458">
        <f t="shared" si="624"/>
        <v>0</v>
      </c>
      <c r="CC259" s="457">
        <f t="shared" si="585"/>
        <v>0</v>
      </c>
      <c r="CD259" s="457">
        <f t="shared" si="586"/>
        <v>0</v>
      </c>
      <c r="CE259" s="457">
        <f t="shared" si="587"/>
        <v>0</v>
      </c>
      <c r="CF259" s="457">
        <f t="shared" si="588"/>
        <v>0</v>
      </c>
      <c r="CG259" s="458">
        <f t="shared" si="501"/>
        <v>0</v>
      </c>
      <c r="CH259" s="457">
        <f t="shared" si="612"/>
        <v>0</v>
      </c>
      <c r="CI259" s="457">
        <f t="shared" si="613"/>
        <v>0</v>
      </c>
      <c r="CJ259" s="458">
        <f t="shared" si="614"/>
        <v>0</v>
      </c>
      <c r="CK259" s="458">
        <f t="shared" si="606"/>
        <v>150.10925790853793</v>
      </c>
      <c r="CL259" s="457">
        <f t="shared" si="503"/>
        <v>484.62324124780531</v>
      </c>
      <c r="CM259" s="504"/>
      <c r="CN259" s="504"/>
    </row>
    <row r="260" spans="1:92" ht="14.25" hidden="1" customHeight="1" x14ac:dyDescent="0.25">
      <c r="A260" s="389" t="str">
        <f>IF(D260="",CONCATENATE("Кабель ",IF(C260="а","А",""),$A$9),CONCATENATE("Кабель ",IF(C260="а","А",""),$A$9," ",D260,"*",F260,IF(G260="ок"," (ож)","")," - ",B260," ",IF(G260="мс"," фас. ",""),$A$2))</f>
        <v>Кабель АВВГ 5*25 (ож) - 1 ГОСТ 16442-80</v>
      </c>
      <c r="B260" s="450">
        <v>1</v>
      </c>
      <c r="C260" s="451" t="s">
        <v>164</v>
      </c>
      <c r="D260" s="412">
        <v>5</v>
      </c>
      <c r="E260" s="413" t="s">
        <v>40</v>
      </c>
      <c r="F260" s="423">
        <v>25</v>
      </c>
      <c r="G260" s="414" t="str">
        <f>IF(I260=1,"ок","мк")</f>
        <v>ок</v>
      </c>
      <c r="H260" s="461">
        <v>5.6499999999999995</v>
      </c>
      <c r="I260" s="497">
        <v>1</v>
      </c>
      <c r="J260" s="498" t="s">
        <v>40</v>
      </c>
      <c r="K260" s="496">
        <f>ROUNDUP(SQRT(F260/PI()*4),2)</f>
        <v>5.6499999999999995</v>
      </c>
      <c r="L260" s="501">
        <v>7.1000000000000005</v>
      </c>
      <c r="M260" s="475"/>
      <c r="N260" s="475"/>
      <c r="O260" s="475"/>
      <c r="P260" s="475"/>
      <c r="Q260" s="483">
        <f t="shared" si="625"/>
        <v>0.98000000000000009</v>
      </c>
      <c r="R260" s="484">
        <f>IF(B260=0.66,VLOOKUP(F260,'Данные ТНПА'!$B$8:$C$16,2,0),
IF(B260=1,VLOOKUP(F260,'Данные ТНПА'!$B$17:$C$37,2,0),"ошибка"))</f>
        <v>1.2</v>
      </c>
      <c r="S260" s="485">
        <f t="shared" si="488"/>
        <v>7.6099999999999994</v>
      </c>
      <c r="T260" s="486"/>
      <c r="U260" s="487"/>
      <c r="V260" s="485">
        <f t="shared" si="489"/>
        <v>8.0499999999999989</v>
      </c>
      <c r="W260" s="486"/>
      <c r="X260" s="487"/>
      <c r="Y260" s="489">
        <f t="shared" si="490"/>
        <v>5.7</v>
      </c>
      <c r="Z260" s="491">
        <f t="shared" si="491"/>
        <v>21.734999999999999</v>
      </c>
      <c r="AA260" s="237">
        <f t="shared" si="492"/>
        <v>0</v>
      </c>
      <c r="AB260" s="452">
        <f t="shared" si="593"/>
        <v>21.734999999999999</v>
      </c>
      <c r="AC260" s="201">
        <f t="shared" si="493"/>
        <v>0</v>
      </c>
      <c r="AD260" s="203">
        <f t="shared" si="594"/>
        <v>0</v>
      </c>
      <c r="AE260" s="37" t="str">
        <f t="shared" si="494"/>
        <v/>
      </c>
      <c r="AF260" s="202">
        <f t="shared" si="595"/>
        <v>0</v>
      </c>
      <c r="AG260" s="201">
        <f t="shared" si="596"/>
        <v>0</v>
      </c>
      <c r="AH260" s="61">
        <f t="shared" si="495"/>
        <v>21.734999999999999</v>
      </c>
      <c r="AI260" s="443">
        <f t="shared" si="504"/>
        <v>0</v>
      </c>
      <c r="AJ260" s="444">
        <f t="shared" si="555"/>
        <v>0</v>
      </c>
      <c r="AK260" s="445">
        <f t="shared" si="556"/>
        <v>0</v>
      </c>
      <c r="AL260" s="446">
        <f t="shared" si="557"/>
        <v>0</v>
      </c>
      <c r="AM260" s="447">
        <f t="shared" si="558"/>
        <v>0</v>
      </c>
      <c r="AN260" s="24">
        <f t="shared" si="559"/>
        <v>21.734999999999999</v>
      </c>
      <c r="AO260" s="443">
        <f t="shared" si="496"/>
        <v>0</v>
      </c>
      <c r="AP260" s="444">
        <f t="shared" si="560"/>
        <v>0</v>
      </c>
      <c r="AQ260" s="445">
        <f t="shared" si="561"/>
        <v>0</v>
      </c>
      <c r="AR260" s="446">
        <f t="shared" si="562"/>
        <v>0</v>
      </c>
      <c r="AS260" s="447">
        <f t="shared" si="563"/>
        <v>0</v>
      </c>
      <c r="AT260" s="24">
        <f t="shared" si="564"/>
        <v>21.734999999999999</v>
      </c>
      <c r="AU260" s="443">
        <f t="shared" si="497"/>
        <v>0</v>
      </c>
      <c r="AV260" s="444">
        <f t="shared" si="565"/>
        <v>0</v>
      </c>
      <c r="AW260" s="445">
        <f t="shared" si="566"/>
        <v>0</v>
      </c>
      <c r="AX260" s="446">
        <f t="shared" si="567"/>
        <v>0</v>
      </c>
      <c r="AY260" s="447">
        <f t="shared" si="568"/>
        <v>0</v>
      </c>
      <c r="AZ260" s="24">
        <f t="shared" si="569"/>
        <v>21.734999999999999</v>
      </c>
      <c r="BA260" s="43">
        <f>IF(BB260=0,0,
IF(D260=1,
(IF(AND(AH260&gt;'Данные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"ошибка_1"))))))),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"ошибка_2"))))))))</f>
        <v>0</v>
      </c>
      <c r="BB260" s="43">
        <f>IF(OR($AI$9=0,AND(D260&gt;1,F260&gt;10)),0,
IF(D260=1,
(IF(AND(AH260&gt;'Данные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"ошибка_1"))))))),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IF(AND(AH260&gt;'Данные ТНПА'!#REF!,AH260&lt;='Данные ТНПА'!#REF!),'Данные ТНПА'!#REF!,
"ошибка_2"))))))))</f>
        <v>0</v>
      </c>
      <c r="BC260" s="43">
        <f t="shared" si="570"/>
        <v>21.734999999999999</v>
      </c>
      <c r="BD260" s="237">
        <f t="shared" si="608"/>
        <v>0</v>
      </c>
      <c r="BE260" s="43">
        <f t="shared" si="618"/>
        <v>0</v>
      </c>
      <c r="BF260" s="201">
        <f t="shared" si="619"/>
        <v>0</v>
      </c>
      <c r="BG260" s="201">
        <f t="shared" si="620"/>
        <v>0</v>
      </c>
      <c r="BH260" s="61">
        <f t="shared" si="597"/>
        <v>21.734999999999999</v>
      </c>
      <c r="BI260" s="237">
        <f t="shared" si="621"/>
        <v>0</v>
      </c>
      <c r="BJ260" s="247">
        <f t="shared" si="622"/>
        <v>0</v>
      </c>
      <c r="BK260" s="431">
        <f t="shared" si="598"/>
        <v>0</v>
      </c>
      <c r="BL260" s="250">
        <f t="shared" si="616"/>
        <v>0</v>
      </c>
      <c r="BM260" s="237">
        <f t="shared" si="609"/>
        <v>0</v>
      </c>
      <c r="BN260" s="452">
        <f t="shared" si="600"/>
        <v>21.734999999999999</v>
      </c>
      <c r="BO260" s="237">
        <f t="shared" si="610"/>
        <v>0</v>
      </c>
      <c r="BP260" s="432">
        <f t="shared" si="611"/>
        <v>0</v>
      </c>
      <c r="BQ260" s="22" t="str">
        <f t="shared" si="601"/>
        <v/>
      </c>
      <c r="BR260" s="250">
        <f t="shared" si="602"/>
        <v>0</v>
      </c>
      <c r="BS260" s="237">
        <f t="shared" si="623"/>
        <v>0</v>
      </c>
      <c r="BT260" s="452">
        <f t="shared" si="603"/>
        <v>21.734999999999999</v>
      </c>
      <c r="BU260" s="492">
        <f t="shared" si="626"/>
        <v>1.5149999999999999</v>
      </c>
      <c r="BV260" s="493">
        <f>IF(BT260="","",
IF(AND(BT260&gt;'Данные ТНПА'!$K$8,BT260&lt;='Данные ТНПА'!$L$8),'Данные ТНПА'!$N$8,
IF(AND(BT260&gt;'Данные ТНПА'!$K$9,BT260&lt;='Данные ТНПА'!$L$9),'Данные ТНПА'!$N$9,
IF(AND(BT260&gt;'Данные ТНПА'!$K$10,BT260&lt;='Данные ТНПА'!$L$10),'Данные ТНПА'!$N$10,
IF(AND(BT260&gt;'Данные ТНПА'!$K$11,BT260&lt;='Данные ТНПА'!$L$11),'Данные ТНПА'!$N$11,
IF(AND(BT260&gt;'Данные ТНПА'!$K$12,BT260&lt;='Данные ТНПА'!$L$12),'Данные ТНПА'!$N$12,
IF(AND(BT260&gt;'Данные ТНПА'!$K$13,BT260&lt;='Данные ТНПА'!$L$13),'Данные ТНПА'!$N$13,
IF(AND(BT260&gt;'Данные ТНПА'!$K$14,BT260&lt;='Данные ТНПА'!$L$14),'Данные ТНПА'!$N$14))))))))</f>
        <v>1.9</v>
      </c>
      <c r="BW260" s="493">
        <f t="shared" si="582"/>
        <v>25.535</v>
      </c>
      <c r="BX260" s="457">
        <f t="shared" si="498"/>
        <v>339.86249999999995</v>
      </c>
      <c r="BY260" s="457">
        <f t="shared" si="499"/>
        <v>0</v>
      </c>
      <c r="BZ260" s="457">
        <f t="shared" si="500"/>
        <v>174.23121432043084</v>
      </c>
      <c r="CA260" s="457" t="e">
        <f t="shared" si="627"/>
        <v>#REF!</v>
      </c>
      <c r="CB260" s="458">
        <f t="shared" si="624"/>
        <v>0</v>
      </c>
      <c r="CC260" s="457">
        <f t="shared" si="585"/>
        <v>0</v>
      </c>
      <c r="CD260" s="457">
        <f t="shared" si="586"/>
        <v>0</v>
      </c>
      <c r="CE260" s="457">
        <f t="shared" si="587"/>
        <v>0</v>
      </c>
      <c r="CF260" s="457">
        <f t="shared" si="588"/>
        <v>0</v>
      </c>
      <c r="CG260" s="458">
        <f t="shared" si="501"/>
        <v>0</v>
      </c>
      <c r="CH260" s="457">
        <f t="shared" si="612"/>
        <v>0</v>
      </c>
      <c r="CI260" s="457">
        <f t="shared" si="613"/>
        <v>0</v>
      </c>
      <c r="CJ260" s="458">
        <f t="shared" si="614"/>
        <v>0</v>
      </c>
      <c r="CK260" s="458">
        <f t="shared" si="606"/>
        <v>205.40946680571412</v>
      </c>
      <c r="CL260" s="457">
        <f t="shared" si="503"/>
        <v>719.50318112614491</v>
      </c>
      <c r="CM260" s="504"/>
      <c r="CN260" s="504"/>
    </row>
    <row r="261" spans="1:92" ht="14.25" hidden="1" customHeight="1" x14ac:dyDescent="0.25">
      <c r="A261" s="389" t="str">
        <f>IF(D261="",CONCATENATE("Кабель ",IF(C261="а","А",""),$A$9),CONCATENATE("Кабель ",IF(C261="а","А",""),$A$9," ",D261,"*",F261,IF(G261="ок"," (ож)","")," - ",B261," ",IF(G261="мс"," фас. ",""),$A$2))</f>
        <v>Кабель АВВГ 5*35 (ож) - 1 ГОСТ 16442-80</v>
      </c>
      <c r="B261" s="450">
        <v>1</v>
      </c>
      <c r="C261" s="451" t="s">
        <v>164</v>
      </c>
      <c r="D261" s="412">
        <v>5</v>
      </c>
      <c r="E261" s="413" t="s">
        <v>40</v>
      </c>
      <c r="F261" s="423">
        <v>35</v>
      </c>
      <c r="G261" s="414" t="str">
        <f>IF(I261=1,"ок","мк")</f>
        <v>ок</v>
      </c>
      <c r="H261" s="461">
        <v>6.68</v>
      </c>
      <c r="I261" s="497">
        <v>1</v>
      </c>
      <c r="J261" s="498" t="s">
        <v>40</v>
      </c>
      <c r="K261" s="496">
        <f>ROUNDUP(SQRT(F261/PI()*4),2)</f>
        <v>6.68</v>
      </c>
      <c r="L261" s="501">
        <v>8.15</v>
      </c>
      <c r="M261" s="475"/>
      <c r="N261" s="475"/>
      <c r="O261" s="475"/>
      <c r="P261" s="475"/>
      <c r="Q261" s="483">
        <f t="shared" si="625"/>
        <v>0.98000000000000009</v>
      </c>
      <c r="R261" s="484">
        <f>IF(B261=0.66,VLOOKUP(F261,'Данные ТНПА'!$B$8:$C$16,2,0),
IF(B261=1,VLOOKUP(F261,'Данные ТНПА'!$B$17:$C$37,2,0),"ошибка"))</f>
        <v>1.2</v>
      </c>
      <c r="S261" s="485">
        <f t="shared" si="488"/>
        <v>8.64</v>
      </c>
      <c r="T261" s="486"/>
      <c r="U261" s="487"/>
      <c r="V261" s="485">
        <f t="shared" si="489"/>
        <v>9.08</v>
      </c>
      <c r="W261" s="486"/>
      <c r="X261" s="487"/>
      <c r="Y261" s="489">
        <f t="shared" si="490"/>
        <v>6.4</v>
      </c>
      <c r="Z261" s="491">
        <f t="shared" si="491"/>
        <v>24.516000000000002</v>
      </c>
      <c r="AA261" s="237">
        <f t="shared" si="492"/>
        <v>0</v>
      </c>
      <c r="AB261" s="452">
        <f t="shared" si="593"/>
        <v>24.516000000000002</v>
      </c>
      <c r="AC261" s="201">
        <f t="shared" si="493"/>
        <v>0</v>
      </c>
      <c r="AD261" s="203">
        <f t="shared" si="594"/>
        <v>0</v>
      </c>
      <c r="AE261" s="37" t="str">
        <f t="shared" si="494"/>
        <v/>
      </c>
      <c r="AF261" s="202">
        <f t="shared" si="595"/>
        <v>0</v>
      </c>
      <c r="AG261" s="201">
        <f t="shared" si="596"/>
        <v>0</v>
      </c>
      <c r="AH261" s="61">
        <f t="shared" si="495"/>
        <v>24.516000000000002</v>
      </c>
      <c r="AI261" s="443">
        <f t="shared" si="504"/>
        <v>0</v>
      </c>
      <c r="AJ261" s="444">
        <f t="shared" si="555"/>
        <v>0</v>
      </c>
      <c r="AK261" s="445">
        <f t="shared" si="556"/>
        <v>0</v>
      </c>
      <c r="AL261" s="446">
        <f t="shared" si="557"/>
        <v>0</v>
      </c>
      <c r="AM261" s="447">
        <f t="shared" si="558"/>
        <v>0</v>
      </c>
      <c r="AN261" s="24">
        <f t="shared" si="559"/>
        <v>24.516000000000002</v>
      </c>
      <c r="AO261" s="443">
        <f t="shared" si="496"/>
        <v>0</v>
      </c>
      <c r="AP261" s="444">
        <f t="shared" si="560"/>
        <v>0</v>
      </c>
      <c r="AQ261" s="445">
        <f t="shared" si="561"/>
        <v>0</v>
      </c>
      <c r="AR261" s="446">
        <f t="shared" si="562"/>
        <v>0</v>
      </c>
      <c r="AS261" s="447">
        <f t="shared" si="563"/>
        <v>0</v>
      </c>
      <c r="AT261" s="24">
        <f t="shared" si="564"/>
        <v>24.516000000000002</v>
      </c>
      <c r="AU261" s="443">
        <f t="shared" si="497"/>
        <v>0</v>
      </c>
      <c r="AV261" s="444">
        <f t="shared" si="565"/>
        <v>0</v>
      </c>
      <c r="AW261" s="445">
        <f t="shared" si="566"/>
        <v>0</v>
      </c>
      <c r="AX261" s="446">
        <f t="shared" si="567"/>
        <v>0</v>
      </c>
      <c r="AY261" s="447">
        <f t="shared" si="568"/>
        <v>0</v>
      </c>
      <c r="AZ261" s="24">
        <f t="shared" si="569"/>
        <v>24.516000000000002</v>
      </c>
      <c r="BA261" s="43">
        <f>IF(BB261=0,0,
IF(D261=1,
(IF(AND(AH261&gt;'Данные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"ошибка_1"))))))),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"ошибка_2"))))))))</f>
        <v>0</v>
      </c>
      <c r="BB261" s="43">
        <f>IF(OR($AI$9=0,AND(D261&gt;1,F261&gt;10)),0,
IF(D261=1,
(IF(AND(AH261&gt;'Данные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"ошибка_1"))))))),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IF(AND(AH261&gt;'Данные ТНПА'!#REF!,AH261&lt;='Данные ТНПА'!#REF!),'Данные ТНПА'!#REF!,
"ошибка_2"))))))))</f>
        <v>0</v>
      </c>
      <c r="BC261" s="43">
        <f t="shared" si="570"/>
        <v>24.516000000000002</v>
      </c>
      <c r="BD261" s="237">
        <f t="shared" si="608"/>
        <v>0</v>
      </c>
      <c r="BE261" s="43">
        <f t="shared" si="618"/>
        <v>0</v>
      </c>
      <c r="BF261" s="201">
        <f t="shared" si="619"/>
        <v>0</v>
      </c>
      <c r="BG261" s="201">
        <f t="shared" si="620"/>
        <v>0</v>
      </c>
      <c r="BH261" s="61">
        <f t="shared" si="597"/>
        <v>24.516000000000002</v>
      </c>
      <c r="BI261" s="237">
        <f t="shared" si="621"/>
        <v>0</v>
      </c>
      <c r="BJ261" s="247">
        <f t="shared" si="622"/>
        <v>0</v>
      </c>
      <c r="BK261" s="431">
        <f t="shared" si="598"/>
        <v>0</v>
      </c>
      <c r="BL261" s="250">
        <f t="shared" si="616"/>
        <v>0</v>
      </c>
      <c r="BM261" s="237">
        <f t="shared" si="609"/>
        <v>0</v>
      </c>
      <c r="BN261" s="452">
        <f t="shared" si="600"/>
        <v>24.516000000000002</v>
      </c>
      <c r="BO261" s="237">
        <f t="shared" si="610"/>
        <v>0</v>
      </c>
      <c r="BP261" s="432">
        <f t="shared" si="611"/>
        <v>0</v>
      </c>
      <c r="BQ261" s="22" t="str">
        <f t="shared" si="601"/>
        <v/>
      </c>
      <c r="BR261" s="250">
        <f t="shared" si="602"/>
        <v>0</v>
      </c>
      <c r="BS261" s="237">
        <f t="shared" si="623"/>
        <v>0</v>
      </c>
      <c r="BT261" s="452">
        <f t="shared" si="603"/>
        <v>24.516000000000002</v>
      </c>
      <c r="BU261" s="492">
        <f t="shared" si="626"/>
        <v>1.5149999999999999</v>
      </c>
      <c r="BV261" s="493">
        <f>IF(BT261="","",
IF(AND(BT261&gt;'Данные ТНПА'!$K$8,BT261&lt;='Данные ТНПА'!$L$8),'Данные ТНПА'!$N$8,
IF(AND(BT261&gt;'Данные ТНПА'!$K$9,BT261&lt;='Данные ТНПА'!$L$9),'Данные ТНПА'!$N$9,
IF(AND(BT261&gt;'Данные ТНПА'!$K$10,BT261&lt;='Данные ТНПА'!$L$10),'Данные ТНПА'!$N$10,
IF(AND(BT261&gt;'Данные ТНПА'!$K$11,BT261&lt;='Данные ТНПА'!$L$11),'Данные ТНПА'!$N$11,
IF(AND(BT261&gt;'Данные ТНПА'!$K$12,BT261&lt;='Данные ТНПА'!$L$12),'Данные ТНПА'!$N$12,
IF(AND(BT261&gt;'Данные ТНПА'!$K$13,BT261&lt;='Данные ТНПА'!$L$13),'Данные ТНПА'!$N$13,
IF(AND(BT261&gt;'Данные ТНПА'!$K$14,BT261&lt;='Данные ТНПА'!$L$14),'Данные ТНПА'!$N$14))))))))</f>
        <v>1.9</v>
      </c>
      <c r="BW261" s="493">
        <f t="shared" si="582"/>
        <v>28.316000000000003</v>
      </c>
      <c r="BX261" s="457">
        <f t="shared" si="498"/>
        <v>475.80749999999995</v>
      </c>
      <c r="BY261" s="457">
        <f t="shared" si="499"/>
        <v>0</v>
      </c>
      <c r="BZ261" s="457">
        <f t="shared" si="500"/>
        <v>200.429484502919</v>
      </c>
      <c r="CA261" s="457" t="e">
        <f t="shared" si="627"/>
        <v>#REF!</v>
      </c>
      <c r="CB261" s="458">
        <f t="shared" si="624"/>
        <v>0</v>
      </c>
      <c r="CC261" s="457">
        <f t="shared" si="585"/>
        <v>0</v>
      </c>
      <c r="CD261" s="457">
        <f t="shared" si="586"/>
        <v>0</v>
      </c>
      <c r="CE261" s="457">
        <f t="shared" si="587"/>
        <v>0</v>
      </c>
      <c r="CF261" s="457">
        <f t="shared" si="588"/>
        <v>0</v>
      </c>
      <c r="CG261" s="458">
        <f t="shared" si="501"/>
        <v>0</v>
      </c>
      <c r="CH261" s="457">
        <f t="shared" si="612"/>
        <v>0</v>
      </c>
      <c r="CI261" s="457">
        <f t="shared" si="613"/>
        <v>0</v>
      </c>
      <c r="CJ261" s="458">
        <f t="shared" si="614"/>
        <v>0</v>
      </c>
      <c r="CK261" s="458">
        <f t="shared" si="606"/>
        <v>229.57886503658744</v>
      </c>
      <c r="CL261" s="457">
        <f t="shared" si="503"/>
        <v>905.81584953950642</v>
      </c>
      <c r="CM261" s="504"/>
      <c r="CN261" s="504"/>
    </row>
  </sheetData>
  <autoFilter ref="A9:K261">
    <filterColumn colId="0">
      <colorFilter dxfId="162"/>
    </filterColumn>
    <sortState ref="A10:K261">
      <sortCondition ref="B9:B261"/>
    </sortState>
  </autoFilter>
  <mergeCells count="91">
    <mergeCell ref="CL2:CL9"/>
    <mergeCell ref="L5:L9"/>
    <mergeCell ref="L3:L4"/>
    <mergeCell ref="I2:L2"/>
    <mergeCell ref="D3:F8"/>
    <mergeCell ref="G3:G8"/>
    <mergeCell ref="BX2:CK4"/>
    <mergeCell ref="Q2:X2"/>
    <mergeCell ref="BU2:BW2"/>
    <mergeCell ref="H3:H8"/>
    <mergeCell ref="BJ5:BL8"/>
    <mergeCell ref="BM5:BM8"/>
    <mergeCell ref="BI3:BN4"/>
    <mergeCell ref="BU3:BW4"/>
    <mergeCell ref="BY5:BY8"/>
    <mergeCell ref="BU8:BU9"/>
    <mergeCell ref="BD3:BH4"/>
    <mergeCell ref="A3:A8"/>
    <mergeCell ref="CC5:CC8"/>
    <mergeCell ref="AC3:AH4"/>
    <mergeCell ref="AC5:AC8"/>
    <mergeCell ref="AD5:AF9"/>
    <mergeCell ref="AG5:AG9"/>
    <mergeCell ref="AH5:AH9"/>
    <mergeCell ref="BX5:BX8"/>
    <mergeCell ref="BN5:BN9"/>
    <mergeCell ref="BI5:BI8"/>
    <mergeCell ref="BA3:BC4"/>
    <mergeCell ref="N4:N9"/>
    <mergeCell ref="O4:O9"/>
    <mergeCell ref="BV8:BV9"/>
    <mergeCell ref="BO3:BT4"/>
    <mergeCell ref="CG5:CG8"/>
    <mergeCell ref="CI5:CI8"/>
    <mergeCell ref="CK5:CK8"/>
    <mergeCell ref="CJ5:CJ8"/>
    <mergeCell ref="CB5:CB8"/>
    <mergeCell ref="CH5:CH8"/>
    <mergeCell ref="CD5:CD8"/>
    <mergeCell ref="CE5:CE8"/>
    <mergeCell ref="CF5:CF8"/>
    <mergeCell ref="Q3:V4"/>
    <mergeCell ref="R8:R9"/>
    <mergeCell ref="AA3:AB4"/>
    <mergeCell ref="AA5:AA8"/>
    <mergeCell ref="AB5:AB9"/>
    <mergeCell ref="BA5:BB6"/>
    <mergeCell ref="BC5:BC6"/>
    <mergeCell ref="BA7:BA9"/>
    <mergeCell ref="BB7:BB9"/>
    <mergeCell ref="BC7:BC9"/>
    <mergeCell ref="M4:M9"/>
    <mergeCell ref="AI5:AI8"/>
    <mergeCell ref="AJ5:AL8"/>
    <mergeCell ref="B3:B8"/>
    <mergeCell ref="C3:C8"/>
    <mergeCell ref="I3:K8"/>
    <mergeCell ref="AI3:AN4"/>
    <mergeCell ref="Z3:Z9"/>
    <mergeCell ref="Y3:Y9"/>
    <mergeCell ref="Q8:Q9"/>
    <mergeCell ref="S8:U9"/>
    <mergeCell ref="V8:X9"/>
    <mergeCell ref="S5:X7"/>
    <mergeCell ref="AM5:AM8"/>
    <mergeCell ref="P4:P9"/>
    <mergeCell ref="Q5:R7"/>
    <mergeCell ref="AO3:AT4"/>
    <mergeCell ref="AU3:AZ4"/>
    <mergeCell ref="AN5:AN9"/>
    <mergeCell ref="AT5:AT9"/>
    <mergeCell ref="AZ5:AZ9"/>
    <mergeCell ref="AV5:AX8"/>
    <mergeCell ref="AY5:AY8"/>
    <mergeCell ref="AO5:AO8"/>
    <mergeCell ref="AP5:AR8"/>
    <mergeCell ref="AS5:AS8"/>
    <mergeCell ref="AU5:AU8"/>
    <mergeCell ref="CA5:CA8"/>
    <mergeCell ref="BD5:BD8"/>
    <mergeCell ref="BE5:BE8"/>
    <mergeCell ref="BF5:BF9"/>
    <mergeCell ref="BG5:BG8"/>
    <mergeCell ref="BH5:BH9"/>
    <mergeCell ref="BW5:BW9"/>
    <mergeCell ref="BZ5:BZ8"/>
    <mergeCell ref="BO5:BO8"/>
    <mergeCell ref="BP5:BR8"/>
    <mergeCell ref="BS5:BS8"/>
    <mergeCell ref="BT5:BT9"/>
    <mergeCell ref="BU5:BV7"/>
  </mergeCells>
  <phoneticPr fontId="0" type="noConversion"/>
  <conditionalFormatting sqref="R10:R261">
    <cfRule type="containsText" dxfId="161" priority="461" operator="containsText" text="неверно">
      <formula>NOT(ISERROR(SEARCH("неверно",R10)))</formula>
    </cfRule>
  </conditionalFormatting>
  <conditionalFormatting sqref="B2:H2 Q8:S8 V8 Q7:R7 Q5:S6 D9:K9 Q9:R9 BX9:CA9 Q3:X4 Y3:Z9 BU5:CA6 CC5:CC6 CL2 CK9 D3 I3 F58:F69 CD9:CF9 D10:E21 BU7:BV21 BU162:BV167 AC162:AH167 AC10:AZ10 BW10:CA10 CC10:CF21 A34:A69 CC34:CF69 CI34:CJ69 BU34:BW69 AC34:AT69 Q34:Q69 D34:E69 CI83:CJ125 AC83:AT125 BU83:BW125 D174:E197 CC83:CF125 AC168:AT197 BU168:BW197 CI162:CJ197 A83:A125 CC150:CF197 A150:A197 BW150:BW167 AI150:AT167 A222:B261 CC222:CF261 CI222:CJ261 BU222:BW261 AC222:AT261 AV222:AZ261 AV150:AZ197 AV83:AZ125 AV34:AZ69 AC11:AT21 AV11:AZ21 AU11:AU261 CI11:CJ21 A3 A9:A21 I58:J69 D83:J125 D162:J173 D222:J261 M58:P69 M83:Q125 M162:Q197 CI10:XFD10 CK11:XFD261 CA222:CA261 CA162:CA197 CA83:CA125 CA34:CA69 BW11:BW21 CA11:CA21 S222:Z261 S83:Z125 S162:Z197 S34:Z69 S11:Z21 R11:R261 BU3:BW4 BX2 BX11:BZ261 I10:K21 M11:Q21 M222:Q261 M10:Z10 CO3:XFD9 A262:XFD263 A277:XFD1048576 A264:F276 L264:XFD276">
    <cfRule type="cellIs" dxfId="160" priority="459" operator="equal">
      <formula>0</formula>
    </cfRule>
  </conditionalFormatting>
  <conditionalFormatting sqref="Q242:Q261 CL235:CN261">
    <cfRule type="cellIs" dxfId="159" priority="396" operator="equal">
      <formula>0</formula>
    </cfRule>
  </conditionalFormatting>
  <conditionalFormatting sqref="L3 BX9:CA9 BY5:CA6 CC5:CC6 CB10:CB21 CG10:CH21 BV10:BV21 CB162:CB167 AA162:AH167 BD162:BT167 CG162:CH167 CC9:CF21 AA10:BT10 AA34:AT69 BV34:BV69 CB34:CH69 BV83:BV125 CB83:CH125 AA83:AT125 AA168:AT197 BV162:BV197 CB168:CH197 AI150:AT167 CC150:CF167 CB222:CH261 BV222:BV261 AA222:AT261 AV222:BT261 AV150:BC167 AV168:BT197 AV83:BT125 AV34:BT69 AA11:AT21 AV11:BT21 AU11:AU261 M4:P4 L5:P5 M6:P9">
    <cfRule type="cellIs" dxfId="158" priority="362" operator="equal">
      <formula>0</formula>
    </cfRule>
  </conditionalFormatting>
  <conditionalFormatting sqref="BX5:BX6 CK9">
    <cfRule type="cellIs" dxfId="157" priority="348" operator="equal">
      <formula>0</formula>
    </cfRule>
  </conditionalFormatting>
  <conditionalFormatting sqref="AD7:AH9 AC3:AH6">
    <cfRule type="cellIs" dxfId="156" priority="347" operator="equal">
      <formula>0</formula>
    </cfRule>
  </conditionalFormatting>
  <conditionalFormatting sqref="CK5:CK6 CG5:CG6 CI5:CI6">
    <cfRule type="cellIs" dxfId="155" priority="346" operator="equal">
      <formula>0</formula>
    </cfRule>
  </conditionalFormatting>
  <conditionalFormatting sqref="CK5:CK6 CG5:CG6 CI5:CI6">
    <cfRule type="cellIs" dxfId="154" priority="345" operator="equal">
      <formula>0</formula>
    </cfRule>
  </conditionalFormatting>
  <conditionalFormatting sqref="AF10:AG21 AD10:AD21 Z10:Z21 BL10:BL21 BL34:BL69 Z34:Z69 AD34:AD69 AF34:AG69 AF83:AG125 AD83:AD125 Z83:Z125 BL83:BL125 AF162:AG197 AD162:AD197 Z162:Z197 BL162:BL197 BL222:BL261 Z222:Z261 AD222:AD261 AF222:AG261">
    <cfRule type="containsText" dxfId="153" priority="293" operator="containsText" text="ошибка">
      <formula>NOT(ISERROR(SEARCH("ошибка",Z10)))</formula>
    </cfRule>
  </conditionalFormatting>
  <conditionalFormatting sqref="AA3:AB8 AB9">
    <cfRule type="cellIs" dxfId="152" priority="226" operator="equal">
      <formula>0</formula>
    </cfRule>
  </conditionalFormatting>
  <conditionalFormatting sqref="BN5">
    <cfRule type="cellIs" dxfId="151" priority="218" operator="equal">
      <formula>0</formula>
    </cfRule>
  </conditionalFormatting>
  <conditionalFormatting sqref="BO5:BP5 BS5:BT5">
    <cfRule type="cellIs" dxfId="150" priority="222" operator="equal">
      <formula>0</formula>
    </cfRule>
  </conditionalFormatting>
  <conditionalFormatting sqref="BI5:BJ5 BI3:BN4 BM5 BK9:BM9">
    <cfRule type="cellIs" dxfId="149" priority="221" operator="equal">
      <formula>0</formula>
    </cfRule>
  </conditionalFormatting>
  <conditionalFormatting sqref="BO3">
    <cfRule type="cellIs" dxfId="148" priority="219" operator="equal">
      <formula>0</formula>
    </cfRule>
  </conditionalFormatting>
  <conditionalFormatting sqref="BA3:BC9">
    <cfRule type="cellIs" dxfId="147" priority="216" operator="equal">
      <formula>0</formula>
    </cfRule>
  </conditionalFormatting>
  <conditionalFormatting sqref="CJ5 CJ9">
    <cfRule type="cellIs" dxfId="146" priority="213" operator="equal">
      <formula>0</formula>
    </cfRule>
  </conditionalFormatting>
  <conditionalFormatting sqref="CB5:CB9">
    <cfRule type="cellIs" dxfId="145" priority="212" operator="equal">
      <formula>0</formula>
    </cfRule>
  </conditionalFormatting>
  <conditionalFormatting sqref="BD5 BD3:BH4">
    <cfRule type="cellIs" dxfId="144" priority="122" operator="equal">
      <formula>0</formula>
    </cfRule>
  </conditionalFormatting>
  <conditionalFormatting sqref="BF5:BH5">
    <cfRule type="cellIs" dxfId="143" priority="121" operator="equal">
      <formula>0</formula>
    </cfRule>
  </conditionalFormatting>
  <conditionalFormatting sqref="BG9">
    <cfRule type="cellIs" dxfId="142" priority="120" operator="equal">
      <formula>0</formula>
    </cfRule>
  </conditionalFormatting>
  <conditionalFormatting sqref="BD9">
    <cfRule type="cellIs" dxfId="141" priority="119" operator="equal">
      <formula>0</formula>
    </cfRule>
  </conditionalFormatting>
  <conditionalFormatting sqref="BE5">
    <cfRule type="cellIs" dxfId="140" priority="118" operator="equal">
      <formula>0</formula>
    </cfRule>
  </conditionalFormatting>
  <conditionalFormatting sqref="BE9">
    <cfRule type="cellIs" dxfId="139" priority="117" operator="equal">
      <formula>0</formula>
    </cfRule>
  </conditionalFormatting>
  <conditionalFormatting sqref="CH5:CH8">
    <cfRule type="cellIs" dxfId="138" priority="115" operator="equal">
      <formula>0</formula>
    </cfRule>
  </conditionalFormatting>
  <conditionalFormatting sqref="D94:F95 I94:J95 M94:P95">
    <cfRule type="cellIs" dxfId="137" priority="104" operator="equal">
      <formula>0</formula>
    </cfRule>
  </conditionalFormatting>
  <conditionalFormatting sqref="I83:J93 M83:P93">
    <cfRule type="cellIs" dxfId="136" priority="103" operator="equal">
      <formula>0</formula>
    </cfRule>
  </conditionalFormatting>
  <conditionalFormatting sqref="F46:F57 I46:J57 M46:P57">
    <cfRule type="cellIs" dxfId="135" priority="102" operator="equal">
      <formula>0</formula>
    </cfRule>
  </conditionalFormatting>
  <conditionalFormatting sqref="F34:F45 I34:J45 M34:P45">
    <cfRule type="cellIs" dxfId="134" priority="101" operator="equal">
      <formula>0</formula>
    </cfRule>
  </conditionalFormatting>
  <conditionalFormatting sqref="F10:F21 K22:K75 K77:K261">
    <cfRule type="cellIs" dxfId="133" priority="100" operator="equal">
      <formula>0</formula>
    </cfRule>
  </conditionalFormatting>
  <conditionalFormatting sqref="CI150:CJ161 AC150:AH161 BU150:BV161 D150:E161 M150:Q161 CA150:CA161 S150:Z161">
    <cfRule type="cellIs" dxfId="132" priority="78" operator="equal">
      <formula>0</formula>
    </cfRule>
  </conditionalFormatting>
  <conditionalFormatting sqref="AA150:AH161 BV150:BV161 CB150:CB161 BD150:BT161 CG150:CH161">
    <cfRule type="cellIs" dxfId="131" priority="77" operator="equal">
      <formula>0</formula>
    </cfRule>
  </conditionalFormatting>
  <conditionalFormatting sqref="AF150:AG161 AD150:AD161 Z150:Z161 BL150:BL161">
    <cfRule type="containsText" dxfId="130" priority="76" operator="containsText" text="ошибка">
      <formula>NOT(ISERROR(SEARCH("ошибка",Z150)))</formula>
    </cfRule>
  </conditionalFormatting>
  <conditionalFormatting sqref="AI5">
    <cfRule type="cellIs" dxfId="129" priority="60" operator="equal">
      <formula>0</formula>
    </cfRule>
  </conditionalFormatting>
  <conditionalFormatting sqref="AU5">
    <cfRule type="cellIs" dxfId="128" priority="61" operator="equal">
      <formula>0</formula>
    </cfRule>
  </conditionalFormatting>
  <conditionalFormatting sqref="AI3:AZ4 AM5:AP5 AN6:AN8 AS5:AT5 AT6:AT8 AY5:AZ5 AZ6:AZ8 AV5 AJ5 AJ9:AZ9">
    <cfRule type="cellIs" dxfId="127" priority="62" operator="equal">
      <formula>0</formula>
    </cfRule>
  </conditionalFormatting>
  <conditionalFormatting sqref="CD5:CF6">
    <cfRule type="cellIs" dxfId="126" priority="59" operator="equal">
      <formula>0</formula>
    </cfRule>
  </conditionalFormatting>
  <conditionalFormatting sqref="CD5:CF6">
    <cfRule type="cellIs" dxfId="125" priority="58" operator="equal">
      <formula>0</formula>
    </cfRule>
  </conditionalFormatting>
  <conditionalFormatting sqref="CG9:CI9">
    <cfRule type="cellIs" dxfId="124" priority="57" operator="equal">
      <formula>0</formula>
    </cfRule>
  </conditionalFormatting>
  <conditionalFormatting sqref="CG9:CI9">
    <cfRule type="cellIs" dxfId="123" priority="56" operator="equal">
      <formula>0</formula>
    </cfRule>
  </conditionalFormatting>
  <conditionalFormatting sqref="D22:E33 CI22:CJ33 AC22:AT33 BU22:BW33 CC22:CF33 Q22:Q33 A22:A33 AV22:AZ33 CA22:CA33 S22:Z33">
    <cfRule type="cellIs" dxfId="122" priority="52" operator="equal">
      <formula>0</formula>
    </cfRule>
  </conditionalFormatting>
  <conditionalFormatting sqref="BV22:BV33 CB22:CH33 AA22:AT33 AV22:BT33">
    <cfRule type="cellIs" dxfId="121" priority="51" operator="equal">
      <formula>0</formula>
    </cfRule>
  </conditionalFormatting>
  <conditionalFormatting sqref="AF22:AG33 AD22:AD33 Z22:Z33 BL22:BL33">
    <cfRule type="containsText" dxfId="120" priority="50" operator="containsText" text="ошибка">
      <formula>NOT(ISERROR(SEARCH("ошибка",Z22)))</formula>
    </cfRule>
  </conditionalFormatting>
  <conditionalFormatting sqref="F22:F33 I22:J33 M22:P33">
    <cfRule type="cellIs" dxfId="119" priority="49" operator="equal">
      <formula>0</formula>
    </cfRule>
  </conditionalFormatting>
  <conditionalFormatting sqref="CI70:CJ82 AC70:AT82 CC70:CF82 A70:A82 AV70:AZ82 D70:J75 M70:Q82 CA70:CA82 S70:Z82 BU70:BW82 D77:J82 D76:H76">
    <cfRule type="cellIs" dxfId="118" priority="47" operator="equal">
      <formula>0</formula>
    </cfRule>
  </conditionalFormatting>
  <conditionalFormatting sqref="BV70:BV82 CB70:CH82 AA70:AT82 AV70:BT82">
    <cfRule type="cellIs" dxfId="117" priority="46" operator="equal">
      <formula>0</formula>
    </cfRule>
  </conditionalFormatting>
  <conditionalFormatting sqref="AF70:AG82 AD70:AD82 Z70:Z82 BL70:BL82">
    <cfRule type="containsText" dxfId="116" priority="45" operator="containsText" text="ошибка">
      <formula>NOT(ISERROR(SEARCH("ошибка",Z70)))</formula>
    </cfRule>
  </conditionalFormatting>
  <conditionalFormatting sqref="D81:F82 I81:J82 M81:P82">
    <cfRule type="cellIs" dxfId="115" priority="44" operator="equal">
      <formula>0</formula>
    </cfRule>
  </conditionalFormatting>
  <conditionalFormatting sqref="I70:J75 M70:P80 I77:J80">
    <cfRule type="cellIs" dxfId="114" priority="43" operator="equal">
      <formula>0</formula>
    </cfRule>
  </conditionalFormatting>
  <conditionalFormatting sqref="F150:J161">
    <cfRule type="cellIs" dxfId="113" priority="42" operator="equal">
      <formula>0</formula>
    </cfRule>
  </conditionalFormatting>
  <conditionalFormatting sqref="F174:J185">
    <cfRule type="cellIs" dxfId="112" priority="41" operator="equal">
      <formula>0</formula>
    </cfRule>
  </conditionalFormatting>
  <conditionalFormatting sqref="F186:J197">
    <cfRule type="cellIs" dxfId="111" priority="40" operator="equal">
      <formula>0</formula>
    </cfRule>
  </conditionalFormatting>
  <conditionalFormatting sqref="CC126:CF147 BW126:BW147 AI126:AT147 A126:A147 AV126:AZ147">
    <cfRule type="cellIs" dxfId="110" priority="38" operator="equal">
      <formula>0</formula>
    </cfRule>
  </conditionalFormatting>
  <conditionalFormatting sqref="AI126:AT147 CC126:CF147 AV126:BC147">
    <cfRule type="cellIs" dxfId="109" priority="37" operator="equal">
      <formula>0</formula>
    </cfRule>
  </conditionalFormatting>
  <conditionalFormatting sqref="CI126:CJ147 AC126:AH147 BU126:BV147 D126:E147 M126:Q147 CA126:CA147 S126:Z147">
    <cfRule type="cellIs" dxfId="108" priority="36" operator="equal">
      <formula>0</formula>
    </cfRule>
  </conditionalFormatting>
  <conditionalFormatting sqref="AA126:AH147 BV126:BV147 CB126:CB147 BD126:BT147 CG126:CH147">
    <cfRule type="cellIs" dxfId="107" priority="35" operator="equal">
      <formula>0</formula>
    </cfRule>
  </conditionalFormatting>
  <conditionalFormatting sqref="AF126:AG147 AD126:AD147 Z126:Z147 BL126:BL147">
    <cfRule type="containsText" dxfId="106" priority="34" operator="containsText" text="ошибка">
      <formula>NOT(ISERROR(SEARCH("ошибка",Z126)))</formula>
    </cfRule>
  </conditionalFormatting>
  <conditionalFormatting sqref="F136:J147 F126:J132">
    <cfRule type="cellIs" dxfId="105" priority="33" operator="equal">
      <formula>0</formula>
    </cfRule>
  </conditionalFormatting>
  <conditionalFormatting sqref="CC148:CF149 A148:A149 BW148:BW149 AI148:AT149 AV148:AZ149">
    <cfRule type="cellIs" dxfId="104" priority="31" operator="equal">
      <formula>0</formula>
    </cfRule>
  </conditionalFormatting>
  <conditionalFormatting sqref="AI148:AT149 CC148:CF149 AV148:BC149">
    <cfRule type="cellIs" dxfId="103" priority="30" operator="equal">
      <formula>0</formula>
    </cfRule>
  </conditionalFormatting>
  <conditionalFormatting sqref="CI148:CJ149 AC148:AH149 BU148:BV149 D148:E149 M148:Q149 CA148:CA149 S148:Z149">
    <cfRule type="cellIs" dxfId="102" priority="29" operator="equal">
      <formula>0</formula>
    </cfRule>
  </conditionalFormatting>
  <conditionalFormatting sqref="AA148:AH149 BV148:BV149 CB148:CB149 BD148:BT149 CG148:CH149">
    <cfRule type="cellIs" dxfId="101" priority="28" operator="equal">
      <formula>0</formula>
    </cfRule>
  </conditionalFormatting>
  <conditionalFormatting sqref="AF148:AG149 AD148:AD149 Z148:Z149 BL148:BL149">
    <cfRule type="containsText" dxfId="100" priority="27" operator="containsText" text="ошибка">
      <formula>NOT(ISERROR(SEARCH("ошибка",Z148)))</formula>
    </cfRule>
  </conditionalFormatting>
  <conditionalFormatting sqref="F148:J149">
    <cfRule type="cellIs" dxfId="99" priority="26" operator="equal">
      <formula>0</formula>
    </cfRule>
  </conditionalFormatting>
  <conditionalFormatting sqref="F133:J135">
    <cfRule type="cellIs" dxfId="98" priority="25" operator="equal">
      <formula>0</formula>
    </cfRule>
  </conditionalFormatting>
  <conditionalFormatting sqref="A198:B219 CC198:CF219 CI198:CJ219 BU198:BW219 AC198:AT219 AV198:AZ219 D198:J219 M198:Q219 CA198:CA219 S198:Z219">
    <cfRule type="cellIs" dxfId="97" priority="23" operator="equal">
      <formula>0</formula>
    </cfRule>
  </conditionalFormatting>
  <conditionalFormatting sqref="CB198:CH219 BV198:BV219 AA198:AT219 AV198:BT219">
    <cfRule type="cellIs" dxfId="96" priority="22" operator="equal">
      <formula>0</formula>
    </cfRule>
  </conditionalFormatting>
  <conditionalFormatting sqref="BL198:BL219 Z198:Z219 AD198:AD219 AF198:AG219">
    <cfRule type="containsText" dxfId="95" priority="21" operator="containsText" text="ошибка">
      <formula>NOT(ISERROR(SEARCH("ошибка",Z198)))</formula>
    </cfRule>
  </conditionalFormatting>
  <conditionalFormatting sqref="D220:J221 A220:B221 CC220:CF221 CI220:CJ221 BU220:BW221 AC220:AT221 AV220:AZ221 M220:Q221 CA220:CA221 S220:Z221">
    <cfRule type="cellIs" dxfId="94" priority="19" operator="equal">
      <formula>0</formula>
    </cfRule>
  </conditionalFormatting>
  <conditionalFormatting sqref="CB220:CH221 BV220:BV221 AA220:AT221 AV220:BT221">
    <cfRule type="cellIs" dxfId="93" priority="18" operator="equal">
      <formula>0</formula>
    </cfRule>
  </conditionalFormatting>
  <conditionalFormatting sqref="BL220:BL221 Z220:Z221 AD220:AD221 AF220:AG221">
    <cfRule type="containsText" dxfId="92" priority="17" operator="containsText" text="ошибка">
      <formula>NOT(ISERROR(SEARCH("ошибка",Z220)))</formula>
    </cfRule>
  </conditionalFormatting>
  <conditionalFormatting sqref="L10:L17">
    <cfRule type="cellIs" dxfId="91" priority="4" operator="equal">
      <formula>0</formula>
    </cfRule>
  </conditionalFormatting>
  <conditionalFormatting sqref="L18:L261">
    <cfRule type="cellIs" dxfId="90" priority="5" operator="equal">
      <formula>0</formula>
    </cfRule>
  </conditionalFormatting>
  <conditionalFormatting sqref="CM3:CN9">
    <cfRule type="cellIs" dxfId="89" priority="3" operator="equal">
      <formula>0</formula>
    </cfRule>
  </conditionalFormatting>
  <conditionalFormatting sqref="K76">
    <cfRule type="cellIs" dxfId="88" priority="2" operator="equal">
      <formula>0</formula>
    </cfRule>
  </conditionalFormatting>
  <conditionalFormatting sqref="I76:J76">
    <cfRule type="cellIs" dxfId="87" priority="1" operator="equal">
      <formula>0</formula>
    </cfRule>
  </conditionalFormatting>
  <dataValidations count="4">
    <dataValidation type="list" allowBlank="1" showInputMessage="1" showErrorMessage="1" sqref="BZ5:BZ8">
      <formula1>ПлотностьИзоляции</formula1>
    </dataValidation>
    <dataValidation type="list" allowBlank="1" showInputMessage="1" showErrorMessage="1" sqref="CA5:CA8">
      <formula1>ПлотностьКорделя</formula1>
    </dataValidation>
    <dataValidation type="list" allowBlank="1" showInputMessage="1" showErrorMessage="1" sqref="CG5:CG8">
      <formula1>ПлотностьПояснойИзоляции</formula1>
    </dataValidation>
    <dataValidation type="list" allowBlank="1" showInputMessage="1" showErrorMessage="1" sqref="CK5:CK8">
      <formula1>ПлотностьОболочки</formula1>
    </dataValidation>
  </dataValidations>
  <pageMargins left="0.19685039370078741" right="0.19685039370078741" top="0.8" bottom="0.19685039370078741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O48"/>
  <sheetViews>
    <sheetView topLeftCell="AD1" zoomScale="90" zoomScaleNormal="90" workbookViewId="0">
      <selection activeCell="AP16" sqref="AP16"/>
    </sheetView>
  </sheetViews>
  <sheetFormatPr defaultRowHeight="13.2" x14ac:dyDescent="0.25"/>
  <cols>
    <col min="1" max="1" width="1.88671875" bestFit="1" customWidth="1"/>
    <col min="2" max="2" width="2" bestFit="1" customWidth="1"/>
    <col min="3" max="3" width="8.33203125" customWidth="1"/>
    <col min="4" max="4" width="1.88671875" bestFit="1" customWidth="1"/>
    <col min="5" max="5" width="2" bestFit="1" customWidth="1"/>
    <col min="6" max="6" width="5" customWidth="1"/>
    <col min="9" max="9" width="4.6640625" customWidth="1"/>
    <col min="10" max="10" width="7.5546875" customWidth="1"/>
    <col min="11" max="11" width="6.88671875" customWidth="1"/>
    <col min="12" max="12" width="5.5546875" customWidth="1"/>
    <col min="13" max="13" width="6.6640625" customWidth="1"/>
    <col min="14" max="14" width="5.33203125" customWidth="1"/>
    <col min="15" max="15" width="2" bestFit="1" customWidth="1"/>
    <col min="16" max="16" width="4.88671875" bestFit="1" customWidth="1"/>
    <col min="17" max="17" width="5.109375" customWidth="1"/>
    <col min="18" max="18" width="2" bestFit="1" customWidth="1"/>
    <col min="19" max="19" width="5.109375" customWidth="1"/>
    <col min="20" max="20" width="5.44140625" customWidth="1"/>
    <col min="21" max="23" width="5.33203125" customWidth="1"/>
    <col min="26" max="26" width="2.109375" bestFit="1" customWidth="1"/>
    <col min="33" max="33" width="1.88671875" bestFit="1" customWidth="1"/>
    <col min="34" max="34" width="2" bestFit="1" customWidth="1"/>
    <col min="35" max="35" width="7.88671875" customWidth="1"/>
    <col min="36" max="36" width="2.88671875" customWidth="1"/>
    <col min="37" max="37" width="4.44140625" bestFit="1" customWidth="1"/>
    <col min="38" max="38" width="2.109375" bestFit="1" customWidth="1"/>
    <col min="39" max="40" width="7.88671875" customWidth="1"/>
    <col min="43" max="43" width="12.33203125" customWidth="1"/>
    <col min="44" max="44" width="10" bestFit="1" customWidth="1"/>
    <col min="46" max="47" width="10.88671875" customWidth="1"/>
    <col min="48" max="49" width="10.5546875" customWidth="1"/>
    <col min="50" max="51" width="14.33203125" customWidth="1"/>
    <col min="52" max="52" width="12.33203125" customWidth="1"/>
    <col min="55" max="55" width="17.109375" customWidth="1"/>
    <col min="56" max="58" width="0" hidden="1" customWidth="1"/>
    <col min="59" max="59" width="10" bestFit="1" customWidth="1"/>
    <col min="60" max="60" width="11.5546875" bestFit="1" customWidth="1"/>
    <col min="61" max="64" width="10" bestFit="1" customWidth="1"/>
    <col min="65" max="65" width="8.88671875" bestFit="1" customWidth="1"/>
    <col min="66" max="67" width="7.6640625" bestFit="1" customWidth="1"/>
  </cols>
  <sheetData>
    <row r="1" spans="1:67" ht="12.75" customHeight="1" x14ac:dyDescent="0.25">
      <c r="A1" s="1"/>
      <c r="B1" s="2"/>
      <c r="C1" s="2"/>
      <c r="D1" s="2"/>
      <c r="E1" s="2"/>
      <c r="F1" s="2"/>
      <c r="G1" s="2"/>
      <c r="H1" s="2"/>
      <c r="I1" s="715" t="s">
        <v>100</v>
      </c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7"/>
      <c r="AD1" s="680"/>
      <c r="AE1" s="723"/>
      <c r="AF1" s="681"/>
      <c r="AG1" s="1"/>
      <c r="AH1" s="2"/>
      <c r="AI1" s="2"/>
      <c r="AJ1" s="2"/>
      <c r="AK1" s="2"/>
      <c r="AL1" s="2"/>
      <c r="AM1" s="2"/>
      <c r="AN1" s="2"/>
      <c r="AO1" s="2"/>
      <c r="AP1" s="2"/>
      <c r="AQ1" s="740" t="s">
        <v>100</v>
      </c>
      <c r="AR1" s="741"/>
      <c r="AS1" s="741"/>
      <c r="AT1" s="741"/>
      <c r="AU1" s="741"/>
      <c r="AV1" s="741"/>
      <c r="AW1" s="741"/>
      <c r="AX1" s="741"/>
      <c r="AY1" s="741"/>
      <c r="AZ1" s="741"/>
      <c r="BA1" s="742"/>
      <c r="BB1" s="680"/>
      <c r="BC1" s="681"/>
    </row>
    <row r="2" spans="1:67" ht="20.25" customHeight="1" thickBot="1" x14ac:dyDescent="0.3">
      <c r="A2" s="3"/>
      <c r="B2" s="4"/>
      <c r="C2" s="4"/>
      <c r="D2" s="4"/>
      <c r="E2" s="4"/>
      <c r="F2" s="4"/>
      <c r="G2" s="4"/>
      <c r="H2" s="4"/>
      <c r="I2" s="718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  <c r="Y2" s="719"/>
      <c r="Z2" s="719"/>
      <c r="AA2" s="719"/>
      <c r="AB2" s="719"/>
      <c r="AC2" s="720"/>
      <c r="AD2" s="682" t="s">
        <v>15</v>
      </c>
      <c r="AE2" s="683"/>
      <c r="AF2" s="684"/>
      <c r="AG2" s="3"/>
      <c r="AH2" s="4"/>
      <c r="AI2" s="4"/>
      <c r="AJ2" s="4"/>
      <c r="AK2" s="4"/>
      <c r="AL2" s="4"/>
      <c r="AM2" s="4"/>
      <c r="AN2" s="4"/>
      <c r="AO2" s="4"/>
      <c r="AP2" s="4"/>
      <c r="AQ2" s="743"/>
      <c r="AR2" s="744"/>
      <c r="AS2" s="744"/>
      <c r="AT2" s="744"/>
      <c r="AU2" s="744"/>
      <c r="AV2" s="744"/>
      <c r="AW2" s="744"/>
      <c r="AX2" s="744"/>
      <c r="AY2" s="744"/>
      <c r="AZ2" s="744"/>
      <c r="BA2" s="745"/>
      <c r="BB2" s="682" t="s">
        <v>15</v>
      </c>
      <c r="BC2" s="684"/>
    </row>
    <row r="3" spans="1:67" ht="27" thickBot="1" x14ac:dyDescent="0.3">
      <c r="A3" s="770" t="s">
        <v>7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24" t="s">
        <v>19</v>
      </c>
      <c r="N3" s="721"/>
      <c r="O3" s="721"/>
      <c r="P3" s="721"/>
      <c r="Q3" s="721"/>
      <c r="R3" s="721"/>
      <c r="S3" s="721"/>
      <c r="T3" s="724" t="s">
        <v>0</v>
      </c>
      <c r="U3" s="721"/>
      <c r="V3" s="721"/>
      <c r="W3" s="721"/>
      <c r="X3" s="721"/>
      <c r="Y3" s="721"/>
      <c r="Z3" s="721"/>
      <c r="AA3" s="721"/>
      <c r="AB3" s="721"/>
      <c r="AC3" s="721"/>
      <c r="AD3" s="721"/>
      <c r="AE3" s="722"/>
      <c r="AF3" s="13" t="s">
        <v>6</v>
      </c>
      <c r="AG3" s="772" t="s">
        <v>7</v>
      </c>
      <c r="AH3" s="773"/>
      <c r="AI3" s="773"/>
      <c r="AJ3" s="773"/>
      <c r="AK3" s="773"/>
      <c r="AL3" s="773"/>
      <c r="AM3" s="773"/>
      <c r="AN3" s="773"/>
      <c r="AO3" s="774"/>
      <c r="AP3" s="774"/>
      <c r="AQ3" s="774"/>
      <c r="AR3" s="775"/>
      <c r="AS3" s="724" t="s">
        <v>19</v>
      </c>
      <c r="AT3" s="721"/>
      <c r="AU3" s="722"/>
      <c r="AV3" s="721"/>
      <c r="AW3" s="721"/>
      <c r="AX3" s="721"/>
      <c r="AY3" s="721"/>
      <c r="AZ3" s="722"/>
      <c r="BA3" s="724" t="s">
        <v>12</v>
      </c>
      <c r="BB3" s="722"/>
      <c r="BC3" s="13" t="s">
        <v>6</v>
      </c>
    </row>
    <row r="4" spans="1:67" ht="12.75" customHeight="1" x14ac:dyDescent="0.25">
      <c r="A4" s="746" t="s">
        <v>20</v>
      </c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750" t="s">
        <v>74</v>
      </c>
      <c r="N4" s="751"/>
      <c r="O4" s="751"/>
      <c r="P4" s="751"/>
      <c r="Q4" s="751"/>
      <c r="R4" s="751"/>
      <c r="S4" s="752"/>
      <c r="T4" s="756">
        <v>0.66</v>
      </c>
      <c r="U4" s="757"/>
      <c r="V4" s="757"/>
      <c r="W4" s="757"/>
      <c r="X4" s="751"/>
      <c r="Y4" s="751"/>
      <c r="Z4" s="751"/>
      <c r="AA4" s="751"/>
      <c r="AB4" s="751"/>
      <c r="AC4" s="751"/>
      <c r="AD4" s="751"/>
      <c r="AE4" s="752"/>
      <c r="AF4" s="695" t="s">
        <v>42</v>
      </c>
      <c r="AG4" s="746" t="s">
        <v>20</v>
      </c>
      <c r="AH4" s="747"/>
      <c r="AI4" s="747"/>
      <c r="AJ4" s="747"/>
      <c r="AK4" s="747"/>
      <c r="AL4" s="747"/>
      <c r="AM4" s="747"/>
      <c r="AN4" s="747"/>
      <c r="AO4" s="763"/>
      <c r="AP4" s="763"/>
      <c r="AQ4" s="763"/>
      <c r="AR4" s="764"/>
      <c r="AS4" s="776" t="s">
        <v>74</v>
      </c>
      <c r="AT4" s="777"/>
      <c r="AU4" s="778"/>
      <c r="AV4" s="766"/>
      <c r="AW4" s="766"/>
      <c r="AX4" s="766"/>
      <c r="AY4" s="766"/>
      <c r="AZ4" s="767"/>
      <c r="BA4" s="782" t="s">
        <v>64</v>
      </c>
      <c r="BB4" s="752"/>
      <c r="BC4" s="695" t="s">
        <v>42</v>
      </c>
    </row>
    <row r="5" spans="1:67" ht="13.8" thickBot="1" x14ac:dyDescent="0.3">
      <c r="A5" s="748"/>
      <c r="B5" s="749"/>
      <c r="C5" s="749"/>
      <c r="D5" s="749"/>
      <c r="E5" s="749"/>
      <c r="F5" s="749"/>
      <c r="G5" s="749"/>
      <c r="H5" s="749"/>
      <c r="I5" s="749"/>
      <c r="J5" s="749"/>
      <c r="K5" s="749"/>
      <c r="L5" s="749"/>
      <c r="M5" s="753"/>
      <c r="N5" s="754"/>
      <c r="O5" s="754"/>
      <c r="P5" s="754"/>
      <c r="Q5" s="754"/>
      <c r="R5" s="754"/>
      <c r="S5" s="755"/>
      <c r="T5" s="758"/>
      <c r="U5" s="759"/>
      <c r="V5" s="759"/>
      <c r="W5" s="759"/>
      <c r="X5" s="760"/>
      <c r="Y5" s="760"/>
      <c r="Z5" s="760"/>
      <c r="AA5" s="760"/>
      <c r="AB5" s="760"/>
      <c r="AC5" s="760"/>
      <c r="AD5" s="760"/>
      <c r="AE5" s="761"/>
      <c r="AF5" s="762"/>
      <c r="AG5" s="748"/>
      <c r="AH5" s="749"/>
      <c r="AI5" s="749"/>
      <c r="AJ5" s="749"/>
      <c r="AK5" s="749"/>
      <c r="AL5" s="749"/>
      <c r="AM5" s="749"/>
      <c r="AN5" s="749"/>
      <c r="AO5" s="749"/>
      <c r="AP5" s="749"/>
      <c r="AQ5" s="749"/>
      <c r="AR5" s="765"/>
      <c r="AS5" s="779"/>
      <c r="AT5" s="780"/>
      <c r="AU5" s="781"/>
      <c r="AV5" s="768"/>
      <c r="AW5" s="768"/>
      <c r="AX5" s="768"/>
      <c r="AY5" s="768"/>
      <c r="AZ5" s="769"/>
      <c r="BA5" s="783"/>
      <c r="BB5" s="761"/>
      <c r="BC5" s="696"/>
    </row>
    <row r="6" spans="1:67" ht="15.75" customHeight="1" x14ac:dyDescent="0.25">
      <c r="A6" s="646" t="s">
        <v>46</v>
      </c>
      <c r="B6" s="647"/>
      <c r="C6" s="648"/>
      <c r="D6" s="652" t="s">
        <v>27</v>
      </c>
      <c r="E6" s="647"/>
      <c r="F6" s="648"/>
      <c r="G6" s="727" t="s">
        <v>16</v>
      </c>
      <c r="H6" s="728"/>
      <c r="I6" s="728"/>
      <c r="J6" s="728"/>
      <c r="K6" s="729"/>
      <c r="L6" s="737" t="s">
        <v>8</v>
      </c>
      <c r="M6" s="738"/>
      <c r="N6" s="738"/>
      <c r="O6" s="738"/>
      <c r="P6" s="738"/>
      <c r="Q6" s="738"/>
      <c r="R6" s="738"/>
      <c r="S6" s="739"/>
      <c r="T6" s="703" t="s">
        <v>57</v>
      </c>
      <c r="U6" s="704"/>
      <c r="V6" s="730" t="s">
        <v>58</v>
      </c>
      <c r="W6" s="730" t="s">
        <v>84</v>
      </c>
      <c r="X6" s="662" t="s">
        <v>90</v>
      </c>
      <c r="Y6" s="647"/>
      <c r="Z6" s="647"/>
      <c r="AA6" s="647"/>
      <c r="AB6" s="653"/>
      <c r="AC6" s="662" t="s">
        <v>21</v>
      </c>
      <c r="AD6" s="653"/>
      <c r="AE6" s="662" t="s">
        <v>22</v>
      </c>
      <c r="AF6" s="697"/>
      <c r="AG6" s="646" t="s">
        <v>46</v>
      </c>
      <c r="AH6" s="647"/>
      <c r="AI6" s="648"/>
      <c r="AJ6" s="652" t="s">
        <v>94</v>
      </c>
      <c r="AK6" s="647"/>
      <c r="AL6" s="647"/>
      <c r="AM6" s="647"/>
      <c r="AN6" s="648"/>
      <c r="AO6" s="652" t="s">
        <v>106</v>
      </c>
      <c r="AP6" s="653"/>
      <c r="AQ6" s="662" t="s">
        <v>63</v>
      </c>
      <c r="AR6" s="700" t="s">
        <v>9</v>
      </c>
      <c r="AS6" s="701"/>
      <c r="AT6" s="701"/>
      <c r="AU6" s="701"/>
      <c r="AV6" s="701"/>
      <c r="AW6" s="701"/>
      <c r="AX6" s="701"/>
      <c r="AY6" s="701"/>
      <c r="AZ6" s="702"/>
      <c r="BA6" s="701" t="s">
        <v>1</v>
      </c>
      <c r="BB6" s="702"/>
      <c r="BC6" s="12" t="s">
        <v>1</v>
      </c>
    </row>
    <row r="7" spans="1:67" ht="15.75" customHeight="1" x14ac:dyDescent="0.25">
      <c r="A7" s="649"/>
      <c r="B7" s="650"/>
      <c r="C7" s="651"/>
      <c r="D7" s="654"/>
      <c r="E7" s="650"/>
      <c r="F7" s="651"/>
      <c r="G7" s="685" t="s">
        <v>47</v>
      </c>
      <c r="H7" s="685" t="s">
        <v>48</v>
      </c>
      <c r="I7" s="788" t="s">
        <v>54</v>
      </c>
      <c r="J7" s="725" t="s">
        <v>55</v>
      </c>
      <c r="K7" s="726" t="s">
        <v>56</v>
      </c>
      <c r="L7" s="686" t="s">
        <v>49</v>
      </c>
      <c r="M7" s="687"/>
      <c r="N7" s="686" t="s">
        <v>52</v>
      </c>
      <c r="O7" s="707"/>
      <c r="P7" s="707"/>
      <c r="Q7" s="707"/>
      <c r="R7" s="707"/>
      <c r="S7" s="708"/>
      <c r="T7" s="705"/>
      <c r="U7" s="706"/>
      <c r="V7" s="731"/>
      <c r="W7" s="731"/>
      <c r="X7" s="663"/>
      <c r="Y7" s="650"/>
      <c r="Z7" s="650"/>
      <c r="AA7" s="650"/>
      <c r="AB7" s="655"/>
      <c r="AC7" s="663"/>
      <c r="AD7" s="655"/>
      <c r="AE7" s="698"/>
      <c r="AF7" s="699"/>
      <c r="AG7" s="649"/>
      <c r="AH7" s="650"/>
      <c r="AI7" s="651"/>
      <c r="AJ7" s="654"/>
      <c r="AK7" s="650"/>
      <c r="AL7" s="650"/>
      <c r="AM7" s="650"/>
      <c r="AN7" s="651"/>
      <c r="AO7" s="654"/>
      <c r="AP7" s="655"/>
      <c r="AQ7" s="663"/>
      <c r="AR7" s="712" t="s">
        <v>10</v>
      </c>
      <c r="AS7" s="713"/>
      <c r="AT7" s="713"/>
      <c r="AU7" s="713"/>
      <c r="AV7" s="713"/>
      <c r="AW7" s="713"/>
      <c r="AX7" s="713"/>
      <c r="AY7" s="713"/>
      <c r="AZ7" s="714"/>
      <c r="BA7" s="642" t="s">
        <v>2</v>
      </c>
      <c r="BB7" s="643"/>
      <c r="BC7" s="11" t="s">
        <v>2</v>
      </c>
    </row>
    <row r="8" spans="1:67" ht="15.75" customHeight="1" thickBot="1" x14ac:dyDescent="0.3">
      <c r="A8" s="649"/>
      <c r="B8" s="650"/>
      <c r="C8" s="651"/>
      <c r="D8" s="654"/>
      <c r="E8" s="650"/>
      <c r="F8" s="651"/>
      <c r="G8" s="685"/>
      <c r="H8" s="685"/>
      <c r="I8" s="788"/>
      <c r="J8" s="725"/>
      <c r="K8" s="726"/>
      <c r="L8" s="656"/>
      <c r="M8" s="688"/>
      <c r="N8" s="709"/>
      <c r="O8" s="710"/>
      <c r="P8" s="710"/>
      <c r="Q8" s="710"/>
      <c r="R8" s="710"/>
      <c r="S8" s="711"/>
      <c r="T8" s="705"/>
      <c r="U8" s="706"/>
      <c r="V8" s="731"/>
      <c r="W8" s="731"/>
      <c r="X8" s="545" t="s">
        <v>91</v>
      </c>
      <c r="Y8" s="581" t="s">
        <v>60</v>
      </c>
      <c r="Z8" s="594"/>
      <c r="AA8" s="582"/>
      <c r="AB8" s="544" t="s">
        <v>61</v>
      </c>
      <c r="AC8" s="663"/>
      <c r="AD8" s="655"/>
      <c r="AE8" s="698"/>
      <c r="AF8" s="699"/>
      <c r="AG8" s="649"/>
      <c r="AH8" s="650"/>
      <c r="AI8" s="651"/>
      <c r="AJ8" s="665" t="s">
        <v>59</v>
      </c>
      <c r="AK8" s="650" t="s">
        <v>93</v>
      </c>
      <c r="AL8" s="650"/>
      <c r="AM8" s="650"/>
      <c r="AN8" s="544" t="s">
        <v>61</v>
      </c>
      <c r="AO8" s="656"/>
      <c r="AP8" s="657"/>
      <c r="AQ8" s="663"/>
      <c r="AR8" s="6" t="s">
        <v>14</v>
      </c>
      <c r="AS8" s="9" t="s">
        <v>17</v>
      </c>
      <c r="AT8" s="644" t="s">
        <v>82</v>
      </c>
      <c r="AU8" s="644" t="s">
        <v>33</v>
      </c>
      <c r="AV8" s="639" t="s">
        <v>85</v>
      </c>
      <c r="AW8" s="639" t="s">
        <v>92</v>
      </c>
      <c r="AX8" s="639" t="s">
        <v>83</v>
      </c>
      <c r="AY8" s="639" t="s">
        <v>105</v>
      </c>
      <c r="AZ8" s="639" t="s">
        <v>104</v>
      </c>
      <c r="BA8" s="642" t="s">
        <v>3</v>
      </c>
      <c r="BB8" s="643"/>
      <c r="BC8" s="11" t="s">
        <v>3</v>
      </c>
    </row>
    <row r="9" spans="1:67" ht="16.2" thickBot="1" x14ac:dyDescent="0.3">
      <c r="A9" s="649"/>
      <c r="B9" s="650"/>
      <c r="C9" s="651"/>
      <c r="D9" s="654"/>
      <c r="E9" s="650"/>
      <c r="F9" s="651"/>
      <c r="G9" s="685"/>
      <c r="H9" s="685"/>
      <c r="I9" s="788"/>
      <c r="J9" s="725"/>
      <c r="K9" s="726"/>
      <c r="L9" s="689" t="s">
        <v>50</v>
      </c>
      <c r="M9" s="690" t="s">
        <v>51</v>
      </c>
      <c r="N9" s="689" t="s">
        <v>53</v>
      </c>
      <c r="O9" s="691"/>
      <c r="P9" s="692"/>
      <c r="Q9" s="693" t="s">
        <v>39</v>
      </c>
      <c r="R9" s="691"/>
      <c r="S9" s="694"/>
      <c r="T9" s="705"/>
      <c r="U9" s="706"/>
      <c r="V9" s="731"/>
      <c r="W9" s="731"/>
      <c r="X9" s="545"/>
      <c r="Y9" s="595"/>
      <c r="Z9" s="596"/>
      <c r="AA9" s="597"/>
      <c r="AB9" s="545"/>
      <c r="AC9" s="663"/>
      <c r="AD9" s="655"/>
      <c r="AE9" s="698"/>
      <c r="AF9" s="699"/>
      <c r="AG9" s="649"/>
      <c r="AH9" s="650"/>
      <c r="AI9" s="651"/>
      <c r="AJ9" s="665"/>
      <c r="AK9" s="650"/>
      <c r="AL9" s="650"/>
      <c r="AM9" s="650"/>
      <c r="AN9" s="545"/>
      <c r="AO9" s="658" t="s">
        <v>50</v>
      </c>
      <c r="AP9" s="660" t="s">
        <v>51</v>
      </c>
      <c r="AQ9" s="663"/>
      <c r="AR9" s="7" t="s">
        <v>13</v>
      </c>
      <c r="AS9" s="16"/>
      <c r="AT9" s="645"/>
      <c r="AU9" s="664"/>
      <c r="AV9" s="640"/>
      <c r="AW9" s="640"/>
      <c r="AX9" s="640"/>
      <c r="AY9" s="640"/>
      <c r="AZ9" s="640"/>
      <c r="BA9" s="642" t="s">
        <v>11</v>
      </c>
      <c r="BB9" s="643"/>
      <c r="BC9" s="11" t="s">
        <v>4</v>
      </c>
      <c r="BD9" s="83" t="s">
        <v>81</v>
      </c>
      <c r="BE9" s="84"/>
      <c r="BF9" s="85">
        <v>1.4</v>
      </c>
    </row>
    <row r="10" spans="1:67" ht="16.2" thickBot="1" x14ac:dyDescent="0.3">
      <c r="A10" s="649"/>
      <c r="B10" s="650"/>
      <c r="C10" s="651"/>
      <c r="D10" s="654"/>
      <c r="E10" s="650"/>
      <c r="F10" s="651"/>
      <c r="G10" s="685"/>
      <c r="H10" s="685"/>
      <c r="I10" s="788"/>
      <c r="J10" s="725"/>
      <c r="K10" s="726"/>
      <c r="L10" s="654"/>
      <c r="M10" s="685"/>
      <c r="N10" s="654"/>
      <c r="O10" s="650"/>
      <c r="P10" s="655"/>
      <c r="Q10" s="663"/>
      <c r="R10" s="650"/>
      <c r="S10" s="651"/>
      <c r="T10" s="705"/>
      <c r="U10" s="706"/>
      <c r="V10" s="731"/>
      <c r="W10" s="731"/>
      <c r="X10" s="545"/>
      <c r="Y10" s="595"/>
      <c r="Z10" s="596"/>
      <c r="AA10" s="597"/>
      <c r="AB10" s="545"/>
      <c r="AC10" s="660" t="s">
        <v>50</v>
      </c>
      <c r="AD10" s="692" t="s">
        <v>51</v>
      </c>
      <c r="AE10" s="698"/>
      <c r="AF10" s="699"/>
      <c r="AG10" s="649"/>
      <c r="AH10" s="650"/>
      <c r="AI10" s="651"/>
      <c r="AJ10" s="665"/>
      <c r="AK10" s="650"/>
      <c r="AL10" s="650"/>
      <c r="AM10" s="650"/>
      <c r="AN10" s="545"/>
      <c r="AO10" s="659"/>
      <c r="AP10" s="661"/>
      <c r="AQ10" s="663"/>
      <c r="AR10" s="8"/>
      <c r="AS10" s="16"/>
      <c r="AT10" s="645"/>
      <c r="AU10" s="664"/>
      <c r="AV10" s="640"/>
      <c r="AW10" s="640"/>
      <c r="AX10" s="640"/>
      <c r="AY10" s="640"/>
      <c r="AZ10" s="640"/>
      <c r="BA10" s="642" t="s">
        <v>98</v>
      </c>
      <c r="BB10" s="643"/>
      <c r="BC10" s="11" t="s">
        <v>99</v>
      </c>
      <c r="BD10" s="82" t="s">
        <v>80</v>
      </c>
      <c r="BE10" s="82"/>
      <c r="BF10" s="82">
        <v>1.4</v>
      </c>
    </row>
    <row r="11" spans="1:67" ht="16.2" thickBot="1" x14ac:dyDescent="0.3">
      <c r="A11" s="649"/>
      <c r="B11" s="650"/>
      <c r="C11" s="651"/>
      <c r="D11" s="654"/>
      <c r="E11" s="650"/>
      <c r="F11" s="651"/>
      <c r="G11" s="685"/>
      <c r="H11" s="685"/>
      <c r="I11" s="788"/>
      <c r="J11" s="725"/>
      <c r="K11" s="726"/>
      <c r="L11" s="654"/>
      <c r="M11" s="685"/>
      <c r="N11" s="654"/>
      <c r="O11" s="650"/>
      <c r="P11" s="655"/>
      <c r="Q11" s="663"/>
      <c r="R11" s="650"/>
      <c r="S11" s="651"/>
      <c r="T11" s="705"/>
      <c r="U11" s="706"/>
      <c r="V11" s="731"/>
      <c r="W11" s="731"/>
      <c r="X11" s="545"/>
      <c r="Y11" s="595"/>
      <c r="Z11" s="596"/>
      <c r="AA11" s="597"/>
      <c r="AB11" s="545"/>
      <c r="AC11" s="661"/>
      <c r="AD11" s="655"/>
      <c r="AE11" s="698"/>
      <c r="AF11" s="699"/>
      <c r="AG11" s="649"/>
      <c r="AH11" s="650"/>
      <c r="AI11" s="651"/>
      <c r="AJ11" s="665"/>
      <c r="AK11" s="650"/>
      <c r="AL11" s="650"/>
      <c r="AM11" s="650"/>
      <c r="AN11" s="545"/>
      <c r="AO11" s="659"/>
      <c r="AP11" s="661"/>
      <c r="AQ11" s="663"/>
      <c r="AR11" s="8"/>
      <c r="AS11" s="16"/>
      <c r="AT11" s="645"/>
      <c r="AU11" s="664"/>
      <c r="AV11" s="640"/>
      <c r="AW11" s="640"/>
      <c r="AX11" s="640"/>
      <c r="AY11" s="640"/>
      <c r="AZ11" s="640"/>
      <c r="BA11" s="642" t="s">
        <v>5</v>
      </c>
      <c r="BB11" s="643"/>
      <c r="BC11" s="11" t="s">
        <v>5</v>
      </c>
      <c r="BD11" s="79" t="s">
        <v>79</v>
      </c>
      <c r="BE11" s="80"/>
      <c r="BF11" s="81">
        <v>1.34</v>
      </c>
    </row>
    <row r="12" spans="1:67" ht="15.75" customHeight="1" thickBot="1" x14ac:dyDescent="0.3">
      <c r="A12" s="649"/>
      <c r="B12" s="650"/>
      <c r="C12" s="651"/>
      <c r="D12" s="654"/>
      <c r="E12" s="650"/>
      <c r="F12" s="651"/>
      <c r="G12" s="685"/>
      <c r="H12" s="685"/>
      <c r="I12" s="788"/>
      <c r="J12" s="725"/>
      <c r="K12" s="726"/>
      <c r="L12" s="654"/>
      <c r="M12" s="685"/>
      <c r="N12" s="654"/>
      <c r="O12" s="650"/>
      <c r="P12" s="655"/>
      <c r="Q12" s="663"/>
      <c r="R12" s="650"/>
      <c r="S12" s="651"/>
      <c r="T12" s="705"/>
      <c r="U12" s="706"/>
      <c r="V12" s="731"/>
      <c r="W12" s="732"/>
      <c r="X12" s="733"/>
      <c r="Y12" s="734"/>
      <c r="Z12" s="735"/>
      <c r="AA12" s="736"/>
      <c r="AB12" s="545"/>
      <c r="AC12" s="661"/>
      <c r="AD12" s="655"/>
      <c r="AE12" s="698"/>
      <c r="AF12" s="699"/>
      <c r="AG12" s="649"/>
      <c r="AH12" s="650"/>
      <c r="AI12" s="651"/>
      <c r="AJ12" s="666"/>
      <c r="AK12" s="667"/>
      <c r="AL12" s="667"/>
      <c r="AM12" s="667"/>
      <c r="AN12" s="545"/>
      <c r="AO12" s="659"/>
      <c r="AP12" s="661"/>
      <c r="AQ12" s="663"/>
      <c r="AR12" s="8"/>
      <c r="AS12" s="10"/>
      <c r="AT12" s="645"/>
      <c r="AU12" s="664"/>
      <c r="AV12" s="641"/>
      <c r="AW12" s="641"/>
      <c r="AX12" s="640"/>
      <c r="AY12" s="641"/>
      <c r="AZ12" s="640"/>
      <c r="BA12" s="642"/>
      <c r="BB12" s="643"/>
      <c r="BC12" s="11"/>
      <c r="BD12" t="s">
        <v>86</v>
      </c>
      <c r="BE12">
        <f>ROUND((100/(100-10)),2)</f>
        <v>1.1100000000000001</v>
      </c>
    </row>
    <row r="13" spans="1:67" ht="13.8" thickBot="1" x14ac:dyDescent="0.3">
      <c r="A13" s="634" t="s">
        <v>101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  <c r="R13" s="635"/>
      <c r="S13" s="635"/>
      <c r="T13" s="635"/>
      <c r="U13" s="635"/>
      <c r="V13" s="635"/>
      <c r="W13" s="635"/>
      <c r="X13" s="635"/>
      <c r="Y13" s="635"/>
      <c r="Z13" s="635"/>
      <c r="AA13" s="635"/>
      <c r="AB13" s="635"/>
      <c r="AC13" s="635"/>
      <c r="AD13" s="635"/>
      <c r="AE13" s="635"/>
      <c r="AF13" s="636"/>
      <c r="AG13" s="634" t="s">
        <v>101</v>
      </c>
      <c r="AH13" s="635"/>
      <c r="AI13" s="635"/>
      <c r="AJ13" s="635"/>
      <c r="AK13" s="635"/>
      <c r="AL13" s="635"/>
      <c r="AM13" s="635"/>
      <c r="AN13" s="635"/>
      <c r="AO13" s="635"/>
      <c r="AP13" s="635"/>
      <c r="AQ13" s="635"/>
      <c r="AR13" s="635"/>
      <c r="AS13" s="635"/>
      <c r="AT13" s="635"/>
      <c r="AU13" s="635"/>
      <c r="AV13" s="635"/>
      <c r="AW13" s="635"/>
      <c r="AX13" s="635"/>
      <c r="AY13" s="635"/>
      <c r="AZ13" s="635"/>
      <c r="BA13" s="635"/>
      <c r="BB13" s="635"/>
      <c r="BC13" s="636"/>
      <c r="BG13" s="181" t="s">
        <v>117</v>
      </c>
      <c r="BH13" s="181" t="s">
        <v>118</v>
      </c>
      <c r="BI13" s="181" t="s">
        <v>112</v>
      </c>
      <c r="BJ13" s="181" t="s">
        <v>114</v>
      </c>
      <c r="BK13" s="181" t="s">
        <v>116</v>
      </c>
      <c r="BL13" s="181" t="s">
        <v>115</v>
      </c>
      <c r="BM13" s="181" t="s">
        <v>113</v>
      </c>
      <c r="BN13" s="181" t="s">
        <v>119</v>
      </c>
      <c r="BO13" s="181" t="s">
        <v>120</v>
      </c>
    </row>
    <row r="14" spans="1:67" ht="12.75" customHeight="1" x14ac:dyDescent="0.25">
      <c r="A14" s="90">
        <v>2</v>
      </c>
      <c r="B14" s="91" t="s">
        <v>40</v>
      </c>
      <c r="C14" s="92">
        <v>25</v>
      </c>
      <c r="D14" s="90">
        <v>7</v>
      </c>
      <c r="E14" s="91" t="s">
        <v>40</v>
      </c>
      <c r="F14" s="93">
        <v>2.19</v>
      </c>
      <c r="G14" s="94">
        <v>4.0999999999999996</v>
      </c>
      <c r="H14" s="95">
        <v>9.3000000000000007</v>
      </c>
      <c r="I14" s="95">
        <v>0</v>
      </c>
      <c r="J14" s="95">
        <v>30.24</v>
      </c>
      <c r="K14" s="95">
        <v>22.43</v>
      </c>
      <c r="L14" s="78">
        <f>M14-(M14*0.1+0.1)</f>
        <v>0.89000000000000012</v>
      </c>
      <c r="M14" s="96">
        <f t="shared" ref="M14:M24" si="0">IF(C14=1.5,0.6,IF(C14=2.5,0.6,IF(C14=4,0.7,IF(C14=6,0.7,IF(C14=10,0.9,IF(C14=16,0.9,IF(C14=25,1.1,IF(C14=35,1.1,IF(C14=50,1.3,"-")))))))))</f>
        <v>1.1000000000000001</v>
      </c>
      <c r="N14" s="97">
        <f t="shared" ref="N14:N24" si="1">G14+2*L14</f>
        <v>5.88</v>
      </c>
      <c r="O14" s="91" t="s">
        <v>40</v>
      </c>
      <c r="P14" s="91">
        <f t="shared" ref="P14:P24" si="2">H14+2*L14</f>
        <v>11.080000000000002</v>
      </c>
      <c r="Q14" s="97">
        <f t="shared" ref="Q14:Q24" si="3">G14+2*M14</f>
        <v>6.3</v>
      </c>
      <c r="R14" s="91" t="s">
        <v>40</v>
      </c>
      <c r="S14" s="93">
        <f t="shared" ref="S14:S24" si="4">H14+2*M14</f>
        <v>11.5</v>
      </c>
      <c r="T14" s="668">
        <f t="shared" ref="T14:T24" si="5">2*(Q14+(I14+M14)*(1/COS(PI()*(A14-2)/(2*A14))-1))</f>
        <v>12.6</v>
      </c>
      <c r="U14" s="669"/>
      <c r="V14" s="126" t="str">
        <f t="shared" ref="V14:V24" si="6">IF(A14=4,2*(I14+M14)*((1/COS(PI()*(A14-2)/(2*A14)))-1),IF(A14=5,2*(I14+M14)*((1/COS(PI()*(A14-2)/(2*A14)))-1),"-"))</f>
        <v>-</v>
      </c>
      <c r="W14" s="142">
        <v>1</v>
      </c>
      <c r="X14" s="132" t="s">
        <v>18</v>
      </c>
      <c r="Y14" s="132" t="s">
        <v>18</v>
      </c>
      <c r="Z14" s="132" t="s">
        <v>18</v>
      </c>
      <c r="AA14" s="132" t="s">
        <v>18</v>
      </c>
      <c r="AB14" s="132" t="s">
        <v>18</v>
      </c>
      <c r="AC14" s="150">
        <f t="shared" ref="AC14:AC21" si="7">IF(T14&lt;=60,0.9,1)</f>
        <v>0.9</v>
      </c>
      <c r="AD14" s="150">
        <f t="shared" ref="AD14:AD21" si="8">IF(T14&lt;=25,1.7,IF(AND(T14&gt;25,T14&lt;=35),2,IF(AND(T14&gt;35,T14&lt;=45),2.2,IF(AND(T14&gt;45,T14&lt;=60),2.4,IF(AND(T14&gt;60,T14&lt;=80),2.5,2.7)))))</f>
        <v>1.7</v>
      </c>
      <c r="AE14" s="629">
        <f>T14+2*AD14</f>
        <v>16</v>
      </c>
      <c r="AF14" s="630"/>
      <c r="AG14" s="90">
        <v>2</v>
      </c>
      <c r="AH14" s="91" t="s">
        <v>40</v>
      </c>
      <c r="AI14" s="92">
        <v>25</v>
      </c>
      <c r="AJ14" s="174">
        <v>2</v>
      </c>
      <c r="AK14" s="61">
        <f>IF(AE14&lt;=30,0.3,0.5)</f>
        <v>0.3</v>
      </c>
      <c r="AL14" s="139" t="s">
        <v>40</v>
      </c>
      <c r="AM14" s="176">
        <f>IF(AND(AE14&gt;8,AE14&lt;=13),20,IF(AND(AE14&gt;13,AE14&lt;=17),25,IF(AND(AE14&gt;17,AE14&lt;=21),30,IF(AND(AE14&gt;21,AE14&lt;=26),35,IF(AND(AE14&gt;26,AE14&lt;=31),40,IF(AND(AE14&gt;31,AE14&lt;=40),45,IF(AND(AE14&gt;40,AE14&lt;=50),50,55)))))))</f>
        <v>25</v>
      </c>
      <c r="AN14" s="92">
        <f>AE14+2*AJ14*AK14</f>
        <v>17.2</v>
      </c>
      <c r="AO14" s="78">
        <f>AP14-(AP14*0.15+0.1)</f>
        <v>1.4300000000000002</v>
      </c>
      <c r="AP14" s="152">
        <f>IF(AN14&lt;=20,1.8,IF(AND(AN14&gt;20,AN14&lt;=30),2,IF(AND(AN14&gt;30,AN14&lt;=40),2.2,IF(AND(AN14&gt;40,AN14&lt;=50),2.4,IF(AND(AN14&gt;50,AN14&lt;=60),2.6,3.1)))))</f>
        <v>1.8</v>
      </c>
      <c r="AQ14" s="78">
        <f>AN14+2*AP14</f>
        <v>20.8</v>
      </c>
      <c r="AR14" s="87" t="s">
        <v>18</v>
      </c>
      <c r="AS14" s="87">
        <f t="shared" ref="AS14:AS24" si="9">BD14*8.89*1.007*AG14</f>
        <v>450.297169</v>
      </c>
      <c r="AT14" s="130">
        <f>PI()*(K14/PI()+M14)*M14*$BF$11*1.13*A14*1.007</f>
        <v>86.835273788036261</v>
      </c>
      <c r="AU14" s="130" t="str">
        <f>IF(V14="-","-",PI()*POWER(V14,2)/4*1.4)</f>
        <v>-</v>
      </c>
      <c r="AV14" s="96">
        <f t="shared" ref="AV14:AV21" si="10">SQRT(POWER(1+T14*PI()/50,2))*0.347</f>
        <v>0.62171342800050589</v>
      </c>
      <c r="AW14" s="96" t="s">
        <v>18</v>
      </c>
      <c r="AX14" s="96">
        <f t="shared" ref="AX14:AX21" si="11">(PI()*AE14*AE14/4-A14*(J14+PI()*(K14/PI()+M14)*M14)-((POWER((I14+M14),2)*(A14*TAN(PI()*((A14-2)/(2*A14)))-(PI()*(A14-2)/2)))))*$BF$9</f>
        <v>117.08658585128322</v>
      </c>
      <c r="AY14" s="96">
        <f>PI()*(AE14+AJ14*AK14)*AJ14*AK14*0.73*7.8</f>
        <v>178.16675655262122</v>
      </c>
      <c r="AZ14" s="130">
        <f>PI()*(AN14+AP14)*AP14*$BF$10*1.1</f>
        <v>165.46140187926721</v>
      </c>
      <c r="BA14" s="631">
        <f>AS14+AT14+IF(AU14="-",0,AU14)+IF(AV14="-",0,AV14)+IF(AW14="-",0,AW14)+AX14+AY14+AZ14</f>
        <v>998.46890049920842</v>
      </c>
      <c r="BB14" s="632"/>
      <c r="BC14" s="26" t="s">
        <v>18</v>
      </c>
      <c r="BD14" s="71">
        <v>25.15</v>
      </c>
      <c r="BE14" s="627" t="s">
        <v>87</v>
      </c>
      <c r="BG14" s="179" t="e">
        <v>#VALUE!</v>
      </c>
      <c r="BH14" s="182">
        <v>457.05</v>
      </c>
      <c r="BI14" s="182">
        <v>89.61</v>
      </c>
      <c r="BJ14" s="182">
        <v>120.83</v>
      </c>
      <c r="BK14" s="182">
        <v>170.76</v>
      </c>
      <c r="BL14" s="182">
        <v>183.51</v>
      </c>
      <c r="BM14" s="182">
        <v>0</v>
      </c>
      <c r="BN14" s="182">
        <v>0.65</v>
      </c>
      <c r="BO14" s="179" t="e">
        <v>#VALUE!</v>
      </c>
    </row>
    <row r="15" spans="1:67" x14ac:dyDescent="0.25">
      <c r="A15" s="98">
        <v>2</v>
      </c>
      <c r="B15" s="99" t="s">
        <v>40</v>
      </c>
      <c r="C15" s="100">
        <v>35</v>
      </c>
      <c r="D15" s="98">
        <v>7</v>
      </c>
      <c r="E15" s="99" t="s">
        <v>40</v>
      </c>
      <c r="F15" s="101">
        <v>2.59</v>
      </c>
      <c r="G15" s="102">
        <v>4.8</v>
      </c>
      <c r="H15" s="103">
        <v>10.6</v>
      </c>
      <c r="I15" s="103">
        <v>0</v>
      </c>
      <c r="J15" s="103">
        <v>40.03</v>
      </c>
      <c r="K15" s="103">
        <v>25.72</v>
      </c>
      <c r="L15" s="75">
        <f t="shared" ref="L15:L24" si="12">M15-(M15*0.1+0.1)</f>
        <v>0.89000000000000012</v>
      </c>
      <c r="M15" s="75">
        <f t="shared" si="0"/>
        <v>1.1000000000000001</v>
      </c>
      <c r="N15" s="104">
        <f t="shared" si="1"/>
        <v>6.58</v>
      </c>
      <c r="O15" s="99" t="s">
        <v>40</v>
      </c>
      <c r="P15" s="99">
        <f t="shared" si="2"/>
        <v>12.379999999999999</v>
      </c>
      <c r="Q15" s="104">
        <f t="shared" si="3"/>
        <v>7</v>
      </c>
      <c r="R15" s="99" t="s">
        <v>40</v>
      </c>
      <c r="S15" s="101">
        <f t="shared" si="4"/>
        <v>12.8</v>
      </c>
      <c r="T15" s="628">
        <f t="shared" si="5"/>
        <v>14</v>
      </c>
      <c r="U15" s="628"/>
      <c r="V15" s="127" t="str">
        <f t="shared" si="6"/>
        <v>-</v>
      </c>
      <c r="W15" s="142">
        <v>1</v>
      </c>
      <c r="X15" s="132" t="s">
        <v>18</v>
      </c>
      <c r="Y15" s="132" t="s">
        <v>18</v>
      </c>
      <c r="Z15" s="132" t="s">
        <v>18</v>
      </c>
      <c r="AA15" s="132" t="s">
        <v>18</v>
      </c>
      <c r="AB15" s="132" t="s">
        <v>18</v>
      </c>
      <c r="AC15" s="150">
        <f t="shared" si="7"/>
        <v>0.9</v>
      </c>
      <c r="AD15" s="150">
        <f t="shared" si="8"/>
        <v>1.7</v>
      </c>
      <c r="AE15" s="629">
        <f t="shared" ref="AE15:AE21" si="13">T15+2*AD15</f>
        <v>17.399999999999999</v>
      </c>
      <c r="AF15" s="630"/>
      <c r="AG15" s="98">
        <v>2</v>
      </c>
      <c r="AH15" s="99" t="s">
        <v>40</v>
      </c>
      <c r="AI15" s="100">
        <v>35</v>
      </c>
      <c r="AJ15" s="174">
        <v>2</v>
      </c>
      <c r="AK15" s="61">
        <f t="shared" ref="AK15:AK24" si="14">IF(AE15&lt;=30,0.3,0.5)</f>
        <v>0.3</v>
      </c>
      <c r="AL15" s="139" t="s">
        <v>40</v>
      </c>
      <c r="AM15" s="176">
        <f t="shared" ref="AM15:AM24" si="15">IF(AND(AE15&gt;8,AE15&lt;=13),20,IF(AND(AE15&gt;13,AE15&lt;=17),25,IF(AND(AE15&gt;17,AE15&lt;=21),30,IF(AND(AE15&gt;21,AE15&lt;=26),35,IF(AND(AE15&gt;26,AE15&lt;=31),40,IF(AND(AE15&gt;31,AE15&lt;=40),45,IF(AND(AE15&gt;40,AE15&lt;=50),50,55)))))))</f>
        <v>30</v>
      </c>
      <c r="AN15" s="92">
        <f t="shared" ref="AN15:AN24" si="16">AE15+2*AJ15*AK15</f>
        <v>18.599999999999998</v>
      </c>
      <c r="AO15" s="75">
        <f t="shared" ref="AO15:AO24" si="17">AP15-(AP15*0.15+0.1)</f>
        <v>1.4300000000000002</v>
      </c>
      <c r="AP15" s="152">
        <f t="shared" ref="AP15:AP24" si="18">IF(AN15&lt;=20,1.8,IF(AND(AN15&gt;20,AN15&lt;=30),2,IF(AND(AN15&gt;30,AN15&lt;=40),2.2,IF(AND(AN15&gt;40,AN15&lt;=50),2.4,IF(AND(AN15&gt;50,AN15&lt;=60),2.6,3.1)))))</f>
        <v>1.8</v>
      </c>
      <c r="AQ15" s="151">
        <f t="shared" ref="AQ15:AQ24" si="19">AN15+2*AP15</f>
        <v>22.2</v>
      </c>
      <c r="AR15" s="76" t="s">
        <v>18</v>
      </c>
      <c r="AS15" s="87">
        <f t="shared" si="9"/>
        <v>620.3895389999999</v>
      </c>
      <c r="AT15" s="130">
        <f t="shared" ref="AT15:AT24" si="20">PI()*(K15/PI()+M15)*M15*$BF$11*1.13*A15*1.007</f>
        <v>97.871771845236239</v>
      </c>
      <c r="AU15" s="165" t="str">
        <f t="shared" ref="AU15:AU24" si="21">IF(V15="-","-",PI()*POWER(V15,2)/4*1.4)</f>
        <v>-</v>
      </c>
      <c r="AV15" s="96">
        <f t="shared" si="10"/>
        <v>0.65223714222278417</v>
      </c>
      <c r="AW15" s="96" t="s">
        <v>18</v>
      </c>
      <c r="AX15" s="96">
        <f t="shared" si="11"/>
        <v>130.95669121993376</v>
      </c>
      <c r="AY15" s="96">
        <f t="shared" ref="AY15:AY24" si="22">PI()*(AE15+AJ15*AK15)*AJ15*AK15*0.73*7.8</f>
        <v>193.19286855103502</v>
      </c>
      <c r="AZ15" s="165">
        <f t="shared" ref="AZ15:AZ24" si="23">PI()*(AN15+AP15)*AP15*$BF$10*1.1</f>
        <v>177.65329464931847</v>
      </c>
      <c r="BA15" s="631">
        <f t="shared" ref="BA15:BA24" si="24">AS15+AT15+IF(AU15="-",0,AU15)+IF(AV15="-",0,AV15)+IF(AW15="-",0,AW15)+AX15+AY15+AZ15</f>
        <v>1220.7164024077463</v>
      </c>
      <c r="BB15" s="632"/>
      <c r="BC15" s="57" t="s">
        <v>18</v>
      </c>
      <c r="BD15" s="71">
        <v>34.65</v>
      </c>
      <c r="BE15" s="627"/>
      <c r="BG15" s="179" t="e">
        <v>#VALUE!</v>
      </c>
      <c r="BH15" s="182">
        <v>629.70000000000005</v>
      </c>
      <c r="BI15" s="182">
        <v>101</v>
      </c>
      <c r="BJ15" s="182">
        <v>135.15</v>
      </c>
      <c r="BK15" s="182">
        <v>183.34</v>
      </c>
      <c r="BL15" s="182">
        <v>198.99</v>
      </c>
      <c r="BM15" s="182">
        <v>0</v>
      </c>
      <c r="BN15" s="182">
        <v>0.68</v>
      </c>
      <c r="BO15" s="179" t="e">
        <v>#VALUE!</v>
      </c>
    </row>
    <row r="16" spans="1:67" x14ac:dyDescent="0.25">
      <c r="A16" s="98">
        <v>2</v>
      </c>
      <c r="B16" s="99" t="s">
        <v>40</v>
      </c>
      <c r="C16" s="100">
        <v>50</v>
      </c>
      <c r="D16" s="98">
        <v>7</v>
      </c>
      <c r="E16" s="99" t="s">
        <v>40</v>
      </c>
      <c r="F16" s="101">
        <v>3</v>
      </c>
      <c r="G16" s="102">
        <v>5.6</v>
      </c>
      <c r="H16" s="103">
        <v>13</v>
      </c>
      <c r="I16" s="103">
        <v>0</v>
      </c>
      <c r="J16" s="103">
        <v>56.59</v>
      </c>
      <c r="K16" s="103">
        <v>31.2</v>
      </c>
      <c r="L16" s="75">
        <f t="shared" si="12"/>
        <v>1.07</v>
      </c>
      <c r="M16" s="75">
        <f t="shared" si="0"/>
        <v>1.3</v>
      </c>
      <c r="N16" s="104">
        <f t="shared" si="1"/>
        <v>7.74</v>
      </c>
      <c r="O16" s="99" t="s">
        <v>40</v>
      </c>
      <c r="P16" s="99">
        <f t="shared" si="2"/>
        <v>15.14</v>
      </c>
      <c r="Q16" s="104">
        <f t="shared" si="3"/>
        <v>8.1999999999999993</v>
      </c>
      <c r="R16" s="99" t="s">
        <v>40</v>
      </c>
      <c r="S16" s="101">
        <f t="shared" si="4"/>
        <v>15.6</v>
      </c>
      <c r="T16" s="628">
        <f t="shared" si="5"/>
        <v>16.399999999999999</v>
      </c>
      <c r="U16" s="628"/>
      <c r="V16" s="127" t="str">
        <f t="shared" si="6"/>
        <v>-</v>
      </c>
      <c r="W16" s="142">
        <v>1</v>
      </c>
      <c r="X16" s="132" t="s">
        <v>18</v>
      </c>
      <c r="Y16" s="132" t="s">
        <v>18</v>
      </c>
      <c r="Z16" s="132" t="s">
        <v>18</v>
      </c>
      <c r="AA16" s="132" t="s">
        <v>18</v>
      </c>
      <c r="AB16" s="132" t="s">
        <v>18</v>
      </c>
      <c r="AC16" s="150">
        <f t="shared" si="7"/>
        <v>0.9</v>
      </c>
      <c r="AD16" s="150">
        <f t="shared" si="8"/>
        <v>1.7</v>
      </c>
      <c r="AE16" s="629">
        <f t="shared" si="13"/>
        <v>19.799999999999997</v>
      </c>
      <c r="AF16" s="630"/>
      <c r="AG16" s="98">
        <v>2</v>
      </c>
      <c r="AH16" s="99" t="s">
        <v>40</v>
      </c>
      <c r="AI16" s="100">
        <v>50</v>
      </c>
      <c r="AJ16" s="174">
        <v>2</v>
      </c>
      <c r="AK16" s="61">
        <f t="shared" si="14"/>
        <v>0.3</v>
      </c>
      <c r="AL16" s="139" t="s">
        <v>40</v>
      </c>
      <c r="AM16" s="176">
        <f t="shared" si="15"/>
        <v>30</v>
      </c>
      <c r="AN16" s="92">
        <f t="shared" si="16"/>
        <v>20.999999999999996</v>
      </c>
      <c r="AO16" s="75">
        <f t="shared" si="17"/>
        <v>1.6</v>
      </c>
      <c r="AP16" s="152">
        <f t="shared" si="18"/>
        <v>2</v>
      </c>
      <c r="AQ16" s="151">
        <f t="shared" si="19"/>
        <v>24.999999999999996</v>
      </c>
      <c r="AR16" s="76" t="s">
        <v>18</v>
      </c>
      <c r="AS16" s="87">
        <f t="shared" si="9"/>
        <v>821.81471399999987</v>
      </c>
      <c r="AT16" s="130">
        <f t="shared" si="20"/>
        <v>139.88293657314483</v>
      </c>
      <c r="AU16" s="165" t="str">
        <f t="shared" si="21"/>
        <v>-</v>
      </c>
      <c r="AV16" s="96">
        <f t="shared" si="10"/>
        <v>0.70456350946097579</v>
      </c>
      <c r="AW16" s="96" t="s">
        <v>18</v>
      </c>
      <c r="AX16" s="96">
        <f t="shared" si="11"/>
        <v>144.18447793288283</v>
      </c>
      <c r="AY16" s="96">
        <f t="shared" si="22"/>
        <v>218.95191769117304</v>
      </c>
      <c r="AZ16" s="165">
        <f t="shared" si="23"/>
        <v>222.5504235803009</v>
      </c>
      <c r="BA16" s="631">
        <f t="shared" si="24"/>
        <v>1548.0890332869626</v>
      </c>
      <c r="BB16" s="632"/>
      <c r="BC16" s="57" t="s">
        <v>18</v>
      </c>
      <c r="BD16" s="71">
        <v>45.9</v>
      </c>
      <c r="BE16" s="627"/>
      <c r="BG16" s="179" t="e">
        <v>#VALUE!</v>
      </c>
      <c r="BH16" s="182">
        <v>834.14</v>
      </c>
      <c r="BI16" s="182">
        <v>144.36000000000001</v>
      </c>
      <c r="BJ16" s="182">
        <v>148.80000000000001</v>
      </c>
      <c r="BK16" s="182">
        <v>229.67</v>
      </c>
      <c r="BL16" s="182">
        <v>225.52</v>
      </c>
      <c r="BM16" s="182">
        <v>0</v>
      </c>
      <c r="BN16" s="182">
        <v>0.74</v>
      </c>
      <c r="BO16" s="179" t="e">
        <v>#VALUE!</v>
      </c>
    </row>
    <row r="17" spans="1:67" x14ac:dyDescent="0.25">
      <c r="A17" s="98">
        <v>3</v>
      </c>
      <c r="B17" s="99" t="s">
        <v>40</v>
      </c>
      <c r="C17" s="100">
        <v>35</v>
      </c>
      <c r="D17" s="98">
        <v>7</v>
      </c>
      <c r="E17" s="99" t="s">
        <v>40</v>
      </c>
      <c r="F17" s="101">
        <v>2.59</v>
      </c>
      <c r="G17" s="102">
        <v>5.9</v>
      </c>
      <c r="H17" s="103">
        <v>10.5</v>
      </c>
      <c r="I17" s="103">
        <v>2</v>
      </c>
      <c r="J17" s="103">
        <v>41.89</v>
      </c>
      <c r="K17" s="103">
        <v>25.29</v>
      </c>
      <c r="L17" s="75">
        <f t="shared" si="12"/>
        <v>0.89000000000000012</v>
      </c>
      <c r="M17" s="75">
        <f t="shared" si="0"/>
        <v>1.1000000000000001</v>
      </c>
      <c r="N17" s="104">
        <f t="shared" si="1"/>
        <v>7.6800000000000006</v>
      </c>
      <c r="O17" s="99" t="s">
        <v>40</v>
      </c>
      <c r="P17" s="99">
        <f t="shared" si="2"/>
        <v>12.280000000000001</v>
      </c>
      <c r="Q17" s="104">
        <f t="shared" si="3"/>
        <v>8.1000000000000014</v>
      </c>
      <c r="R17" s="99" t="s">
        <v>40</v>
      </c>
      <c r="S17" s="101">
        <f t="shared" si="4"/>
        <v>12.7</v>
      </c>
      <c r="T17" s="628">
        <f t="shared" si="5"/>
        <v>17.159143337951363</v>
      </c>
      <c r="U17" s="628"/>
      <c r="V17" s="127" t="str">
        <f t="shared" si="6"/>
        <v>-</v>
      </c>
      <c r="W17" s="142">
        <v>1</v>
      </c>
      <c r="X17" s="132" t="s">
        <v>18</v>
      </c>
      <c r="Y17" s="132" t="s">
        <v>18</v>
      </c>
      <c r="Z17" s="132" t="s">
        <v>18</v>
      </c>
      <c r="AA17" s="132" t="s">
        <v>18</v>
      </c>
      <c r="AB17" s="132" t="s">
        <v>18</v>
      </c>
      <c r="AC17" s="150">
        <f t="shared" si="7"/>
        <v>0.9</v>
      </c>
      <c r="AD17" s="150">
        <f t="shared" si="8"/>
        <v>1.7</v>
      </c>
      <c r="AE17" s="629">
        <f t="shared" si="13"/>
        <v>20.559143337951362</v>
      </c>
      <c r="AF17" s="630"/>
      <c r="AG17" s="98">
        <v>3</v>
      </c>
      <c r="AH17" s="99" t="s">
        <v>40</v>
      </c>
      <c r="AI17" s="100">
        <v>35</v>
      </c>
      <c r="AJ17" s="174">
        <v>2</v>
      </c>
      <c r="AK17" s="61">
        <f t="shared" si="14"/>
        <v>0.3</v>
      </c>
      <c r="AL17" s="139" t="s">
        <v>40</v>
      </c>
      <c r="AM17" s="176">
        <f t="shared" si="15"/>
        <v>30</v>
      </c>
      <c r="AN17" s="92">
        <f t="shared" si="16"/>
        <v>21.759143337951361</v>
      </c>
      <c r="AO17" s="75">
        <f t="shared" si="17"/>
        <v>1.6</v>
      </c>
      <c r="AP17" s="152">
        <f t="shared" si="18"/>
        <v>2</v>
      </c>
      <c r="AQ17" s="151">
        <f t="shared" si="19"/>
        <v>25.759143337951361</v>
      </c>
      <c r="AR17" s="76" t="s">
        <v>18</v>
      </c>
      <c r="AS17" s="87">
        <f t="shared" si="9"/>
        <v>930.58430849999991</v>
      </c>
      <c r="AT17" s="130">
        <f t="shared" si="20"/>
        <v>144.64396741925441</v>
      </c>
      <c r="AU17" s="165" t="str">
        <f t="shared" si="21"/>
        <v>-</v>
      </c>
      <c r="AV17" s="96">
        <f t="shared" si="10"/>
        <v>0.72111484824767136</v>
      </c>
      <c r="AW17" s="96" t="s">
        <v>18</v>
      </c>
      <c r="AX17" s="96">
        <f t="shared" si="11"/>
        <v>153.84625532563427</v>
      </c>
      <c r="AY17" s="96">
        <f t="shared" si="22"/>
        <v>227.0997554189637</v>
      </c>
      <c r="AZ17" s="165">
        <f t="shared" si="23"/>
        <v>229.89597451157221</v>
      </c>
      <c r="BA17" s="631">
        <f t="shared" si="24"/>
        <v>1686.7913760236722</v>
      </c>
      <c r="BB17" s="632"/>
      <c r="BC17" s="57" t="s">
        <v>18</v>
      </c>
      <c r="BD17" s="71">
        <v>34.65</v>
      </c>
      <c r="BE17" s="627"/>
      <c r="BG17" s="179" t="e">
        <v>#VALUE!</v>
      </c>
      <c r="BH17" s="182">
        <v>944.54</v>
      </c>
      <c r="BI17" s="182">
        <v>149.27000000000001</v>
      </c>
      <c r="BJ17" s="182">
        <v>158.77000000000001</v>
      </c>
      <c r="BK17" s="182">
        <v>237.25</v>
      </c>
      <c r="BL17" s="182">
        <v>233.91</v>
      </c>
      <c r="BM17" s="182">
        <v>0</v>
      </c>
      <c r="BN17" s="182">
        <v>0.76</v>
      </c>
      <c r="BO17" s="179" t="e">
        <v>#VALUE!</v>
      </c>
    </row>
    <row r="18" spans="1:67" x14ac:dyDescent="0.25">
      <c r="A18" s="98">
        <v>3</v>
      </c>
      <c r="B18" s="99" t="s">
        <v>40</v>
      </c>
      <c r="C18" s="100">
        <v>50</v>
      </c>
      <c r="D18" s="98">
        <v>7</v>
      </c>
      <c r="E18" s="99" t="s">
        <v>40</v>
      </c>
      <c r="F18" s="101">
        <v>3</v>
      </c>
      <c r="G18" s="102">
        <v>6.8</v>
      </c>
      <c r="H18" s="103">
        <v>10.9</v>
      </c>
      <c r="I18" s="103">
        <v>2</v>
      </c>
      <c r="J18" s="103">
        <v>52.82</v>
      </c>
      <c r="K18" s="103">
        <v>27.54</v>
      </c>
      <c r="L18" s="75">
        <f t="shared" si="12"/>
        <v>1.07</v>
      </c>
      <c r="M18" s="75">
        <f t="shared" si="0"/>
        <v>1.3</v>
      </c>
      <c r="N18" s="104">
        <f t="shared" si="1"/>
        <v>8.94</v>
      </c>
      <c r="O18" s="99" t="s">
        <v>40</v>
      </c>
      <c r="P18" s="99">
        <f t="shared" si="2"/>
        <v>13.040000000000001</v>
      </c>
      <c r="Q18" s="104">
        <f t="shared" si="3"/>
        <v>9.4</v>
      </c>
      <c r="R18" s="99" t="s">
        <v>40</v>
      </c>
      <c r="S18" s="101">
        <f t="shared" si="4"/>
        <v>13.5</v>
      </c>
      <c r="T18" s="628">
        <f t="shared" si="5"/>
        <v>19.821023553303061</v>
      </c>
      <c r="U18" s="628"/>
      <c r="V18" s="127" t="str">
        <f t="shared" si="6"/>
        <v>-</v>
      </c>
      <c r="W18" s="142">
        <v>1</v>
      </c>
      <c r="X18" s="132" t="s">
        <v>18</v>
      </c>
      <c r="Y18" s="132" t="s">
        <v>18</v>
      </c>
      <c r="Z18" s="132" t="s">
        <v>18</v>
      </c>
      <c r="AA18" s="132" t="s">
        <v>18</v>
      </c>
      <c r="AB18" s="132" t="s">
        <v>18</v>
      </c>
      <c r="AC18" s="150">
        <f t="shared" si="7"/>
        <v>0.9</v>
      </c>
      <c r="AD18" s="150">
        <f t="shared" si="8"/>
        <v>1.7</v>
      </c>
      <c r="AE18" s="629">
        <f t="shared" si="13"/>
        <v>23.221023553303059</v>
      </c>
      <c r="AF18" s="630"/>
      <c r="AG18" s="98">
        <v>3</v>
      </c>
      <c r="AH18" s="99" t="s">
        <v>40</v>
      </c>
      <c r="AI18" s="100">
        <v>50</v>
      </c>
      <c r="AJ18" s="174">
        <v>2</v>
      </c>
      <c r="AK18" s="61">
        <f t="shared" si="14"/>
        <v>0.3</v>
      </c>
      <c r="AL18" s="139" t="s">
        <v>40</v>
      </c>
      <c r="AM18" s="176">
        <f t="shared" si="15"/>
        <v>35</v>
      </c>
      <c r="AN18" s="92">
        <f t="shared" si="16"/>
        <v>24.421023553303058</v>
      </c>
      <c r="AO18" s="75">
        <f t="shared" si="17"/>
        <v>1.6</v>
      </c>
      <c r="AP18" s="152">
        <f t="shared" si="18"/>
        <v>2</v>
      </c>
      <c r="AQ18" s="151">
        <f t="shared" si="19"/>
        <v>28.421023553303058</v>
      </c>
      <c r="AR18" s="76" t="s">
        <v>18</v>
      </c>
      <c r="AS18" s="87">
        <f t="shared" si="9"/>
        <v>1232.7220709999997</v>
      </c>
      <c r="AT18" s="130">
        <f t="shared" si="20"/>
        <v>188.05941822411728</v>
      </c>
      <c r="AU18" s="165" t="str">
        <f t="shared" si="21"/>
        <v>-</v>
      </c>
      <c r="AV18" s="96">
        <f t="shared" si="10"/>
        <v>0.77915089895290879</v>
      </c>
      <c r="AW18" s="96" t="s">
        <v>18</v>
      </c>
      <c r="AX18" s="96">
        <f t="shared" si="11"/>
        <v>195.92897641345402</v>
      </c>
      <c r="AY18" s="96">
        <f t="shared" si="22"/>
        <v>255.66954844913266</v>
      </c>
      <c r="AZ18" s="165">
        <f t="shared" si="23"/>
        <v>255.6526079657697</v>
      </c>
      <c r="BA18" s="631">
        <f t="shared" si="24"/>
        <v>2128.8117729514261</v>
      </c>
      <c r="BB18" s="632"/>
      <c r="BC18" s="57" t="s">
        <v>18</v>
      </c>
      <c r="BD18" s="71">
        <v>45.9</v>
      </c>
      <c r="BE18" s="627"/>
      <c r="BG18" s="179" t="e">
        <v>#VALUE!</v>
      </c>
      <c r="BH18" s="182">
        <v>1251.21</v>
      </c>
      <c r="BI18" s="182">
        <v>194.08</v>
      </c>
      <c r="BJ18" s="182">
        <v>202.2</v>
      </c>
      <c r="BK18" s="182">
        <v>263.83</v>
      </c>
      <c r="BL18" s="182">
        <v>263.33999999999997</v>
      </c>
      <c r="BM18" s="182">
        <v>0</v>
      </c>
      <c r="BN18" s="182">
        <v>0.82</v>
      </c>
      <c r="BO18" s="179" t="e">
        <v>#VALUE!</v>
      </c>
    </row>
    <row r="19" spans="1:67" x14ac:dyDescent="0.25">
      <c r="A19" s="98">
        <v>4</v>
      </c>
      <c r="B19" s="99" t="s">
        <v>40</v>
      </c>
      <c r="C19" s="100">
        <v>25</v>
      </c>
      <c r="D19" s="98">
        <v>7</v>
      </c>
      <c r="E19" s="99" t="s">
        <v>40</v>
      </c>
      <c r="F19" s="101">
        <v>2.19</v>
      </c>
      <c r="G19" s="102">
        <v>5.6</v>
      </c>
      <c r="H19" s="103">
        <v>7.7</v>
      </c>
      <c r="I19" s="103">
        <v>1.2</v>
      </c>
      <c r="J19" s="103">
        <v>29.01</v>
      </c>
      <c r="K19" s="103">
        <v>20.48</v>
      </c>
      <c r="L19" s="75">
        <f t="shared" si="12"/>
        <v>0.89000000000000012</v>
      </c>
      <c r="M19" s="75">
        <f t="shared" si="0"/>
        <v>1.1000000000000001</v>
      </c>
      <c r="N19" s="104">
        <f t="shared" si="1"/>
        <v>7.38</v>
      </c>
      <c r="O19" s="99" t="s">
        <v>40</v>
      </c>
      <c r="P19" s="99">
        <f t="shared" si="2"/>
        <v>9.48</v>
      </c>
      <c r="Q19" s="104">
        <f t="shared" si="3"/>
        <v>7.8</v>
      </c>
      <c r="R19" s="99" t="s">
        <v>40</v>
      </c>
      <c r="S19" s="101">
        <f t="shared" si="4"/>
        <v>9.9</v>
      </c>
      <c r="T19" s="628">
        <f t="shared" si="5"/>
        <v>17.505382386916235</v>
      </c>
      <c r="U19" s="628"/>
      <c r="V19" s="127">
        <f t="shared" si="6"/>
        <v>1.9053823869162365</v>
      </c>
      <c r="W19" s="142">
        <v>1</v>
      </c>
      <c r="X19" s="132" t="s">
        <v>18</v>
      </c>
      <c r="Y19" s="132" t="s">
        <v>18</v>
      </c>
      <c r="Z19" s="132" t="s">
        <v>18</v>
      </c>
      <c r="AA19" s="132" t="s">
        <v>18</v>
      </c>
      <c r="AB19" s="132" t="s">
        <v>18</v>
      </c>
      <c r="AC19" s="150">
        <f t="shared" si="7"/>
        <v>0.9</v>
      </c>
      <c r="AD19" s="150">
        <f t="shared" si="8"/>
        <v>1.7</v>
      </c>
      <c r="AE19" s="629">
        <f t="shared" si="13"/>
        <v>20.905382386916234</v>
      </c>
      <c r="AF19" s="630"/>
      <c r="AG19" s="98">
        <v>4</v>
      </c>
      <c r="AH19" s="99" t="s">
        <v>40</v>
      </c>
      <c r="AI19" s="100">
        <v>25</v>
      </c>
      <c r="AJ19" s="174">
        <v>2</v>
      </c>
      <c r="AK19" s="61">
        <f t="shared" si="14"/>
        <v>0.3</v>
      </c>
      <c r="AL19" s="139" t="s">
        <v>40</v>
      </c>
      <c r="AM19" s="176">
        <f t="shared" si="15"/>
        <v>30</v>
      </c>
      <c r="AN19" s="92">
        <f t="shared" si="16"/>
        <v>22.105382386916233</v>
      </c>
      <c r="AO19" s="75">
        <f t="shared" si="17"/>
        <v>1.6</v>
      </c>
      <c r="AP19" s="152">
        <f t="shared" si="18"/>
        <v>2</v>
      </c>
      <c r="AQ19" s="151">
        <f t="shared" si="19"/>
        <v>26.105382386916233</v>
      </c>
      <c r="AR19" s="76" t="s">
        <v>18</v>
      </c>
      <c r="AS19" s="87">
        <f t="shared" si="9"/>
        <v>900.59433799999999</v>
      </c>
      <c r="AT19" s="130">
        <f>PI()*(K19/PI()+M19)*M19*$BF$11*1.13*A19*1.007</f>
        <v>160.5877687240725</v>
      </c>
      <c r="AU19" s="165">
        <f t="shared" si="21"/>
        <v>3.9919234974563014</v>
      </c>
      <c r="AV19" s="96">
        <f t="shared" si="10"/>
        <v>0.72866377809281235</v>
      </c>
      <c r="AW19" s="96" t="s">
        <v>18</v>
      </c>
      <c r="AX19" s="96">
        <f t="shared" si="11"/>
        <v>164.28749826019336</v>
      </c>
      <c r="AY19" s="96">
        <f t="shared" si="22"/>
        <v>230.81591736751398</v>
      </c>
      <c r="AZ19" s="165">
        <f t="shared" si="23"/>
        <v>233.24622003362322</v>
      </c>
      <c r="BA19" s="631">
        <f t="shared" si="24"/>
        <v>1694.2523296609525</v>
      </c>
      <c r="BB19" s="632"/>
      <c r="BC19" s="58" t="s">
        <v>18</v>
      </c>
      <c r="BD19" s="71">
        <v>25.15</v>
      </c>
      <c r="BE19" s="627"/>
      <c r="BG19" s="179" t="e">
        <v>#VALUE!</v>
      </c>
      <c r="BH19" s="182">
        <v>914.1</v>
      </c>
      <c r="BI19" s="182">
        <v>165.73</v>
      </c>
      <c r="BJ19" s="182">
        <v>169.54</v>
      </c>
      <c r="BK19" s="182">
        <v>240.71</v>
      </c>
      <c r="BL19" s="182">
        <v>237.74</v>
      </c>
      <c r="BM19" s="182">
        <v>4.12</v>
      </c>
      <c r="BN19" s="182">
        <v>0.77</v>
      </c>
      <c r="BO19" s="179" t="e">
        <v>#VALUE!</v>
      </c>
    </row>
    <row r="20" spans="1:67" x14ac:dyDescent="0.25">
      <c r="A20" s="98">
        <v>4</v>
      </c>
      <c r="B20" s="99" t="s">
        <v>40</v>
      </c>
      <c r="C20" s="100">
        <v>35</v>
      </c>
      <c r="D20" s="98">
        <v>7</v>
      </c>
      <c r="E20" s="99" t="s">
        <v>40</v>
      </c>
      <c r="F20" s="101">
        <v>2.59</v>
      </c>
      <c r="G20" s="102">
        <v>6.5</v>
      </c>
      <c r="H20" s="103">
        <v>9.5</v>
      </c>
      <c r="I20" s="103">
        <v>1.5</v>
      </c>
      <c r="J20" s="103">
        <v>40.29</v>
      </c>
      <c r="K20" s="103">
        <v>24.52</v>
      </c>
      <c r="L20" s="75">
        <f t="shared" si="12"/>
        <v>0.89000000000000012</v>
      </c>
      <c r="M20" s="75">
        <f t="shared" si="0"/>
        <v>1.1000000000000001</v>
      </c>
      <c r="N20" s="104">
        <f t="shared" si="1"/>
        <v>8.2800000000000011</v>
      </c>
      <c r="O20" s="99" t="s">
        <v>40</v>
      </c>
      <c r="P20" s="99">
        <f t="shared" si="2"/>
        <v>11.280000000000001</v>
      </c>
      <c r="Q20" s="104">
        <f t="shared" si="3"/>
        <v>8.6999999999999993</v>
      </c>
      <c r="R20" s="99" t="s">
        <v>40</v>
      </c>
      <c r="S20" s="101">
        <f t="shared" si="4"/>
        <v>11.7</v>
      </c>
      <c r="T20" s="628">
        <f t="shared" si="5"/>
        <v>19.553910524340093</v>
      </c>
      <c r="U20" s="628"/>
      <c r="V20" s="127">
        <f t="shared" si="6"/>
        <v>2.1539105243400938</v>
      </c>
      <c r="W20" s="142">
        <v>1</v>
      </c>
      <c r="X20" s="132" t="s">
        <v>18</v>
      </c>
      <c r="Y20" s="132" t="s">
        <v>18</v>
      </c>
      <c r="Z20" s="132" t="s">
        <v>18</v>
      </c>
      <c r="AA20" s="132" t="s">
        <v>18</v>
      </c>
      <c r="AB20" s="132" t="s">
        <v>18</v>
      </c>
      <c r="AC20" s="150">
        <f t="shared" si="7"/>
        <v>0.9</v>
      </c>
      <c r="AD20" s="150">
        <f t="shared" si="8"/>
        <v>1.7</v>
      </c>
      <c r="AE20" s="629">
        <f t="shared" si="13"/>
        <v>22.953910524340092</v>
      </c>
      <c r="AF20" s="630"/>
      <c r="AG20" s="98">
        <v>4</v>
      </c>
      <c r="AH20" s="99" t="s">
        <v>40</v>
      </c>
      <c r="AI20" s="100">
        <v>35</v>
      </c>
      <c r="AJ20" s="174">
        <v>2</v>
      </c>
      <c r="AK20" s="61">
        <f t="shared" si="14"/>
        <v>0.3</v>
      </c>
      <c r="AL20" s="139" t="s">
        <v>40</v>
      </c>
      <c r="AM20" s="176">
        <f t="shared" si="15"/>
        <v>35</v>
      </c>
      <c r="AN20" s="92">
        <f t="shared" si="16"/>
        <v>24.153910524340091</v>
      </c>
      <c r="AO20" s="75">
        <f t="shared" si="17"/>
        <v>1.6</v>
      </c>
      <c r="AP20" s="152">
        <f t="shared" si="18"/>
        <v>2</v>
      </c>
      <c r="AQ20" s="151">
        <f t="shared" si="19"/>
        <v>28.153910524340091</v>
      </c>
      <c r="AR20" s="76" t="s">
        <v>18</v>
      </c>
      <c r="AS20" s="87">
        <f t="shared" si="9"/>
        <v>1240.7790779999998</v>
      </c>
      <c r="AT20" s="130">
        <f t="shared" si="20"/>
        <v>187.69260285847253</v>
      </c>
      <c r="AU20" s="165">
        <f t="shared" si="21"/>
        <v>5.101210367259851</v>
      </c>
      <c r="AV20" s="96">
        <f t="shared" si="10"/>
        <v>0.77332712626639954</v>
      </c>
      <c r="AW20" s="96" t="s">
        <v>18</v>
      </c>
      <c r="AX20" s="96">
        <f t="shared" si="11"/>
        <v>173.25842742254565</v>
      </c>
      <c r="AY20" s="96">
        <f t="shared" si="22"/>
        <v>252.80264109953762</v>
      </c>
      <c r="AZ20" s="165">
        <f t="shared" si="23"/>
        <v>253.06799415100775</v>
      </c>
      <c r="BA20" s="631">
        <f t="shared" si="24"/>
        <v>2113.4752810250898</v>
      </c>
      <c r="BB20" s="632"/>
      <c r="BC20" s="58" t="s">
        <v>18</v>
      </c>
      <c r="BD20" s="71">
        <v>34.65</v>
      </c>
      <c r="BE20" s="627"/>
      <c r="BG20" s="179" t="e">
        <v>#VALUE!</v>
      </c>
      <c r="BH20" s="182">
        <v>1259.3900000000001</v>
      </c>
      <c r="BI20" s="182">
        <v>193.7</v>
      </c>
      <c r="BJ20" s="182">
        <v>178.8</v>
      </c>
      <c r="BK20" s="182">
        <v>261.17</v>
      </c>
      <c r="BL20" s="182">
        <v>260.39</v>
      </c>
      <c r="BM20" s="182">
        <v>5.26</v>
      </c>
      <c r="BN20" s="182">
        <v>0.81</v>
      </c>
      <c r="BO20" s="179" t="e">
        <v>#VALUE!</v>
      </c>
    </row>
    <row r="21" spans="1:67" x14ac:dyDescent="0.25">
      <c r="A21" s="98">
        <v>4</v>
      </c>
      <c r="B21" s="99" t="s">
        <v>40</v>
      </c>
      <c r="C21" s="100">
        <v>50</v>
      </c>
      <c r="D21" s="98">
        <v>7</v>
      </c>
      <c r="E21" s="99" t="s">
        <v>40</v>
      </c>
      <c r="F21" s="101">
        <v>3</v>
      </c>
      <c r="G21" s="105">
        <v>7.7</v>
      </c>
      <c r="H21" s="106">
        <v>11</v>
      </c>
      <c r="I21" s="106">
        <v>2</v>
      </c>
      <c r="J21" s="106">
        <v>56.68</v>
      </c>
      <c r="K21" s="106">
        <v>28.72</v>
      </c>
      <c r="L21" s="75">
        <f t="shared" si="12"/>
        <v>1.07</v>
      </c>
      <c r="M21" s="75">
        <f t="shared" si="0"/>
        <v>1.3</v>
      </c>
      <c r="N21" s="104">
        <f t="shared" si="1"/>
        <v>9.84</v>
      </c>
      <c r="O21" s="99" t="s">
        <v>40</v>
      </c>
      <c r="P21" s="99">
        <f t="shared" si="2"/>
        <v>13.14</v>
      </c>
      <c r="Q21" s="104">
        <f t="shared" si="3"/>
        <v>10.3</v>
      </c>
      <c r="R21" s="99" t="s">
        <v>40</v>
      </c>
      <c r="S21" s="101">
        <f t="shared" si="4"/>
        <v>13.6</v>
      </c>
      <c r="T21" s="628">
        <f t="shared" si="5"/>
        <v>23.333809511662427</v>
      </c>
      <c r="U21" s="628"/>
      <c r="V21" s="127">
        <f t="shared" si="6"/>
        <v>2.7338095116624261</v>
      </c>
      <c r="W21" s="142">
        <v>1</v>
      </c>
      <c r="X21" s="132" t="s">
        <v>18</v>
      </c>
      <c r="Y21" s="132" t="s">
        <v>18</v>
      </c>
      <c r="Z21" s="132" t="s">
        <v>18</v>
      </c>
      <c r="AA21" s="132" t="s">
        <v>18</v>
      </c>
      <c r="AB21" s="132" t="s">
        <v>18</v>
      </c>
      <c r="AC21" s="150">
        <f t="shared" si="7"/>
        <v>0.9</v>
      </c>
      <c r="AD21" s="150">
        <f t="shared" si="8"/>
        <v>1.7</v>
      </c>
      <c r="AE21" s="629">
        <f t="shared" si="13"/>
        <v>26.733809511662425</v>
      </c>
      <c r="AF21" s="630"/>
      <c r="AG21" s="98">
        <v>4</v>
      </c>
      <c r="AH21" s="99" t="s">
        <v>40</v>
      </c>
      <c r="AI21" s="100">
        <v>50</v>
      </c>
      <c r="AJ21" s="174">
        <v>2</v>
      </c>
      <c r="AK21" s="61">
        <f t="shared" si="14"/>
        <v>0.3</v>
      </c>
      <c r="AL21" s="139" t="s">
        <v>40</v>
      </c>
      <c r="AM21" s="176">
        <f t="shared" si="15"/>
        <v>40</v>
      </c>
      <c r="AN21" s="92">
        <f t="shared" si="16"/>
        <v>27.933809511662425</v>
      </c>
      <c r="AO21" s="75">
        <f t="shared" si="17"/>
        <v>1.6</v>
      </c>
      <c r="AP21" s="152">
        <f t="shared" si="18"/>
        <v>2</v>
      </c>
      <c r="AQ21" s="151">
        <f t="shared" si="19"/>
        <v>31.933809511662425</v>
      </c>
      <c r="AR21" s="76" t="s">
        <v>18</v>
      </c>
      <c r="AS21" s="87">
        <f t="shared" si="9"/>
        <v>1643.6294279999997</v>
      </c>
      <c r="AT21" s="130">
        <f t="shared" si="20"/>
        <v>260.10206008388974</v>
      </c>
      <c r="AU21" s="165">
        <f t="shared" si="21"/>
        <v>8.2177782395650514</v>
      </c>
      <c r="AV21" s="96">
        <f t="shared" si="10"/>
        <v>0.85573895232218988</v>
      </c>
      <c r="AW21" s="96" t="s">
        <v>18</v>
      </c>
      <c r="AX21" s="96">
        <f t="shared" si="11"/>
        <v>216.54101267928681</v>
      </c>
      <c r="AY21" s="96">
        <f t="shared" si="22"/>
        <v>293.372059332535</v>
      </c>
      <c r="AZ21" s="165">
        <f t="shared" si="23"/>
        <v>289.64269505184842</v>
      </c>
      <c r="BA21" s="631">
        <f t="shared" si="24"/>
        <v>2712.3607723394471</v>
      </c>
      <c r="BB21" s="632"/>
      <c r="BC21" s="58" t="s">
        <v>18</v>
      </c>
      <c r="BD21" s="71">
        <v>45.9</v>
      </c>
      <c r="BE21" s="627"/>
      <c r="BG21" s="179" t="e">
        <v>#VALUE!</v>
      </c>
      <c r="BH21" s="182">
        <v>1668.28</v>
      </c>
      <c r="BI21" s="182">
        <v>268.43</v>
      </c>
      <c r="BJ21" s="182">
        <v>223.47</v>
      </c>
      <c r="BK21" s="182">
        <v>298.91000000000003</v>
      </c>
      <c r="BL21" s="182">
        <v>302.17</v>
      </c>
      <c r="BM21" s="182">
        <v>8.48</v>
      </c>
      <c r="BN21" s="182">
        <v>0.9</v>
      </c>
      <c r="BO21" s="179" t="e">
        <v>#VALUE!</v>
      </c>
    </row>
    <row r="22" spans="1:67" x14ac:dyDescent="0.25">
      <c r="A22" s="98">
        <v>5</v>
      </c>
      <c r="B22" s="99" t="s">
        <v>40</v>
      </c>
      <c r="C22" s="100">
        <v>25</v>
      </c>
      <c r="D22" s="98">
        <v>7</v>
      </c>
      <c r="E22" s="99" t="s">
        <v>40</v>
      </c>
      <c r="F22" s="101">
        <v>2.19</v>
      </c>
      <c r="G22" s="105">
        <v>6.2</v>
      </c>
      <c r="H22" s="106">
        <v>7.4</v>
      </c>
      <c r="I22" s="106">
        <v>2</v>
      </c>
      <c r="J22" s="106">
        <v>33.18</v>
      </c>
      <c r="K22" s="106">
        <v>21.25</v>
      </c>
      <c r="L22" s="75">
        <f t="shared" si="12"/>
        <v>0.89000000000000012</v>
      </c>
      <c r="M22" s="75">
        <f t="shared" si="0"/>
        <v>1.1000000000000001</v>
      </c>
      <c r="N22" s="104">
        <f t="shared" si="1"/>
        <v>7.98</v>
      </c>
      <c r="O22" s="99" t="s">
        <v>40</v>
      </c>
      <c r="P22" s="99">
        <f t="shared" si="2"/>
        <v>9.18</v>
      </c>
      <c r="Q22" s="104">
        <f t="shared" si="3"/>
        <v>8.4</v>
      </c>
      <c r="R22" s="99" t="s">
        <v>40</v>
      </c>
      <c r="S22" s="101">
        <f t="shared" si="4"/>
        <v>9.6000000000000014</v>
      </c>
      <c r="T22" s="628">
        <f t="shared" si="5"/>
        <v>21.148070023565296</v>
      </c>
      <c r="U22" s="628"/>
      <c r="V22" s="127">
        <f t="shared" si="6"/>
        <v>4.3480700235652945</v>
      </c>
      <c r="W22" s="136" t="s">
        <v>18</v>
      </c>
      <c r="X22" s="138">
        <v>2</v>
      </c>
      <c r="Y22" s="149">
        <v>3.5000000000000003E-2</v>
      </c>
      <c r="Z22" s="139" t="s">
        <v>40</v>
      </c>
      <c r="AA22" s="138">
        <f t="shared" ref="AA22:AA24" si="25">IF(T22&lt;=28,50,60)</f>
        <v>50</v>
      </c>
      <c r="AB22" s="93">
        <f>T22+2*X22*Y22</f>
        <v>21.288070023565297</v>
      </c>
      <c r="AC22" s="150">
        <f>IF(AB22&lt;=60,0.9,1)</f>
        <v>0.9</v>
      </c>
      <c r="AD22" s="150">
        <f t="shared" ref="AD22:AD24" si="26">IF(AB22&lt;=25,1.7,IF(AND(AB22&gt;25,AB22&lt;=35),2,IF(AND(AB22&gt;35,AB22&lt;=45),2.2,IF(AND(AB22&gt;45,AB22&lt;=60),2.4,IF(AND(AB22&gt;60,AB22&lt;=80),2.5,2.7)))))</f>
        <v>1.7</v>
      </c>
      <c r="AE22" s="629">
        <f t="shared" ref="AE22" si="27">AB22+2*AD22</f>
        <v>24.688070023565295</v>
      </c>
      <c r="AF22" s="630"/>
      <c r="AG22" s="98">
        <v>5</v>
      </c>
      <c r="AH22" s="99" t="s">
        <v>40</v>
      </c>
      <c r="AI22" s="100">
        <v>25</v>
      </c>
      <c r="AJ22" s="174">
        <v>2</v>
      </c>
      <c r="AK22" s="61">
        <f t="shared" si="14"/>
        <v>0.3</v>
      </c>
      <c r="AL22" s="139" t="s">
        <v>40</v>
      </c>
      <c r="AM22" s="176">
        <f t="shared" si="15"/>
        <v>35</v>
      </c>
      <c r="AN22" s="92">
        <f t="shared" si="16"/>
        <v>25.888070023565295</v>
      </c>
      <c r="AO22" s="75">
        <f t="shared" si="17"/>
        <v>1.6</v>
      </c>
      <c r="AP22" s="152">
        <f t="shared" si="18"/>
        <v>2</v>
      </c>
      <c r="AQ22" s="151">
        <f t="shared" si="19"/>
        <v>29.888070023565295</v>
      </c>
      <c r="AR22" s="76" t="s">
        <v>18</v>
      </c>
      <c r="AS22" s="87">
        <f t="shared" si="9"/>
        <v>1125.7429225000001</v>
      </c>
      <c r="AT22" s="130">
        <f t="shared" si="20"/>
        <v>207.19223636409063</v>
      </c>
      <c r="AU22" s="165">
        <f t="shared" si="21"/>
        <v>20.787917097927831</v>
      </c>
      <c r="AV22" s="96" t="s">
        <v>18</v>
      </c>
      <c r="AW22" s="96">
        <f t="shared" ref="AW22:AW24" si="28">PI()*(T22+X22*Y22)*X22*Y22*1.11*1.4</f>
        <v>7.2511152098830696</v>
      </c>
      <c r="AX22" s="96">
        <f t="shared" ref="AX22:AX24" si="29">PI()*(AB22+AD22)*AD22*1.07*$BF$9</f>
        <v>183.91329224443197</v>
      </c>
      <c r="AY22" s="96">
        <f t="shared" si="22"/>
        <v>271.41526599844553</v>
      </c>
      <c r="AZ22" s="165">
        <f t="shared" si="23"/>
        <v>269.84790419919784</v>
      </c>
      <c r="BA22" s="631">
        <f t="shared" si="24"/>
        <v>2086.1506536139768</v>
      </c>
      <c r="BB22" s="632"/>
      <c r="BC22" s="58" t="s">
        <v>18</v>
      </c>
      <c r="BD22" s="71">
        <v>25.15</v>
      </c>
      <c r="BE22" s="627"/>
      <c r="BG22" s="179" t="e">
        <v>#VALUE!</v>
      </c>
      <c r="BH22" s="182">
        <v>1142.6300000000001</v>
      </c>
      <c r="BI22" s="182">
        <v>213.82</v>
      </c>
      <c r="BJ22" s="182">
        <v>189.8</v>
      </c>
      <c r="BK22" s="182">
        <v>278.48</v>
      </c>
      <c r="BL22" s="182">
        <v>279.56</v>
      </c>
      <c r="BM22" s="182">
        <v>21.45</v>
      </c>
      <c r="BN22" s="179" t="e">
        <v>#VALUE!</v>
      </c>
      <c r="BO22" s="182">
        <v>7.61</v>
      </c>
    </row>
    <row r="23" spans="1:67" x14ac:dyDescent="0.25">
      <c r="A23" s="98">
        <v>5</v>
      </c>
      <c r="B23" s="99" t="s">
        <v>40</v>
      </c>
      <c r="C23" s="100">
        <v>35</v>
      </c>
      <c r="D23" s="98">
        <v>7</v>
      </c>
      <c r="E23" s="99" t="s">
        <v>40</v>
      </c>
      <c r="F23" s="101">
        <v>2.59</v>
      </c>
      <c r="G23" s="105">
        <v>7.4</v>
      </c>
      <c r="H23" s="106">
        <v>8.8000000000000007</v>
      </c>
      <c r="I23" s="106">
        <v>2</v>
      </c>
      <c r="J23" s="106">
        <v>45.49</v>
      </c>
      <c r="K23" s="106">
        <v>25.15</v>
      </c>
      <c r="L23" s="75">
        <f t="shared" si="12"/>
        <v>0.89000000000000012</v>
      </c>
      <c r="M23" s="75">
        <f t="shared" si="0"/>
        <v>1.1000000000000001</v>
      </c>
      <c r="N23" s="104">
        <f t="shared" si="1"/>
        <v>9.18</v>
      </c>
      <c r="O23" s="99" t="s">
        <v>40</v>
      </c>
      <c r="P23" s="99">
        <f t="shared" si="2"/>
        <v>10.580000000000002</v>
      </c>
      <c r="Q23" s="104">
        <f t="shared" si="3"/>
        <v>9.6000000000000014</v>
      </c>
      <c r="R23" s="99" t="s">
        <v>40</v>
      </c>
      <c r="S23" s="101">
        <f t="shared" si="4"/>
        <v>11</v>
      </c>
      <c r="T23" s="628">
        <f t="shared" si="5"/>
        <v>23.548070023565298</v>
      </c>
      <c r="U23" s="628"/>
      <c r="V23" s="127">
        <f t="shared" si="6"/>
        <v>4.3480700235652945</v>
      </c>
      <c r="W23" s="136" t="s">
        <v>18</v>
      </c>
      <c r="X23" s="138">
        <v>2</v>
      </c>
      <c r="Y23" s="149">
        <v>3.5000000000000003E-2</v>
      </c>
      <c r="Z23" s="139" t="s">
        <v>40</v>
      </c>
      <c r="AA23" s="138">
        <f t="shared" si="25"/>
        <v>50</v>
      </c>
      <c r="AB23" s="93">
        <f t="shared" ref="AB23:AB24" si="30">T23+2*X23*Y23</f>
        <v>23.688070023565299</v>
      </c>
      <c r="AC23" s="150">
        <f t="shared" ref="AC23:AC24" si="31">IF(AB23&lt;=60,0.9,1)</f>
        <v>0.9</v>
      </c>
      <c r="AD23" s="150">
        <f t="shared" si="26"/>
        <v>1.7</v>
      </c>
      <c r="AE23" s="629">
        <f>AB23+2*AD23</f>
        <v>27.088070023565297</v>
      </c>
      <c r="AF23" s="630"/>
      <c r="AG23" s="98">
        <v>5</v>
      </c>
      <c r="AH23" s="99" t="s">
        <v>40</v>
      </c>
      <c r="AI23" s="100">
        <v>35</v>
      </c>
      <c r="AJ23" s="174">
        <v>2</v>
      </c>
      <c r="AK23" s="61">
        <f t="shared" si="14"/>
        <v>0.3</v>
      </c>
      <c r="AL23" s="139" t="s">
        <v>40</v>
      </c>
      <c r="AM23" s="176">
        <f t="shared" si="15"/>
        <v>40</v>
      </c>
      <c r="AN23" s="92">
        <f t="shared" si="16"/>
        <v>28.288070023565297</v>
      </c>
      <c r="AO23" s="75">
        <f t="shared" si="17"/>
        <v>1.6</v>
      </c>
      <c r="AP23" s="152">
        <f t="shared" si="18"/>
        <v>2</v>
      </c>
      <c r="AQ23" s="151">
        <f t="shared" si="19"/>
        <v>32.288070023565297</v>
      </c>
      <c r="AR23" s="76" t="s">
        <v>18</v>
      </c>
      <c r="AS23" s="87">
        <f t="shared" si="9"/>
        <v>1550.9738474999997</v>
      </c>
      <c r="AT23" s="130">
        <f t="shared" si="20"/>
        <v>239.89918349409061</v>
      </c>
      <c r="AU23" s="165">
        <f t="shared" si="21"/>
        <v>20.787917097927831</v>
      </c>
      <c r="AV23" s="96" t="s">
        <v>18</v>
      </c>
      <c r="AW23" s="96">
        <f t="shared" si="28"/>
        <v>8.0712970871410654</v>
      </c>
      <c r="AX23" s="96">
        <f t="shared" si="29"/>
        <v>203.11420388834827</v>
      </c>
      <c r="AY23" s="96">
        <f t="shared" si="22"/>
        <v>297.17431513858361</v>
      </c>
      <c r="AZ23" s="165">
        <f t="shared" si="23"/>
        <v>293.07055709453357</v>
      </c>
      <c r="BA23" s="631">
        <f t="shared" si="24"/>
        <v>2613.0913213006252</v>
      </c>
      <c r="BB23" s="632"/>
      <c r="BC23" s="58" t="s">
        <v>18</v>
      </c>
      <c r="BD23" s="71">
        <v>34.65</v>
      </c>
      <c r="BE23" s="627"/>
      <c r="BG23" s="179" t="e">
        <v>#VALUE!</v>
      </c>
      <c r="BH23" s="182">
        <v>1574.24</v>
      </c>
      <c r="BI23" s="182">
        <v>247.58</v>
      </c>
      <c r="BJ23" s="182">
        <v>209.61</v>
      </c>
      <c r="BK23" s="182">
        <v>302.45</v>
      </c>
      <c r="BL23" s="182">
        <v>306.08999999999997</v>
      </c>
      <c r="BM23" s="182">
        <v>21.45</v>
      </c>
      <c r="BN23" s="179" t="e">
        <v>#VALUE!</v>
      </c>
      <c r="BO23" s="182">
        <v>8.4700000000000006</v>
      </c>
    </row>
    <row r="24" spans="1:67" ht="13.8" thickBot="1" x14ac:dyDescent="0.3">
      <c r="A24" s="107">
        <v>5</v>
      </c>
      <c r="B24" s="108" t="s">
        <v>40</v>
      </c>
      <c r="C24" s="109">
        <v>50</v>
      </c>
      <c r="D24" s="107">
        <v>7</v>
      </c>
      <c r="E24" s="108" t="s">
        <v>40</v>
      </c>
      <c r="F24" s="110">
        <v>3</v>
      </c>
      <c r="G24" s="105">
        <v>8.5</v>
      </c>
      <c r="H24" s="106">
        <v>10.24</v>
      </c>
      <c r="I24" s="106">
        <v>2.5</v>
      </c>
      <c r="J24" s="106">
        <v>61.44</v>
      </c>
      <c r="K24" s="106">
        <v>29.16</v>
      </c>
      <c r="L24" s="77">
        <f t="shared" si="12"/>
        <v>1.07</v>
      </c>
      <c r="M24" s="77">
        <f t="shared" si="0"/>
        <v>1.3</v>
      </c>
      <c r="N24" s="111">
        <f t="shared" si="1"/>
        <v>10.64</v>
      </c>
      <c r="O24" s="108" t="s">
        <v>40</v>
      </c>
      <c r="P24" s="108">
        <f t="shared" si="2"/>
        <v>12.38</v>
      </c>
      <c r="Q24" s="111">
        <f t="shared" si="3"/>
        <v>11.1</v>
      </c>
      <c r="R24" s="108" t="s">
        <v>40</v>
      </c>
      <c r="S24" s="110">
        <f t="shared" si="4"/>
        <v>12.84</v>
      </c>
      <c r="T24" s="633">
        <f t="shared" si="5"/>
        <v>27.529892286951004</v>
      </c>
      <c r="U24" s="633"/>
      <c r="V24" s="128">
        <f t="shared" si="6"/>
        <v>5.3298922869510061</v>
      </c>
      <c r="W24" s="136" t="s">
        <v>18</v>
      </c>
      <c r="X24" s="138">
        <v>2</v>
      </c>
      <c r="Y24" s="149">
        <v>3.5000000000000003E-2</v>
      </c>
      <c r="Z24" s="139" t="s">
        <v>40</v>
      </c>
      <c r="AA24" s="138">
        <f t="shared" si="25"/>
        <v>50</v>
      </c>
      <c r="AB24" s="93">
        <f t="shared" si="30"/>
        <v>27.669892286951004</v>
      </c>
      <c r="AC24" s="150">
        <f t="shared" si="31"/>
        <v>0.9</v>
      </c>
      <c r="AD24" s="150">
        <f t="shared" si="26"/>
        <v>2</v>
      </c>
      <c r="AE24" s="629">
        <f>AB24+2*AD24</f>
        <v>31.669892286951004</v>
      </c>
      <c r="AF24" s="630"/>
      <c r="AG24" s="107">
        <v>5</v>
      </c>
      <c r="AH24" s="108" t="s">
        <v>40</v>
      </c>
      <c r="AI24" s="109">
        <v>50</v>
      </c>
      <c r="AJ24" s="174">
        <v>2</v>
      </c>
      <c r="AK24" s="61">
        <f t="shared" si="14"/>
        <v>0.5</v>
      </c>
      <c r="AL24" s="139" t="s">
        <v>40</v>
      </c>
      <c r="AM24" s="176">
        <f t="shared" si="15"/>
        <v>45</v>
      </c>
      <c r="AN24" s="92">
        <f t="shared" si="16"/>
        <v>33.669892286951004</v>
      </c>
      <c r="AO24" s="77">
        <f t="shared" si="17"/>
        <v>1.77</v>
      </c>
      <c r="AP24" s="152">
        <f t="shared" si="18"/>
        <v>2.2000000000000002</v>
      </c>
      <c r="AQ24" s="151">
        <f t="shared" si="19"/>
        <v>38.069892286951003</v>
      </c>
      <c r="AR24" s="88" t="s">
        <v>18</v>
      </c>
      <c r="AS24" s="87">
        <f t="shared" si="9"/>
        <v>2054.5367849999998</v>
      </c>
      <c r="AT24" s="130">
        <f t="shared" si="20"/>
        <v>329.48850138886223</v>
      </c>
      <c r="AU24" s="165">
        <f t="shared" si="21"/>
        <v>31.235954515512791</v>
      </c>
      <c r="AV24" s="96" t="s">
        <v>18</v>
      </c>
      <c r="AW24" s="96">
        <f t="shared" si="28"/>
        <v>9.4320547783457993</v>
      </c>
      <c r="AX24" s="96">
        <f t="shared" si="29"/>
        <v>279.25930406189127</v>
      </c>
      <c r="AY24" s="96">
        <f t="shared" si="22"/>
        <v>584.4065005712406</v>
      </c>
      <c r="AZ24" s="165">
        <f t="shared" si="23"/>
        <v>381.78894323759948</v>
      </c>
      <c r="BA24" s="631">
        <f t="shared" si="24"/>
        <v>3670.1480435534518</v>
      </c>
      <c r="BB24" s="632"/>
      <c r="BC24" s="60" t="s">
        <v>18</v>
      </c>
      <c r="BD24" s="71">
        <v>45.9</v>
      </c>
      <c r="BE24" s="627"/>
      <c r="BG24" s="179" t="e">
        <v>#VALUE!</v>
      </c>
      <c r="BH24" s="182">
        <v>2085.35</v>
      </c>
      <c r="BI24" s="182">
        <v>340.03</v>
      </c>
      <c r="BJ24" s="182">
        <v>288.2</v>
      </c>
      <c r="BK24" s="182">
        <v>394.01</v>
      </c>
      <c r="BL24" s="182">
        <v>601.94000000000005</v>
      </c>
      <c r="BM24" s="182">
        <v>32.24</v>
      </c>
      <c r="BN24" s="179" t="e">
        <v>#VALUE!</v>
      </c>
      <c r="BO24" s="182">
        <v>9.9</v>
      </c>
    </row>
    <row r="25" spans="1:67" ht="13.8" thickBot="1" x14ac:dyDescent="0.3">
      <c r="A25" s="634" t="s">
        <v>102</v>
      </c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Y25" s="635"/>
      <c r="Z25" s="635"/>
      <c r="AA25" s="635"/>
      <c r="AB25" s="635"/>
      <c r="AC25" s="635"/>
      <c r="AD25" s="635"/>
      <c r="AE25" s="635"/>
      <c r="AF25" s="636"/>
      <c r="AG25" s="634" t="s">
        <v>102</v>
      </c>
      <c r="AH25" s="635"/>
      <c r="AI25" s="635"/>
      <c r="AJ25" s="635"/>
      <c r="AK25" s="635"/>
      <c r="AL25" s="635"/>
      <c r="AM25" s="635"/>
      <c r="AN25" s="635"/>
      <c r="AO25" s="635"/>
      <c r="AP25" s="635"/>
      <c r="AQ25" s="635"/>
      <c r="AR25" s="635"/>
      <c r="AS25" s="635"/>
      <c r="AT25" s="635"/>
      <c r="AU25" s="635"/>
      <c r="AV25" s="635"/>
      <c r="AW25" s="635"/>
      <c r="AX25" s="635"/>
      <c r="AY25" s="635"/>
      <c r="AZ25" s="635"/>
      <c r="BA25" s="635"/>
      <c r="BB25" s="635"/>
      <c r="BC25" s="636"/>
      <c r="BG25" s="181" t="s">
        <v>117</v>
      </c>
      <c r="BH25" s="181" t="s">
        <v>118</v>
      </c>
      <c r="BI25" s="181" t="s">
        <v>112</v>
      </c>
      <c r="BJ25" s="181" t="s">
        <v>114</v>
      </c>
      <c r="BK25" s="181" t="s">
        <v>116</v>
      </c>
      <c r="BL25" s="181" t="s">
        <v>115</v>
      </c>
      <c r="BM25" s="181" t="s">
        <v>113</v>
      </c>
      <c r="BN25" s="181" t="s">
        <v>119</v>
      </c>
      <c r="BO25" s="181" t="s">
        <v>120</v>
      </c>
    </row>
    <row r="26" spans="1:67" x14ac:dyDescent="0.25">
      <c r="A26" s="90">
        <v>2</v>
      </c>
      <c r="B26" s="91" t="s">
        <v>40</v>
      </c>
      <c r="C26" s="92">
        <v>25</v>
      </c>
      <c r="D26" s="90">
        <v>7</v>
      </c>
      <c r="E26" s="91" t="s">
        <v>40</v>
      </c>
      <c r="F26" s="93">
        <v>2.19</v>
      </c>
      <c r="G26" s="94">
        <v>4.0999999999999996</v>
      </c>
      <c r="H26" s="95">
        <v>9.3000000000000007</v>
      </c>
      <c r="I26" s="95">
        <v>0</v>
      </c>
      <c r="J26" s="95">
        <v>30.24</v>
      </c>
      <c r="K26" s="95">
        <v>22.43</v>
      </c>
      <c r="L26" s="78">
        <f>M26-(M26*0.1+0.1)</f>
        <v>0.89000000000000012</v>
      </c>
      <c r="M26" s="96">
        <f t="shared" ref="M26:M36" si="32">IF(C26=1.5,0.6,IF(C26=2.5,0.6,IF(C26=4,0.7,IF(C26=6,0.7,IF(C26=10,0.9,IF(C26=16,0.9,IF(C26=25,1.1,IF(C26=35,1.1,IF(C26=50,1.3,"-")))))))))</f>
        <v>1.1000000000000001</v>
      </c>
      <c r="N26" s="97">
        <f t="shared" ref="N26:N36" si="33">G26+2*L26</f>
        <v>5.88</v>
      </c>
      <c r="O26" s="91" t="s">
        <v>40</v>
      </c>
      <c r="P26" s="91">
        <f t="shared" ref="P26:P36" si="34">H26+2*L26</f>
        <v>11.080000000000002</v>
      </c>
      <c r="Q26" s="97">
        <f t="shared" ref="Q26:Q36" si="35">G26+2*M26</f>
        <v>6.3</v>
      </c>
      <c r="R26" s="91" t="s">
        <v>40</v>
      </c>
      <c r="S26" s="93">
        <f t="shared" ref="S26:S36" si="36">H26+2*M26</f>
        <v>11.5</v>
      </c>
      <c r="T26" s="668">
        <f t="shared" ref="T26:T36" si="37">2*(Q26+(I26+M26)*(1/COS(PI()*(A26-2)/(2*A26))-1))</f>
        <v>12.6</v>
      </c>
      <c r="U26" s="669"/>
      <c r="V26" s="126" t="str">
        <f t="shared" ref="V26:V36" si="38">IF(A26=4,2*(I26+M26)*((1/COS(PI()*(A26-2)/(2*A26)))-1),IF(A26=5,2*(I26+M26)*((1/COS(PI()*(A26-2)/(2*A26)))-1),"-"))</f>
        <v>-</v>
      </c>
      <c r="W26" s="141">
        <v>1</v>
      </c>
      <c r="X26" s="132" t="s">
        <v>18</v>
      </c>
      <c r="Y26" s="132" t="s">
        <v>18</v>
      </c>
      <c r="Z26" s="132" t="s">
        <v>18</v>
      </c>
      <c r="AA26" s="132" t="s">
        <v>18</v>
      </c>
      <c r="AB26" s="132" t="s">
        <v>18</v>
      </c>
      <c r="AC26" s="75">
        <f>IF(T26&lt;=60,0.9,1)</f>
        <v>0.9</v>
      </c>
      <c r="AD26" s="75">
        <f>IF(T26&lt;=25,1.7,IF(AND(T26&gt;25,T26&lt;=35),2,IF(AND(T26&gt;35,T26&lt;=45),2.2,IF(AND(T26&gt;45,T26&lt;=60),2.4,IF(AND(T26&gt;60,T26&lt;=80),2.5,2.7)))))</f>
        <v>1.7</v>
      </c>
      <c r="AE26" s="629">
        <f t="shared" ref="AE26:AE33" si="39">T26+2*AD26</f>
        <v>16</v>
      </c>
      <c r="AF26" s="630"/>
      <c r="AG26" s="90">
        <v>2</v>
      </c>
      <c r="AH26" s="91" t="s">
        <v>40</v>
      </c>
      <c r="AI26" s="92">
        <v>25</v>
      </c>
      <c r="AJ26" s="174">
        <v>2</v>
      </c>
      <c r="AK26" s="61">
        <f t="shared" ref="AK26:AK36" si="40">IF(AE26&lt;=30,0.3,0.5)</f>
        <v>0.3</v>
      </c>
      <c r="AL26" s="139" t="s">
        <v>40</v>
      </c>
      <c r="AM26" s="176">
        <f t="shared" ref="AM26:AM36" si="41">IF(AND(AE26&gt;8,AE26&lt;=13),20,IF(AND(AE26&gt;13,AE26&lt;=17),25,IF(AND(AE26&gt;17,AE26&lt;=21),30,IF(AND(AE26&gt;21,AE26&lt;=26),35,IF(AND(AE26&gt;26,AE26&lt;=31),40,IF(AND(AE26&gt;31,AE26&lt;=40),45,IF(AND(AE26&gt;40,AE26&lt;=50),50,55)))))))</f>
        <v>25</v>
      </c>
      <c r="AN26" s="92">
        <f t="shared" ref="AN26:AN36" si="42">AE26+2*AJ26*AK26</f>
        <v>17.2</v>
      </c>
      <c r="AO26" s="78">
        <f>AP26-(AP26*0.15+0.1)</f>
        <v>1.4300000000000002</v>
      </c>
      <c r="AP26" s="152">
        <f t="shared" ref="AP26:AP36" si="43">IF(AN26&lt;=20,1.8,IF(AND(AN26&gt;20,AN26&lt;=30),2,IF(AND(AN26&gt;30,AN26&lt;=40),2.2,IF(AND(AN26&gt;40,AN26&lt;=50),2.4,IF(AND(AN26&gt;50,AN26&lt;=60),2.6,3.1)))))</f>
        <v>1.8</v>
      </c>
      <c r="AQ26" s="151">
        <f t="shared" ref="AQ26:AQ36" si="44">AN26+2*AP26</f>
        <v>20.8</v>
      </c>
      <c r="AR26" s="87">
        <f t="shared" ref="AR26:AR36" si="45">BD26*AG26*1.007*2.7</f>
        <v>136.76066999999998</v>
      </c>
      <c r="AS26" s="87" t="s">
        <v>18</v>
      </c>
      <c r="AT26" s="130">
        <f>PI()*(K26/PI()+M26)*M26*$BF$11*1.13*A26*1.007</f>
        <v>86.835273788036261</v>
      </c>
      <c r="AU26" s="165" t="str">
        <f t="shared" ref="AU26:AU36" si="46">IF(V26="-","-",PI()*POWER(V26,2)/4*1.4)</f>
        <v>-</v>
      </c>
      <c r="AV26" s="96">
        <f>SQRT(POWER(1+T26*PI()/50,2))*0.347</f>
        <v>0.62171342800050589</v>
      </c>
      <c r="AW26" s="96" t="s">
        <v>18</v>
      </c>
      <c r="AX26" s="96">
        <f t="shared" ref="AX26:AX33" si="47">(PI()*AE26*AE26/4-A26*(J26+PI()*(K26/PI()+M26)*M26)-((POWER((I26+M26),2)*(A26*TAN(PI()*((A26-2)/(2*A26)))-(PI()*(A26-2)/2)))))*$BF$9</f>
        <v>117.08658585128322</v>
      </c>
      <c r="AY26" s="96">
        <f t="shared" ref="AY26:AY36" si="48">PI()*(AE26+AJ26*AK26)*AJ26*AK26*0.73*7.8</f>
        <v>178.16675655262122</v>
      </c>
      <c r="AZ26" s="165">
        <f t="shared" ref="AZ26:AZ36" si="49">PI()*(AN26+AP26)*AP26*$BF$10*1.1</f>
        <v>165.46140187926721</v>
      </c>
      <c r="BA26" s="798" t="s">
        <v>18</v>
      </c>
      <c r="BB26" s="799"/>
      <c r="BC26" s="145">
        <f>AR26+AT26+IF(AU26="-",0,AU26)+IF(AV26="-",0,AV26)+IF(AW26="-",0,AW26)+AX26+AY26+AZ26</f>
        <v>684.93240149920837</v>
      </c>
      <c r="BD26" s="71">
        <v>25.15</v>
      </c>
      <c r="BE26" s="627" t="s">
        <v>87</v>
      </c>
      <c r="BG26" s="182">
        <v>138.81</v>
      </c>
      <c r="BH26" s="179" t="e">
        <v>#VALUE!</v>
      </c>
      <c r="BI26" s="182">
        <v>89.61</v>
      </c>
      <c r="BJ26" s="182">
        <v>120.83</v>
      </c>
      <c r="BK26" s="182">
        <v>170.76</v>
      </c>
      <c r="BL26" s="182">
        <v>183.51</v>
      </c>
      <c r="BM26" s="182">
        <v>0</v>
      </c>
      <c r="BN26" s="182">
        <v>0.65</v>
      </c>
      <c r="BO26" s="179" t="e">
        <v>#VALUE!</v>
      </c>
    </row>
    <row r="27" spans="1:67" x14ac:dyDescent="0.25">
      <c r="A27" s="98">
        <v>2</v>
      </c>
      <c r="B27" s="99" t="s">
        <v>40</v>
      </c>
      <c r="C27" s="100">
        <v>35</v>
      </c>
      <c r="D27" s="98">
        <v>7</v>
      </c>
      <c r="E27" s="99" t="s">
        <v>40</v>
      </c>
      <c r="F27" s="101">
        <v>2.59</v>
      </c>
      <c r="G27" s="102">
        <v>4.8</v>
      </c>
      <c r="H27" s="103">
        <v>10.6</v>
      </c>
      <c r="I27" s="103">
        <v>0</v>
      </c>
      <c r="J27" s="103">
        <v>40.03</v>
      </c>
      <c r="K27" s="103">
        <v>25.72</v>
      </c>
      <c r="L27" s="75">
        <f t="shared" ref="L27:L32" si="50">M27-(M27*0.1+0.1)</f>
        <v>0.89000000000000012</v>
      </c>
      <c r="M27" s="75">
        <f t="shared" si="32"/>
        <v>1.1000000000000001</v>
      </c>
      <c r="N27" s="104">
        <f t="shared" si="33"/>
        <v>6.58</v>
      </c>
      <c r="O27" s="99" t="s">
        <v>40</v>
      </c>
      <c r="P27" s="99">
        <f t="shared" si="34"/>
        <v>12.379999999999999</v>
      </c>
      <c r="Q27" s="104">
        <f t="shared" si="35"/>
        <v>7</v>
      </c>
      <c r="R27" s="99" t="s">
        <v>40</v>
      </c>
      <c r="S27" s="101">
        <f t="shared" si="36"/>
        <v>12.8</v>
      </c>
      <c r="T27" s="628">
        <f t="shared" si="37"/>
        <v>14</v>
      </c>
      <c r="U27" s="628"/>
      <c r="V27" s="127" t="str">
        <f t="shared" si="38"/>
        <v>-</v>
      </c>
      <c r="W27" s="135">
        <v>1</v>
      </c>
      <c r="X27" s="132" t="s">
        <v>18</v>
      </c>
      <c r="Y27" s="132" t="s">
        <v>18</v>
      </c>
      <c r="Z27" s="132" t="s">
        <v>18</v>
      </c>
      <c r="AA27" s="132" t="s">
        <v>18</v>
      </c>
      <c r="AB27" s="132" t="s">
        <v>18</v>
      </c>
      <c r="AC27" s="75">
        <f>IF(T27&lt;=60,0.9,1)</f>
        <v>0.9</v>
      </c>
      <c r="AD27" s="75">
        <f t="shared" ref="AD27:AD43" si="51">IF(T27&lt;=25,1.7,IF(AND(T27&gt;25,T27&lt;=35),2,IF(AND(T27&gt;35,T27&lt;=45),2.2,IF(AND(T27&gt;45,T27&lt;=60),2.4,IF(AND(T27&gt;60,T27&lt;=80),2.5,2.7)))))</f>
        <v>1.7</v>
      </c>
      <c r="AE27" s="629">
        <f t="shared" si="39"/>
        <v>17.399999999999999</v>
      </c>
      <c r="AF27" s="630"/>
      <c r="AG27" s="98">
        <v>2</v>
      </c>
      <c r="AH27" s="99" t="s">
        <v>40</v>
      </c>
      <c r="AI27" s="100">
        <v>35</v>
      </c>
      <c r="AJ27" s="174">
        <v>2</v>
      </c>
      <c r="AK27" s="61">
        <f t="shared" si="40"/>
        <v>0.3</v>
      </c>
      <c r="AL27" s="139" t="s">
        <v>40</v>
      </c>
      <c r="AM27" s="176">
        <f t="shared" si="41"/>
        <v>30</v>
      </c>
      <c r="AN27" s="92">
        <f t="shared" si="42"/>
        <v>18.599999999999998</v>
      </c>
      <c r="AO27" s="75">
        <f t="shared" ref="AO27:AO36" si="52">AP27-(AP27*0.15+0.1)</f>
        <v>1.4300000000000002</v>
      </c>
      <c r="AP27" s="152">
        <f t="shared" si="43"/>
        <v>1.8</v>
      </c>
      <c r="AQ27" s="151">
        <f t="shared" si="44"/>
        <v>22.2</v>
      </c>
      <c r="AR27" s="87">
        <f t="shared" si="45"/>
        <v>188.41976999999997</v>
      </c>
      <c r="AS27" s="76" t="s">
        <v>18</v>
      </c>
      <c r="AT27" s="130">
        <f t="shared" ref="AT27:AT36" si="53">PI()*(K27/PI()+M27)*M27*$BF$11*1.13*A27*1.007</f>
        <v>97.871771845236239</v>
      </c>
      <c r="AU27" s="165" t="str">
        <f t="shared" si="46"/>
        <v>-</v>
      </c>
      <c r="AV27" s="96">
        <f t="shared" ref="AV27:AV33" si="54">SQRT(POWER(1+T27*PI()/50,2))*0.347</f>
        <v>0.65223714222278417</v>
      </c>
      <c r="AW27" s="96" t="s">
        <v>18</v>
      </c>
      <c r="AX27" s="96">
        <f t="shared" si="47"/>
        <v>130.95669121993376</v>
      </c>
      <c r="AY27" s="96">
        <f t="shared" si="48"/>
        <v>193.19286855103502</v>
      </c>
      <c r="AZ27" s="165">
        <f t="shared" si="49"/>
        <v>177.65329464931847</v>
      </c>
      <c r="BA27" s="637" t="s">
        <v>18</v>
      </c>
      <c r="BB27" s="638"/>
      <c r="BC27" s="145">
        <f t="shared" ref="BC27:BC36" si="55">AR27+AT27+IF(AU27="-",0,AU27)+IF(AV27="-",0,AV27)+IF(AW27="-",0,AW27)+AX27+AY27+AZ27</f>
        <v>788.74663340774623</v>
      </c>
      <c r="BD27" s="71">
        <v>34.65</v>
      </c>
      <c r="BE27" s="627"/>
      <c r="BG27" s="182">
        <v>191.25</v>
      </c>
      <c r="BH27" s="179" t="e">
        <v>#VALUE!</v>
      </c>
      <c r="BI27" s="182">
        <v>101</v>
      </c>
      <c r="BJ27" s="182">
        <v>135.15</v>
      </c>
      <c r="BK27" s="182">
        <v>183.34</v>
      </c>
      <c r="BL27" s="182">
        <v>198.99</v>
      </c>
      <c r="BM27" s="182">
        <v>0</v>
      </c>
      <c r="BN27" s="182">
        <v>0.68</v>
      </c>
      <c r="BO27" s="179" t="e">
        <v>#VALUE!</v>
      </c>
    </row>
    <row r="28" spans="1:67" x14ac:dyDescent="0.25">
      <c r="A28" s="98">
        <v>2</v>
      </c>
      <c r="B28" s="99" t="s">
        <v>40</v>
      </c>
      <c r="C28" s="100">
        <v>50</v>
      </c>
      <c r="D28" s="98">
        <v>7</v>
      </c>
      <c r="E28" s="99" t="s">
        <v>40</v>
      </c>
      <c r="F28" s="101">
        <v>3</v>
      </c>
      <c r="G28" s="102">
        <v>5.6</v>
      </c>
      <c r="H28" s="103">
        <v>13</v>
      </c>
      <c r="I28" s="103">
        <v>0</v>
      </c>
      <c r="J28" s="103">
        <v>56.59</v>
      </c>
      <c r="K28" s="103">
        <v>31.2</v>
      </c>
      <c r="L28" s="75">
        <f t="shared" si="50"/>
        <v>1.07</v>
      </c>
      <c r="M28" s="75">
        <f t="shared" si="32"/>
        <v>1.3</v>
      </c>
      <c r="N28" s="104">
        <f t="shared" si="33"/>
        <v>7.74</v>
      </c>
      <c r="O28" s="99" t="s">
        <v>40</v>
      </c>
      <c r="P28" s="99">
        <f t="shared" si="34"/>
        <v>15.14</v>
      </c>
      <c r="Q28" s="104">
        <f t="shared" si="35"/>
        <v>8.1999999999999993</v>
      </c>
      <c r="R28" s="99" t="s">
        <v>40</v>
      </c>
      <c r="S28" s="101">
        <f t="shared" si="36"/>
        <v>15.6</v>
      </c>
      <c r="T28" s="628">
        <f t="shared" si="37"/>
        <v>16.399999999999999</v>
      </c>
      <c r="U28" s="628"/>
      <c r="V28" s="127" t="str">
        <f t="shared" si="38"/>
        <v>-</v>
      </c>
      <c r="W28" s="142">
        <v>1</v>
      </c>
      <c r="X28" s="132" t="s">
        <v>18</v>
      </c>
      <c r="Y28" s="132" t="s">
        <v>18</v>
      </c>
      <c r="Z28" s="132" t="s">
        <v>18</v>
      </c>
      <c r="AA28" s="132" t="s">
        <v>18</v>
      </c>
      <c r="AB28" s="132" t="s">
        <v>18</v>
      </c>
      <c r="AC28" s="75">
        <f t="shared" ref="AC28:AC43" si="56">IF(T28&lt;=60,0.9,1)</f>
        <v>0.9</v>
      </c>
      <c r="AD28" s="75">
        <f t="shared" si="51"/>
        <v>1.7</v>
      </c>
      <c r="AE28" s="629">
        <f t="shared" si="39"/>
        <v>19.799999999999997</v>
      </c>
      <c r="AF28" s="630"/>
      <c r="AG28" s="98">
        <v>2</v>
      </c>
      <c r="AH28" s="99" t="s">
        <v>40</v>
      </c>
      <c r="AI28" s="100">
        <v>50</v>
      </c>
      <c r="AJ28" s="174">
        <v>2</v>
      </c>
      <c r="AK28" s="61">
        <f t="shared" si="40"/>
        <v>0.3</v>
      </c>
      <c r="AL28" s="139" t="s">
        <v>40</v>
      </c>
      <c r="AM28" s="176">
        <f t="shared" si="41"/>
        <v>30</v>
      </c>
      <c r="AN28" s="92">
        <f t="shared" si="42"/>
        <v>20.999999999999996</v>
      </c>
      <c r="AO28" s="75">
        <f t="shared" si="52"/>
        <v>1.6</v>
      </c>
      <c r="AP28" s="152">
        <f t="shared" si="43"/>
        <v>2</v>
      </c>
      <c r="AQ28" s="151">
        <f t="shared" si="44"/>
        <v>24.999999999999996</v>
      </c>
      <c r="AR28" s="87">
        <f t="shared" si="45"/>
        <v>249.59501999999998</v>
      </c>
      <c r="AS28" s="76" t="s">
        <v>18</v>
      </c>
      <c r="AT28" s="130">
        <f t="shared" si="53"/>
        <v>139.88293657314483</v>
      </c>
      <c r="AU28" s="165" t="str">
        <f t="shared" si="46"/>
        <v>-</v>
      </c>
      <c r="AV28" s="96">
        <f t="shared" si="54"/>
        <v>0.70456350946097579</v>
      </c>
      <c r="AW28" s="96" t="s">
        <v>18</v>
      </c>
      <c r="AX28" s="96">
        <f t="shared" si="47"/>
        <v>144.18447793288283</v>
      </c>
      <c r="AY28" s="96">
        <f t="shared" si="48"/>
        <v>218.95191769117304</v>
      </c>
      <c r="AZ28" s="165">
        <f t="shared" si="49"/>
        <v>222.5504235803009</v>
      </c>
      <c r="BA28" s="637" t="s">
        <v>18</v>
      </c>
      <c r="BB28" s="638"/>
      <c r="BC28" s="145">
        <f t="shared" si="55"/>
        <v>975.86933928696271</v>
      </c>
      <c r="BD28" s="71">
        <v>45.9</v>
      </c>
      <c r="BE28" s="627"/>
      <c r="BG28" s="182">
        <v>253.34</v>
      </c>
      <c r="BH28" s="179" t="e">
        <v>#VALUE!</v>
      </c>
      <c r="BI28" s="182">
        <v>144.36000000000001</v>
      </c>
      <c r="BJ28" s="182">
        <v>148.80000000000001</v>
      </c>
      <c r="BK28" s="182">
        <v>229.67</v>
      </c>
      <c r="BL28" s="182">
        <v>225.52</v>
      </c>
      <c r="BM28" s="182">
        <v>0</v>
      </c>
      <c r="BN28" s="182">
        <v>0.74</v>
      </c>
      <c r="BO28" s="179" t="e">
        <v>#VALUE!</v>
      </c>
    </row>
    <row r="29" spans="1:67" x14ac:dyDescent="0.25">
      <c r="A29" s="98">
        <v>3</v>
      </c>
      <c r="B29" s="99" t="s">
        <v>40</v>
      </c>
      <c r="C29" s="100">
        <v>35</v>
      </c>
      <c r="D29" s="98">
        <v>7</v>
      </c>
      <c r="E29" s="99" t="s">
        <v>40</v>
      </c>
      <c r="F29" s="101">
        <v>2.59</v>
      </c>
      <c r="G29" s="102">
        <v>5.9</v>
      </c>
      <c r="H29" s="103">
        <v>10.5</v>
      </c>
      <c r="I29" s="103">
        <v>2</v>
      </c>
      <c r="J29" s="103">
        <v>41.89</v>
      </c>
      <c r="K29" s="103">
        <v>25.29</v>
      </c>
      <c r="L29" s="75">
        <f t="shared" si="50"/>
        <v>0.89000000000000012</v>
      </c>
      <c r="M29" s="75">
        <f t="shared" si="32"/>
        <v>1.1000000000000001</v>
      </c>
      <c r="N29" s="104">
        <f t="shared" si="33"/>
        <v>7.6800000000000006</v>
      </c>
      <c r="O29" s="99" t="s">
        <v>40</v>
      </c>
      <c r="P29" s="99">
        <f t="shared" si="34"/>
        <v>12.280000000000001</v>
      </c>
      <c r="Q29" s="104">
        <f t="shared" si="35"/>
        <v>8.1000000000000014</v>
      </c>
      <c r="R29" s="99" t="s">
        <v>40</v>
      </c>
      <c r="S29" s="101">
        <f t="shared" si="36"/>
        <v>12.7</v>
      </c>
      <c r="T29" s="628">
        <f t="shared" si="37"/>
        <v>17.159143337951363</v>
      </c>
      <c r="U29" s="628"/>
      <c r="V29" s="127" t="str">
        <f t="shared" si="38"/>
        <v>-</v>
      </c>
      <c r="W29" s="134">
        <v>1</v>
      </c>
      <c r="X29" s="132" t="s">
        <v>18</v>
      </c>
      <c r="Y29" s="132" t="s">
        <v>18</v>
      </c>
      <c r="Z29" s="132" t="s">
        <v>18</v>
      </c>
      <c r="AA29" s="132" t="s">
        <v>18</v>
      </c>
      <c r="AB29" s="132" t="s">
        <v>18</v>
      </c>
      <c r="AC29" s="75">
        <f t="shared" si="56"/>
        <v>0.9</v>
      </c>
      <c r="AD29" s="75">
        <f t="shared" si="51"/>
        <v>1.7</v>
      </c>
      <c r="AE29" s="629">
        <f t="shared" si="39"/>
        <v>20.559143337951362</v>
      </c>
      <c r="AF29" s="630"/>
      <c r="AG29" s="98">
        <v>3</v>
      </c>
      <c r="AH29" s="99" t="s">
        <v>40</v>
      </c>
      <c r="AI29" s="100">
        <v>35</v>
      </c>
      <c r="AJ29" s="174">
        <v>2</v>
      </c>
      <c r="AK29" s="61">
        <f t="shared" si="40"/>
        <v>0.3</v>
      </c>
      <c r="AL29" s="139" t="s">
        <v>40</v>
      </c>
      <c r="AM29" s="176">
        <f t="shared" si="41"/>
        <v>30</v>
      </c>
      <c r="AN29" s="92">
        <f t="shared" si="42"/>
        <v>21.759143337951361</v>
      </c>
      <c r="AO29" s="75">
        <f t="shared" si="52"/>
        <v>1.6</v>
      </c>
      <c r="AP29" s="152">
        <f t="shared" si="43"/>
        <v>2</v>
      </c>
      <c r="AQ29" s="151">
        <f t="shared" si="44"/>
        <v>25.759143337951361</v>
      </c>
      <c r="AR29" s="87">
        <f t="shared" si="45"/>
        <v>282.62965499999996</v>
      </c>
      <c r="AS29" s="76" t="s">
        <v>18</v>
      </c>
      <c r="AT29" s="130">
        <f t="shared" si="53"/>
        <v>144.64396741925441</v>
      </c>
      <c r="AU29" s="165" t="str">
        <f t="shared" si="46"/>
        <v>-</v>
      </c>
      <c r="AV29" s="96">
        <f t="shared" si="54"/>
        <v>0.72111484824767136</v>
      </c>
      <c r="AW29" s="96" t="s">
        <v>18</v>
      </c>
      <c r="AX29" s="96">
        <f t="shared" si="47"/>
        <v>153.84625532563427</v>
      </c>
      <c r="AY29" s="96">
        <f t="shared" si="48"/>
        <v>227.0997554189637</v>
      </c>
      <c r="AZ29" s="165">
        <f t="shared" si="49"/>
        <v>229.89597451157221</v>
      </c>
      <c r="BA29" s="637" t="s">
        <v>18</v>
      </c>
      <c r="BB29" s="638"/>
      <c r="BC29" s="145">
        <f t="shared" si="55"/>
        <v>1038.8367225236723</v>
      </c>
      <c r="BD29" s="71">
        <v>34.65</v>
      </c>
      <c r="BE29" s="627"/>
      <c r="BG29" s="182">
        <v>286.87</v>
      </c>
      <c r="BH29" s="179" t="e">
        <v>#VALUE!</v>
      </c>
      <c r="BI29" s="182">
        <v>149.27000000000001</v>
      </c>
      <c r="BJ29" s="182">
        <v>158.77000000000001</v>
      </c>
      <c r="BK29" s="182">
        <v>237.25</v>
      </c>
      <c r="BL29" s="182">
        <v>233.91</v>
      </c>
      <c r="BM29" s="182">
        <v>0</v>
      </c>
      <c r="BN29" s="182">
        <v>0.76</v>
      </c>
      <c r="BO29" s="179" t="e">
        <v>#VALUE!</v>
      </c>
    </row>
    <row r="30" spans="1:67" x14ac:dyDescent="0.25">
      <c r="A30" s="98">
        <v>3</v>
      </c>
      <c r="B30" s="99" t="s">
        <v>40</v>
      </c>
      <c r="C30" s="100">
        <v>50</v>
      </c>
      <c r="D30" s="98">
        <v>7</v>
      </c>
      <c r="E30" s="99" t="s">
        <v>40</v>
      </c>
      <c r="F30" s="101">
        <v>3</v>
      </c>
      <c r="G30" s="102">
        <v>6.8</v>
      </c>
      <c r="H30" s="103">
        <v>10.9</v>
      </c>
      <c r="I30" s="103">
        <v>2</v>
      </c>
      <c r="J30" s="103">
        <v>52.82</v>
      </c>
      <c r="K30" s="103">
        <v>27.54</v>
      </c>
      <c r="L30" s="75">
        <f t="shared" si="50"/>
        <v>1.07</v>
      </c>
      <c r="M30" s="75">
        <f t="shared" si="32"/>
        <v>1.3</v>
      </c>
      <c r="N30" s="104">
        <f t="shared" si="33"/>
        <v>8.94</v>
      </c>
      <c r="O30" s="99" t="s">
        <v>40</v>
      </c>
      <c r="P30" s="99">
        <f t="shared" si="34"/>
        <v>13.040000000000001</v>
      </c>
      <c r="Q30" s="104">
        <f t="shared" si="35"/>
        <v>9.4</v>
      </c>
      <c r="R30" s="99" t="s">
        <v>40</v>
      </c>
      <c r="S30" s="101">
        <f t="shared" si="36"/>
        <v>13.5</v>
      </c>
      <c r="T30" s="628">
        <f t="shared" si="37"/>
        <v>19.821023553303061</v>
      </c>
      <c r="U30" s="628"/>
      <c r="V30" s="127" t="str">
        <f t="shared" si="38"/>
        <v>-</v>
      </c>
      <c r="W30" s="135">
        <v>1</v>
      </c>
      <c r="X30" s="132" t="s">
        <v>18</v>
      </c>
      <c r="Y30" s="132" t="s">
        <v>18</v>
      </c>
      <c r="Z30" s="132" t="s">
        <v>18</v>
      </c>
      <c r="AA30" s="132" t="s">
        <v>18</v>
      </c>
      <c r="AB30" s="132" t="s">
        <v>18</v>
      </c>
      <c r="AC30" s="75">
        <f t="shared" si="56"/>
        <v>0.9</v>
      </c>
      <c r="AD30" s="75">
        <f t="shared" si="51"/>
        <v>1.7</v>
      </c>
      <c r="AE30" s="629">
        <f t="shared" si="39"/>
        <v>23.221023553303059</v>
      </c>
      <c r="AF30" s="630"/>
      <c r="AG30" s="98">
        <v>3</v>
      </c>
      <c r="AH30" s="99" t="s">
        <v>40</v>
      </c>
      <c r="AI30" s="100">
        <v>50</v>
      </c>
      <c r="AJ30" s="174">
        <v>2</v>
      </c>
      <c r="AK30" s="61">
        <f t="shared" si="40"/>
        <v>0.3</v>
      </c>
      <c r="AL30" s="139" t="s">
        <v>40</v>
      </c>
      <c r="AM30" s="176">
        <f t="shared" si="41"/>
        <v>35</v>
      </c>
      <c r="AN30" s="92">
        <f t="shared" si="42"/>
        <v>24.421023553303058</v>
      </c>
      <c r="AO30" s="75">
        <f t="shared" si="52"/>
        <v>1.6</v>
      </c>
      <c r="AP30" s="152">
        <f t="shared" si="43"/>
        <v>2</v>
      </c>
      <c r="AQ30" s="151">
        <f t="shared" si="44"/>
        <v>28.421023553303058</v>
      </c>
      <c r="AR30" s="87">
        <f t="shared" si="45"/>
        <v>374.39252999999997</v>
      </c>
      <c r="AS30" s="76" t="s">
        <v>18</v>
      </c>
      <c r="AT30" s="130">
        <f t="shared" si="53"/>
        <v>188.05941822411728</v>
      </c>
      <c r="AU30" s="165" t="str">
        <f t="shared" si="46"/>
        <v>-</v>
      </c>
      <c r="AV30" s="96">
        <f t="shared" si="54"/>
        <v>0.77915089895290879</v>
      </c>
      <c r="AW30" s="96" t="s">
        <v>18</v>
      </c>
      <c r="AX30" s="96">
        <f t="shared" si="47"/>
        <v>195.92897641345402</v>
      </c>
      <c r="AY30" s="96">
        <f t="shared" si="48"/>
        <v>255.66954844913266</v>
      </c>
      <c r="AZ30" s="165">
        <f t="shared" si="49"/>
        <v>255.6526079657697</v>
      </c>
      <c r="BA30" s="637" t="s">
        <v>18</v>
      </c>
      <c r="BB30" s="638"/>
      <c r="BC30" s="145">
        <f t="shared" si="55"/>
        <v>1270.4822319514267</v>
      </c>
      <c r="BD30" s="71">
        <v>45.9</v>
      </c>
      <c r="BE30" s="627"/>
      <c r="BG30" s="182">
        <v>380.01</v>
      </c>
      <c r="BH30" s="179" t="e">
        <v>#VALUE!</v>
      </c>
      <c r="BI30" s="182">
        <v>194.08</v>
      </c>
      <c r="BJ30" s="182">
        <v>202.2</v>
      </c>
      <c r="BK30" s="182">
        <v>263.83</v>
      </c>
      <c r="BL30" s="182">
        <v>263.33999999999997</v>
      </c>
      <c r="BM30" s="182">
        <v>0</v>
      </c>
      <c r="BN30" s="182">
        <v>0.82</v>
      </c>
      <c r="BO30" s="179" t="e">
        <v>#VALUE!</v>
      </c>
    </row>
    <row r="31" spans="1:67" x14ac:dyDescent="0.25">
      <c r="A31" s="98">
        <v>4</v>
      </c>
      <c r="B31" s="99" t="s">
        <v>40</v>
      </c>
      <c r="C31" s="100">
        <v>25</v>
      </c>
      <c r="D31" s="98">
        <v>7</v>
      </c>
      <c r="E31" s="99" t="s">
        <v>40</v>
      </c>
      <c r="F31" s="101">
        <v>2.19</v>
      </c>
      <c r="G31" s="102">
        <v>5.6</v>
      </c>
      <c r="H31" s="103">
        <v>7.7</v>
      </c>
      <c r="I31" s="103">
        <v>1.2</v>
      </c>
      <c r="J31" s="103">
        <v>29.01</v>
      </c>
      <c r="K31" s="103">
        <v>20.48</v>
      </c>
      <c r="L31" s="75">
        <f t="shared" si="50"/>
        <v>0.89000000000000012</v>
      </c>
      <c r="M31" s="75">
        <f t="shared" si="32"/>
        <v>1.1000000000000001</v>
      </c>
      <c r="N31" s="104">
        <f t="shared" si="33"/>
        <v>7.38</v>
      </c>
      <c r="O31" s="99" t="s">
        <v>40</v>
      </c>
      <c r="P31" s="99">
        <f t="shared" si="34"/>
        <v>9.48</v>
      </c>
      <c r="Q31" s="104">
        <f t="shared" si="35"/>
        <v>7.8</v>
      </c>
      <c r="R31" s="99" t="s">
        <v>40</v>
      </c>
      <c r="S31" s="101">
        <f t="shared" si="36"/>
        <v>9.9</v>
      </c>
      <c r="T31" s="628">
        <f t="shared" si="37"/>
        <v>17.505382386916235</v>
      </c>
      <c r="U31" s="628"/>
      <c r="V31" s="127">
        <f t="shared" si="38"/>
        <v>1.9053823869162365</v>
      </c>
      <c r="W31" s="134">
        <v>1</v>
      </c>
      <c r="X31" s="132" t="s">
        <v>18</v>
      </c>
      <c r="Y31" s="132" t="s">
        <v>18</v>
      </c>
      <c r="Z31" s="132" t="s">
        <v>18</v>
      </c>
      <c r="AA31" s="132" t="s">
        <v>18</v>
      </c>
      <c r="AB31" s="132" t="s">
        <v>18</v>
      </c>
      <c r="AC31" s="75">
        <f t="shared" si="56"/>
        <v>0.9</v>
      </c>
      <c r="AD31" s="75">
        <f t="shared" si="51"/>
        <v>1.7</v>
      </c>
      <c r="AE31" s="629">
        <f t="shared" si="39"/>
        <v>20.905382386916234</v>
      </c>
      <c r="AF31" s="630"/>
      <c r="AG31" s="98">
        <v>4</v>
      </c>
      <c r="AH31" s="99" t="s">
        <v>40</v>
      </c>
      <c r="AI31" s="100">
        <v>25</v>
      </c>
      <c r="AJ31" s="174">
        <v>2</v>
      </c>
      <c r="AK31" s="61">
        <f t="shared" si="40"/>
        <v>0.3</v>
      </c>
      <c r="AL31" s="139" t="s">
        <v>40</v>
      </c>
      <c r="AM31" s="176">
        <f t="shared" si="41"/>
        <v>30</v>
      </c>
      <c r="AN31" s="92">
        <f t="shared" si="42"/>
        <v>22.105382386916233</v>
      </c>
      <c r="AO31" s="75">
        <f t="shared" si="52"/>
        <v>1.6</v>
      </c>
      <c r="AP31" s="152">
        <f t="shared" si="43"/>
        <v>2</v>
      </c>
      <c r="AQ31" s="151">
        <f t="shared" si="44"/>
        <v>26.105382386916233</v>
      </c>
      <c r="AR31" s="87">
        <f t="shared" si="45"/>
        <v>273.52133999999995</v>
      </c>
      <c r="AS31" s="76" t="s">
        <v>18</v>
      </c>
      <c r="AT31" s="130">
        <f t="shared" si="53"/>
        <v>160.5877687240725</v>
      </c>
      <c r="AU31" s="165">
        <f t="shared" si="46"/>
        <v>3.9919234974563014</v>
      </c>
      <c r="AV31" s="96">
        <f t="shared" si="54"/>
        <v>0.72866377809281235</v>
      </c>
      <c r="AW31" s="96" t="s">
        <v>18</v>
      </c>
      <c r="AX31" s="96">
        <f t="shared" si="47"/>
        <v>164.28749826019336</v>
      </c>
      <c r="AY31" s="96">
        <f t="shared" si="48"/>
        <v>230.81591736751398</v>
      </c>
      <c r="AZ31" s="165">
        <f t="shared" si="49"/>
        <v>233.24622003362322</v>
      </c>
      <c r="BA31" s="673" t="s">
        <v>18</v>
      </c>
      <c r="BB31" s="674"/>
      <c r="BC31" s="145">
        <f t="shared" si="55"/>
        <v>1067.1793316609521</v>
      </c>
      <c r="BD31" s="71">
        <v>25.15</v>
      </c>
      <c r="BE31" s="627"/>
      <c r="BG31" s="182">
        <v>277.62</v>
      </c>
      <c r="BH31" s="179" t="e">
        <v>#VALUE!</v>
      </c>
      <c r="BI31" s="182">
        <v>165.73</v>
      </c>
      <c r="BJ31" s="182">
        <v>169.54</v>
      </c>
      <c r="BK31" s="182">
        <v>240.71</v>
      </c>
      <c r="BL31" s="182">
        <v>237.74</v>
      </c>
      <c r="BM31" s="182">
        <v>4.12</v>
      </c>
      <c r="BN31" s="182">
        <v>0.77</v>
      </c>
      <c r="BO31" s="179" t="e">
        <v>#VALUE!</v>
      </c>
    </row>
    <row r="32" spans="1:67" x14ac:dyDescent="0.25">
      <c r="A32" s="98">
        <v>4</v>
      </c>
      <c r="B32" s="99" t="s">
        <v>40</v>
      </c>
      <c r="C32" s="100">
        <v>35</v>
      </c>
      <c r="D32" s="98">
        <v>7</v>
      </c>
      <c r="E32" s="99" t="s">
        <v>40</v>
      </c>
      <c r="F32" s="101">
        <v>2.59</v>
      </c>
      <c r="G32" s="102">
        <v>6.5</v>
      </c>
      <c r="H32" s="103">
        <v>9.5</v>
      </c>
      <c r="I32" s="103">
        <v>1.5</v>
      </c>
      <c r="J32" s="103">
        <v>40.29</v>
      </c>
      <c r="K32" s="103">
        <v>24.52</v>
      </c>
      <c r="L32" s="75">
        <f t="shared" si="50"/>
        <v>0.89000000000000012</v>
      </c>
      <c r="M32" s="75">
        <f t="shared" si="32"/>
        <v>1.1000000000000001</v>
      </c>
      <c r="N32" s="104">
        <f t="shared" si="33"/>
        <v>8.2800000000000011</v>
      </c>
      <c r="O32" s="99" t="s">
        <v>40</v>
      </c>
      <c r="P32" s="99">
        <f t="shared" si="34"/>
        <v>11.280000000000001</v>
      </c>
      <c r="Q32" s="104">
        <f t="shared" si="35"/>
        <v>8.6999999999999993</v>
      </c>
      <c r="R32" s="99" t="s">
        <v>40</v>
      </c>
      <c r="S32" s="101">
        <f t="shared" si="36"/>
        <v>11.7</v>
      </c>
      <c r="T32" s="628">
        <f t="shared" si="37"/>
        <v>19.553910524340093</v>
      </c>
      <c r="U32" s="628"/>
      <c r="V32" s="127">
        <f t="shared" si="38"/>
        <v>2.1539105243400938</v>
      </c>
      <c r="W32" s="134">
        <v>1</v>
      </c>
      <c r="X32" s="132" t="s">
        <v>18</v>
      </c>
      <c r="Y32" s="132" t="s">
        <v>18</v>
      </c>
      <c r="Z32" s="132" t="s">
        <v>18</v>
      </c>
      <c r="AA32" s="132" t="s">
        <v>18</v>
      </c>
      <c r="AB32" s="132" t="s">
        <v>18</v>
      </c>
      <c r="AC32" s="75">
        <f t="shared" si="56"/>
        <v>0.9</v>
      </c>
      <c r="AD32" s="75">
        <f t="shared" si="51"/>
        <v>1.7</v>
      </c>
      <c r="AE32" s="629">
        <f t="shared" si="39"/>
        <v>22.953910524340092</v>
      </c>
      <c r="AF32" s="630"/>
      <c r="AG32" s="98">
        <v>4</v>
      </c>
      <c r="AH32" s="99" t="s">
        <v>40</v>
      </c>
      <c r="AI32" s="100">
        <v>35</v>
      </c>
      <c r="AJ32" s="174">
        <v>2</v>
      </c>
      <c r="AK32" s="61">
        <f t="shared" si="40"/>
        <v>0.3</v>
      </c>
      <c r="AL32" s="139" t="s">
        <v>40</v>
      </c>
      <c r="AM32" s="176">
        <f t="shared" si="41"/>
        <v>35</v>
      </c>
      <c r="AN32" s="92">
        <f t="shared" si="42"/>
        <v>24.153910524340091</v>
      </c>
      <c r="AO32" s="75">
        <f t="shared" si="52"/>
        <v>1.6</v>
      </c>
      <c r="AP32" s="152">
        <f t="shared" si="43"/>
        <v>2</v>
      </c>
      <c r="AQ32" s="151">
        <f t="shared" si="44"/>
        <v>28.153910524340091</v>
      </c>
      <c r="AR32" s="87">
        <f t="shared" si="45"/>
        <v>376.83953999999994</v>
      </c>
      <c r="AS32" s="76" t="s">
        <v>18</v>
      </c>
      <c r="AT32" s="130">
        <f t="shared" si="53"/>
        <v>187.69260285847253</v>
      </c>
      <c r="AU32" s="165">
        <f t="shared" si="46"/>
        <v>5.101210367259851</v>
      </c>
      <c r="AV32" s="96">
        <f t="shared" si="54"/>
        <v>0.77332712626639954</v>
      </c>
      <c r="AW32" s="96" t="s">
        <v>18</v>
      </c>
      <c r="AX32" s="96">
        <f t="shared" si="47"/>
        <v>173.25842742254565</v>
      </c>
      <c r="AY32" s="96">
        <f t="shared" si="48"/>
        <v>252.80264109953762</v>
      </c>
      <c r="AZ32" s="165">
        <f t="shared" si="49"/>
        <v>253.06799415100775</v>
      </c>
      <c r="BA32" s="673" t="s">
        <v>18</v>
      </c>
      <c r="BB32" s="674"/>
      <c r="BC32" s="145">
        <f t="shared" si="55"/>
        <v>1249.5357430250897</v>
      </c>
      <c r="BD32" s="71">
        <v>34.65</v>
      </c>
      <c r="BE32" s="627"/>
      <c r="BG32" s="182">
        <v>382.49</v>
      </c>
      <c r="BH32" s="179" t="e">
        <v>#VALUE!</v>
      </c>
      <c r="BI32" s="182">
        <v>193.7</v>
      </c>
      <c r="BJ32" s="182">
        <v>178.8</v>
      </c>
      <c r="BK32" s="182">
        <v>261.17</v>
      </c>
      <c r="BL32" s="182">
        <v>260.39</v>
      </c>
      <c r="BM32" s="182">
        <v>5.26</v>
      </c>
      <c r="BN32" s="182">
        <v>0.81</v>
      </c>
      <c r="BO32" s="179" t="e">
        <v>#VALUE!</v>
      </c>
    </row>
    <row r="33" spans="1:67" x14ac:dyDescent="0.25">
      <c r="A33" s="98">
        <v>4</v>
      </c>
      <c r="B33" s="99" t="s">
        <v>40</v>
      </c>
      <c r="C33" s="100">
        <v>50</v>
      </c>
      <c r="D33" s="98">
        <v>7</v>
      </c>
      <c r="E33" s="99" t="s">
        <v>40</v>
      </c>
      <c r="F33" s="101">
        <v>3</v>
      </c>
      <c r="G33" s="105">
        <v>7.7</v>
      </c>
      <c r="H33" s="106">
        <v>11</v>
      </c>
      <c r="I33" s="106">
        <v>2</v>
      </c>
      <c r="J33" s="106">
        <v>56.68</v>
      </c>
      <c r="K33" s="106">
        <v>28.72</v>
      </c>
      <c r="L33" s="75">
        <f t="shared" ref="L33:L36" si="57">M33-(M33*0.1+0.1)</f>
        <v>1.07</v>
      </c>
      <c r="M33" s="75">
        <f t="shared" si="32"/>
        <v>1.3</v>
      </c>
      <c r="N33" s="104">
        <f t="shared" si="33"/>
        <v>9.84</v>
      </c>
      <c r="O33" s="99" t="s">
        <v>40</v>
      </c>
      <c r="P33" s="99">
        <f t="shared" si="34"/>
        <v>13.14</v>
      </c>
      <c r="Q33" s="104">
        <f t="shared" si="35"/>
        <v>10.3</v>
      </c>
      <c r="R33" s="99" t="s">
        <v>40</v>
      </c>
      <c r="S33" s="101">
        <f t="shared" si="36"/>
        <v>13.6</v>
      </c>
      <c r="T33" s="628">
        <f t="shared" si="37"/>
        <v>23.333809511662427</v>
      </c>
      <c r="U33" s="628"/>
      <c r="V33" s="127">
        <f t="shared" si="38"/>
        <v>2.7338095116624261</v>
      </c>
      <c r="W33" s="136">
        <v>1</v>
      </c>
      <c r="X33" s="132" t="s">
        <v>18</v>
      </c>
      <c r="Y33" s="132" t="s">
        <v>18</v>
      </c>
      <c r="Z33" s="132" t="s">
        <v>18</v>
      </c>
      <c r="AA33" s="132" t="s">
        <v>18</v>
      </c>
      <c r="AB33" s="132" t="s">
        <v>18</v>
      </c>
      <c r="AC33" s="75">
        <f t="shared" si="56"/>
        <v>0.9</v>
      </c>
      <c r="AD33" s="75">
        <f t="shared" si="51"/>
        <v>1.7</v>
      </c>
      <c r="AE33" s="629">
        <f t="shared" si="39"/>
        <v>26.733809511662425</v>
      </c>
      <c r="AF33" s="630"/>
      <c r="AG33" s="98">
        <v>4</v>
      </c>
      <c r="AH33" s="99" t="s">
        <v>40</v>
      </c>
      <c r="AI33" s="100">
        <v>50</v>
      </c>
      <c r="AJ33" s="174">
        <v>2</v>
      </c>
      <c r="AK33" s="61">
        <f t="shared" si="40"/>
        <v>0.3</v>
      </c>
      <c r="AL33" s="139" t="s">
        <v>40</v>
      </c>
      <c r="AM33" s="176">
        <f t="shared" si="41"/>
        <v>40</v>
      </c>
      <c r="AN33" s="92">
        <f t="shared" si="42"/>
        <v>27.933809511662425</v>
      </c>
      <c r="AO33" s="75">
        <f t="shared" si="52"/>
        <v>1.6</v>
      </c>
      <c r="AP33" s="152">
        <f t="shared" si="43"/>
        <v>2</v>
      </c>
      <c r="AQ33" s="151">
        <f t="shared" si="44"/>
        <v>31.933809511662425</v>
      </c>
      <c r="AR33" s="87">
        <f t="shared" si="45"/>
        <v>499.19003999999995</v>
      </c>
      <c r="AS33" s="76" t="s">
        <v>18</v>
      </c>
      <c r="AT33" s="130">
        <f t="shared" si="53"/>
        <v>260.10206008388974</v>
      </c>
      <c r="AU33" s="165">
        <f t="shared" si="46"/>
        <v>8.2177782395650514</v>
      </c>
      <c r="AV33" s="96">
        <f t="shared" si="54"/>
        <v>0.85573895232218988</v>
      </c>
      <c r="AW33" s="96" t="s">
        <v>18</v>
      </c>
      <c r="AX33" s="96">
        <f t="shared" si="47"/>
        <v>216.54101267928681</v>
      </c>
      <c r="AY33" s="96">
        <f t="shared" si="48"/>
        <v>293.372059332535</v>
      </c>
      <c r="AZ33" s="165">
        <f t="shared" si="49"/>
        <v>289.64269505184842</v>
      </c>
      <c r="BA33" s="673" t="s">
        <v>18</v>
      </c>
      <c r="BB33" s="674"/>
      <c r="BC33" s="145">
        <f t="shared" si="55"/>
        <v>1567.9213843394473</v>
      </c>
      <c r="BD33" s="71">
        <v>45.9</v>
      </c>
      <c r="BE33" s="627"/>
      <c r="BG33" s="182">
        <v>506.68</v>
      </c>
      <c r="BH33" s="179" t="e">
        <v>#VALUE!</v>
      </c>
      <c r="BI33" s="182">
        <v>268.43</v>
      </c>
      <c r="BJ33" s="182">
        <v>223.47</v>
      </c>
      <c r="BK33" s="182">
        <v>298.91000000000003</v>
      </c>
      <c r="BL33" s="182">
        <v>302.17</v>
      </c>
      <c r="BM33" s="182">
        <v>8.48</v>
      </c>
      <c r="BN33" s="182">
        <v>0.9</v>
      </c>
      <c r="BO33" s="179" t="e">
        <v>#VALUE!</v>
      </c>
    </row>
    <row r="34" spans="1:67" x14ac:dyDescent="0.25">
      <c r="A34" s="98">
        <v>5</v>
      </c>
      <c r="B34" s="99" t="s">
        <v>40</v>
      </c>
      <c r="C34" s="100">
        <v>25</v>
      </c>
      <c r="D34" s="98">
        <v>7</v>
      </c>
      <c r="E34" s="99" t="s">
        <v>40</v>
      </c>
      <c r="F34" s="101">
        <v>2.19</v>
      </c>
      <c r="G34" s="105">
        <v>6.2</v>
      </c>
      <c r="H34" s="106">
        <v>7.4</v>
      </c>
      <c r="I34" s="106">
        <v>2</v>
      </c>
      <c r="J34" s="106">
        <v>33.18</v>
      </c>
      <c r="K34" s="106">
        <v>21.25</v>
      </c>
      <c r="L34" s="75">
        <f t="shared" si="57"/>
        <v>0.89000000000000012</v>
      </c>
      <c r="M34" s="75">
        <f t="shared" si="32"/>
        <v>1.1000000000000001</v>
      </c>
      <c r="N34" s="104">
        <f t="shared" si="33"/>
        <v>7.98</v>
      </c>
      <c r="O34" s="99" t="s">
        <v>40</v>
      </c>
      <c r="P34" s="99">
        <f t="shared" si="34"/>
        <v>9.18</v>
      </c>
      <c r="Q34" s="104">
        <f t="shared" si="35"/>
        <v>8.4</v>
      </c>
      <c r="R34" s="99" t="s">
        <v>40</v>
      </c>
      <c r="S34" s="101">
        <f t="shared" si="36"/>
        <v>9.6000000000000014</v>
      </c>
      <c r="T34" s="628">
        <f t="shared" si="37"/>
        <v>21.148070023565296</v>
      </c>
      <c r="U34" s="628"/>
      <c r="V34" s="127">
        <f t="shared" si="38"/>
        <v>4.3480700235652945</v>
      </c>
      <c r="W34" s="136" t="s">
        <v>18</v>
      </c>
      <c r="X34" s="138">
        <v>2</v>
      </c>
      <c r="Y34" s="149">
        <v>3.5000000000000003E-2</v>
      </c>
      <c r="Z34" s="139" t="s">
        <v>40</v>
      </c>
      <c r="AA34" s="138">
        <f>IF(T34&lt;=28,50,60)</f>
        <v>50</v>
      </c>
      <c r="AB34" s="93">
        <f>T34+2*X34*Y34</f>
        <v>21.288070023565297</v>
      </c>
      <c r="AC34" s="75">
        <f>IF(AB34&lt;=60,0.9,1)</f>
        <v>0.9</v>
      </c>
      <c r="AD34" s="75">
        <f>IF(AB34&lt;=25,1.7,IF(AND(AB34&gt;25,AB34&lt;=35),2,IF(AND(AB34&gt;35,AB34&lt;=45),2.2,IF(AND(AB34&gt;45,AB34&lt;=60),2.4,IF(AND(AB34&gt;60,AB34&lt;=80),2.5,2.7)))))</f>
        <v>1.7</v>
      </c>
      <c r="AE34" s="629">
        <f>AB34+2*AD34</f>
        <v>24.688070023565295</v>
      </c>
      <c r="AF34" s="630"/>
      <c r="AG34" s="98">
        <v>5</v>
      </c>
      <c r="AH34" s="99" t="s">
        <v>40</v>
      </c>
      <c r="AI34" s="100">
        <v>25</v>
      </c>
      <c r="AJ34" s="174">
        <v>2</v>
      </c>
      <c r="AK34" s="61">
        <f t="shared" si="40"/>
        <v>0.3</v>
      </c>
      <c r="AL34" s="139" t="s">
        <v>40</v>
      </c>
      <c r="AM34" s="176">
        <f t="shared" si="41"/>
        <v>35</v>
      </c>
      <c r="AN34" s="92">
        <f t="shared" si="42"/>
        <v>25.888070023565295</v>
      </c>
      <c r="AO34" s="75">
        <f t="shared" si="52"/>
        <v>1.6</v>
      </c>
      <c r="AP34" s="152">
        <f t="shared" si="43"/>
        <v>2</v>
      </c>
      <c r="AQ34" s="151">
        <f t="shared" si="44"/>
        <v>29.888070023565295</v>
      </c>
      <c r="AR34" s="87">
        <f t="shared" si="45"/>
        <v>341.90167500000001</v>
      </c>
      <c r="AS34" s="76" t="s">
        <v>18</v>
      </c>
      <c r="AT34" s="130">
        <f t="shared" si="53"/>
        <v>207.19223636409063</v>
      </c>
      <c r="AU34" s="165">
        <f t="shared" si="46"/>
        <v>20.787917097927831</v>
      </c>
      <c r="AV34" s="96" t="s">
        <v>18</v>
      </c>
      <c r="AW34" s="96">
        <f>PI()*(T34+X34*Y34)*X34*Y34*1.11*1.4</f>
        <v>7.2511152098830696</v>
      </c>
      <c r="AX34" s="96">
        <f>PI()*(AB34+AD34)*AD34*1.07*$BF$9</f>
        <v>183.91329224443197</v>
      </c>
      <c r="AY34" s="96">
        <f t="shared" si="48"/>
        <v>271.41526599844553</v>
      </c>
      <c r="AZ34" s="165">
        <f t="shared" si="49"/>
        <v>269.84790419919784</v>
      </c>
      <c r="BA34" s="673" t="s">
        <v>18</v>
      </c>
      <c r="BB34" s="674"/>
      <c r="BC34" s="145">
        <f t="shared" si="55"/>
        <v>1302.3094061139768</v>
      </c>
      <c r="BD34" s="71">
        <v>25.15</v>
      </c>
      <c r="BE34" s="627"/>
      <c r="BG34" s="182">
        <v>347.03</v>
      </c>
      <c r="BH34" s="179" t="e">
        <v>#VALUE!</v>
      </c>
      <c r="BI34" s="182">
        <v>213.82</v>
      </c>
      <c r="BJ34" s="182">
        <v>189.8</v>
      </c>
      <c r="BK34" s="182">
        <v>278.48</v>
      </c>
      <c r="BL34" s="182">
        <v>279.56</v>
      </c>
      <c r="BM34" s="182">
        <v>21.45</v>
      </c>
      <c r="BN34" s="179" t="e">
        <v>#VALUE!</v>
      </c>
      <c r="BO34" s="182">
        <v>7.61</v>
      </c>
    </row>
    <row r="35" spans="1:67" x14ac:dyDescent="0.25">
      <c r="A35" s="98">
        <v>5</v>
      </c>
      <c r="B35" s="99" t="s">
        <v>40</v>
      </c>
      <c r="C35" s="100">
        <v>35</v>
      </c>
      <c r="D35" s="98">
        <v>7</v>
      </c>
      <c r="E35" s="99" t="s">
        <v>40</v>
      </c>
      <c r="F35" s="101">
        <v>2.59</v>
      </c>
      <c r="G35" s="105">
        <v>7.4</v>
      </c>
      <c r="H35" s="106">
        <v>8.8000000000000007</v>
      </c>
      <c r="I35" s="106">
        <v>2</v>
      </c>
      <c r="J35" s="106">
        <v>45.49</v>
      </c>
      <c r="K35" s="106">
        <v>25.15</v>
      </c>
      <c r="L35" s="75">
        <f t="shared" si="57"/>
        <v>0.89000000000000012</v>
      </c>
      <c r="M35" s="75">
        <f t="shared" si="32"/>
        <v>1.1000000000000001</v>
      </c>
      <c r="N35" s="104">
        <f t="shared" si="33"/>
        <v>9.18</v>
      </c>
      <c r="O35" s="99" t="s">
        <v>40</v>
      </c>
      <c r="P35" s="99">
        <f t="shared" si="34"/>
        <v>10.580000000000002</v>
      </c>
      <c r="Q35" s="104">
        <f t="shared" si="35"/>
        <v>9.6000000000000014</v>
      </c>
      <c r="R35" s="99" t="s">
        <v>40</v>
      </c>
      <c r="S35" s="101">
        <f t="shared" si="36"/>
        <v>11</v>
      </c>
      <c r="T35" s="628">
        <f t="shared" si="37"/>
        <v>23.548070023565298</v>
      </c>
      <c r="U35" s="628"/>
      <c r="V35" s="127">
        <f t="shared" si="38"/>
        <v>4.3480700235652945</v>
      </c>
      <c r="W35" s="136" t="s">
        <v>18</v>
      </c>
      <c r="X35" s="138">
        <v>2</v>
      </c>
      <c r="Y35" s="149">
        <v>3.5000000000000003E-2</v>
      </c>
      <c r="Z35" s="139" t="s">
        <v>40</v>
      </c>
      <c r="AA35" s="138">
        <f t="shared" ref="AA35:AA36" si="58">IF(T35&lt;=28,50,60)</f>
        <v>50</v>
      </c>
      <c r="AB35" s="93">
        <f>T35+2*X35*Y35</f>
        <v>23.688070023565299</v>
      </c>
      <c r="AC35" s="86">
        <f t="shared" ref="AC35:AC36" si="59">IF(AB35&lt;=60,0.9,1)</f>
        <v>0.9</v>
      </c>
      <c r="AD35" s="86">
        <f t="shared" ref="AD35:AD36" si="60">IF(AB35&lt;=25,1.7,IF(AND(AB35&gt;25,AB35&lt;=35),2,IF(AND(AB35&gt;35,AB35&lt;=45),2.2,IF(AND(AB35&gt;45,AB35&lt;=60),2.4,IF(AND(AB35&gt;60,AB35&lt;=80),2.5,2.7)))))</f>
        <v>1.7</v>
      </c>
      <c r="AE35" s="629">
        <f t="shared" ref="AE35:AE36" si="61">AB35+2*AD35</f>
        <v>27.088070023565297</v>
      </c>
      <c r="AF35" s="630"/>
      <c r="AG35" s="98">
        <v>5</v>
      </c>
      <c r="AH35" s="99" t="s">
        <v>40</v>
      </c>
      <c r="AI35" s="100">
        <v>35</v>
      </c>
      <c r="AJ35" s="174">
        <v>2</v>
      </c>
      <c r="AK35" s="61">
        <f t="shared" si="40"/>
        <v>0.3</v>
      </c>
      <c r="AL35" s="139" t="s">
        <v>40</v>
      </c>
      <c r="AM35" s="176">
        <f t="shared" si="41"/>
        <v>40</v>
      </c>
      <c r="AN35" s="92">
        <f t="shared" si="42"/>
        <v>28.288070023565297</v>
      </c>
      <c r="AO35" s="75">
        <f t="shared" si="52"/>
        <v>1.6</v>
      </c>
      <c r="AP35" s="152">
        <f t="shared" si="43"/>
        <v>2</v>
      </c>
      <c r="AQ35" s="151">
        <f t="shared" si="44"/>
        <v>32.288070023565297</v>
      </c>
      <c r="AR35" s="87">
        <f t="shared" si="45"/>
        <v>471.04942499999993</v>
      </c>
      <c r="AS35" s="76" t="s">
        <v>18</v>
      </c>
      <c r="AT35" s="130">
        <f t="shared" si="53"/>
        <v>239.89918349409061</v>
      </c>
      <c r="AU35" s="165">
        <f t="shared" si="46"/>
        <v>20.787917097927831</v>
      </c>
      <c r="AV35" s="96" t="s">
        <v>18</v>
      </c>
      <c r="AW35" s="96">
        <f>PI()*(T35+X35*Y35)*X35*Y35*1.11*1.4</f>
        <v>8.0712970871410654</v>
      </c>
      <c r="AX35" s="96">
        <f t="shared" ref="AX35:AX36" si="62">PI()*(AB35+AD35)*AD35*1.07*$BF$9</f>
        <v>203.11420388834827</v>
      </c>
      <c r="AY35" s="96">
        <f t="shared" si="48"/>
        <v>297.17431513858361</v>
      </c>
      <c r="AZ35" s="165">
        <f t="shared" si="49"/>
        <v>293.07055709453357</v>
      </c>
      <c r="BA35" s="673" t="s">
        <v>18</v>
      </c>
      <c r="BB35" s="674"/>
      <c r="BC35" s="145">
        <f t="shared" si="55"/>
        <v>1533.1668988006247</v>
      </c>
      <c r="BD35" s="71">
        <v>34.65</v>
      </c>
      <c r="BE35" s="627"/>
      <c r="BG35" s="182">
        <v>478.12</v>
      </c>
      <c r="BH35" s="179" t="e">
        <v>#VALUE!</v>
      </c>
      <c r="BI35" s="182">
        <v>247.58</v>
      </c>
      <c r="BJ35" s="182">
        <v>209.61</v>
      </c>
      <c r="BK35" s="182">
        <v>302.45</v>
      </c>
      <c r="BL35" s="182">
        <v>306.08999999999997</v>
      </c>
      <c r="BM35" s="182">
        <v>21.45</v>
      </c>
      <c r="BN35" s="179" t="e">
        <v>#VALUE!</v>
      </c>
      <c r="BO35" s="182">
        <v>8.4700000000000006</v>
      </c>
    </row>
    <row r="36" spans="1:67" ht="13.8" thickBot="1" x14ac:dyDescent="0.3">
      <c r="A36" s="107">
        <v>5</v>
      </c>
      <c r="B36" s="108" t="s">
        <v>40</v>
      </c>
      <c r="C36" s="109">
        <v>50</v>
      </c>
      <c r="D36" s="107">
        <v>7</v>
      </c>
      <c r="E36" s="108" t="s">
        <v>40</v>
      </c>
      <c r="F36" s="110">
        <v>3</v>
      </c>
      <c r="G36" s="105">
        <v>8.5</v>
      </c>
      <c r="H36" s="106">
        <v>10.24</v>
      </c>
      <c r="I36" s="106">
        <v>2.5</v>
      </c>
      <c r="J36" s="106">
        <v>61.44</v>
      </c>
      <c r="K36" s="106">
        <v>29.16</v>
      </c>
      <c r="L36" s="77">
        <f t="shared" si="57"/>
        <v>1.07</v>
      </c>
      <c r="M36" s="77">
        <f t="shared" si="32"/>
        <v>1.3</v>
      </c>
      <c r="N36" s="111">
        <f t="shared" si="33"/>
        <v>10.64</v>
      </c>
      <c r="O36" s="108" t="s">
        <v>40</v>
      </c>
      <c r="P36" s="108">
        <f t="shared" si="34"/>
        <v>12.38</v>
      </c>
      <c r="Q36" s="111">
        <f t="shared" si="35"/>
        <v>11.1</v>
      </c>
      <c r="R36" s="108" t="s">
        <v>40</v>
      </c>
      <c r="S36" s="110">
        <f t="shared" si="36"/>
        <v>12.84</v>
      </c>
      <c r="T36" s="633">
        <f t="shared" si="37"/>
        <v>27.529892286951004</v>
      </c>
      <c r="U36" s="633"/>
      <c r="V36" s="128">
        <f t="shared" si="38"/>
        <v>5.3298922869510061</v>
      </c>
      <c r="W36" s="136" t="s">
        <v>18</v>
      </c>
      <c r="X36" s="138">
        <v>2</v>
      </c>
      <c r="Y36" s="149">
        <v>3.5000000000000003E-2</v>
      </c>
      <c r="Z36" s="139" t="s">
        <v>40</v>
      </c>
      <c r="AA36" s="138">
        <f t="shared" si="58"/>
        <v>50</v>
      </c>
      <c r="AB36" s="93">
        <f>T36+2*X36*Y36</f>
        <v>27.669892286951004</v>
      </c>
      <c r="AC36" s="86">
        <f t="shared" si="59"/>
        <v>0.9</v>
      </c>
      <c r="AD36" s="86">
        <f t="shared" si="60"/>
        <v>2</v>
      </c>
      <c r="AE36" s="629">
        <f t="shared" si="61"/>
        <v>31.669892286951004</v>
      </c>
      <c r="AF36" s="630"/>
      <c r="AG36" s="107">
        <v>5</v>
      </c>
      <c r="AH36" s="108" t="s">
        <v>40</v>
      </c>
      <c r="AI36" s="109">
        <v>50</v>
      </c>
      <c r="AJ36" s="174">
        <v>2</v>
      </c>
      <c r="AK36" s="61">
        <f t="shared" si="40"/>
        <v>0.5</v>
      </c>
      <c r="AL36" s="139" t="s">
        <v>40</v>
      </c>
      <c r="AM36" s="176">
        <f t="shared" si="41"/>
        <v>45</v>
      </c>
      <c r="AN36" s="92">
        <f t="shared" si="42"/>
        <v>33.669892286951004</v>
      </c>
      <c r="AO36" s="77">
        <f t="shared" si="52"/>
        <v>1.77</v>
      </c>
      <c r="AP36" s="152">
        <f t="shared" si="43"/>
        <v>2.2000000000000002</v>
      </c>
      <c r="AQ36" s="151">
        <f t="shared" si="44"/>
        <v>38.069892286951003</v>
      </c>
      <c r="AR36" s="87">
        <f t="shared" si="45"/>
        <v>623.98754999999994</v>
      </c>
      <c r="AS36" s="88" t="s">
        <v>18</v>
      </c>
      <c r="AT36" s="130">
        <f t="shared" si="53"/>
        <v>329.48850138886223</v>
      </c>
      <c r="AU36" s="165">
        <f t="shared" si="46"/>
        <v>31.235954515512791</v>
      </c>
      <c r="AV36" s="96" t="s">
        <v>18</v>
      </c>
      <c r="AW36" s="96">
        <f>PI()*(T36+X36*Y36)*X36*Y36*1.11*1.4</f>
        <v>9.4320547783457993</v>
      </c>
      <c r="AX36" s="96">
        <f t="shared" si="62"/>
        <v>279.25930406189127</v>
      </c>
      <c r="AY36" s="96">
        <f t="shared" si="48"/>
        <v>584.4065005712406</v>
      </c>
      <c r="AZ36" s="165">
        <f t="shared" si="49"/>
        <v>381.78894323759948</v>
      </c>
      <c r="BA36" s="675" t="s">
        <v>18</v>
      </c>
      <c r="BB36" s="676"/>
      <c r="BC36" s="145">
        <f t="shared" si="55"/>
        <v>2239.5988085534523</v>
      </c>
      <c r="BD36" s="71">
        <v>45.9</v>
      </c>
      <c r="BE36" s="627"/>
      <c r="BG36" s="182">
        <v>633.35</v>
      </c>
      <c r="BH36" s="179" t="e">
        <v>#VALUE!</v>
      </c>
      <c r="BI36" s="182">
        <v>340.03</v>
      </c>
      <c r="BJ36" s="182">
        <v>288.2</v>
      </c>
      <c r="BK36" s="182">
        <v>394.01</v>
      </c>
      <c r="BL36" s="182">
        <v>601.94000000000005</v>
      </c>
      <c r="BM36" s="182">
        <v>32.24</v>
      </c>
      <c r="BN36" s="179" t="e">
        <v>#VALUE!</v>
      </c>
      <c r="BO36" s="182">
        <v>9.9</v>
      </c>
    </row>
    <row r="37" spans="1:67" ht="13.8" thickBot="1" x14ac:dyDescent="0.3">
      <c r="A37" s="634" t="s">
        <v>103</v>
      </c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5"/>
      <c r="W37" s="635"/>
      <c r="X37" s="635"/>
      <c r="Y37" s="635"/>
      <c r="Z37" s="635"/>
      <c r="AA37" s="635"/>
      <c r="AB37" s="635"/>
      <c r="AC37" s="635"/>
      <c r="AD37" s="635"/>
      <c r="AE37" s="635"/>
      <c r="AF37" s="636"/>
      <c r="AG37" s="677" t="s">
        <v>103</v>
      </c>
      <c r="AH37" s="678"/>
      <c r="AI37" s="678"/>
      <c r="AJ37" s="678"/>
      <c r="AK37" s="678"/>
      <c r="AL37" s="678"/>
      <c r="AM37" s="678"/>
      <c r="AN37" s="678"/>
      <c r="AO37" s="678"/>
      <c r="AP37" s="678"/>
      <c r="AQ37" s="678"/>
      <c r="AR37" s="678"/>
      <c r="AS37" s="678"/>
      <c r="AT37" s="678"/>
      <c r="AU37" s="678"/>
      <c r="AV37" s="678"/>
      <c r="AW37" s="678"/>
      <c r="AX37" s="678"/>
      <c r="AY37" s="678"/>
      <c r="AZ37" s="678"/>
      <c r="BA37" s="678"/>
      <c r="BB37" s="678"/>
      <c r="BC37" s="679"/>
      <c r="BG37" s="181" t="s">
        <v>117</v>
      </c>
      <c r="BH37" s="181" t="s">
        <v>118</v>
      </c>
      <c r="BI37" s="181" t="s">
        <v>112</v>
      </c>
      <c r="BJ37" s="181" t="s">
        <v>114</v>
      </c>
      <c r="BK37" s="181" t="s">
        <v>116</v>
      </c>
      <c r="BL37" s="181" t="s">
        <v>115</v>
      </c>
      <c r="BM37" s="181" t="s">
        <v>113</v>
      </c>
      <c r="BN37" s="181" t="s">
        <v>119</v>
      </c>
      <c r="BO37" s="181" t="s">
        <v>120</v>
      </c>
    </row>
    <row r="38" spans="1:67" x14ac:dyDescent="0.25">
      <c r="A38" s="112">
        <v>3</v>
      </c>
      <c r="B38" s="113" t="s">
        <v>40</v>
      </c>
      <c r="C38" s="114">
        <v>25</v>
      </c>
      <c r="D38" s="792"/>
      <c r="E38" s="793"/>
      <c r="F38" s="794"/>
      <c r="G38" s="115">
        <v>4.79</v>
      </c>
      <c r="H38" s="115">
        <v>7.56</v>
      </c>
      <c r="I38" s="115">
        <v>1.39</v>
      </c>
      <c r="J38" s="116">
        <v>26</v>
      </c>
      <c r="K38" s="115">
        <v>19.25</v>
      </c>
      <c r="L38" s="75">
        <f t="shared" ref="L38" si="63">M38-(M38*0.1+0.1)</f>
        <v>0.89000000000000012</v>
      </c>
      <c r="M38" s="75">
        <f t="shared" ref="M38:M46" si="64">IF(C38=1.5,0.6,IF(C38=2.5,0.6,IF(C38=4,0.7,IF(C38=6,0.7,IF(C38=10,0.9,IF(C38=16,0.9,IF(C38=25,1.1,IF(C38=35,1.1,IF(C38=50,1.3,"-")))))))))</f>
        <v>1.1000000000000001</v>
      </c>
      <c r="N38" s="104">
        <f t="shared" ref="N38:N46" si="65">G38+2*L38</f>
        <v>6.57</v>
      </c>
      <c r="O38" s="99" t="s">
        <v>40</v>
      </c>
      <c r="P38" s="99">
        <f t="shared" ref="P38:P46" si="66">H38+2*L38</f>
        <v>9.34</v>
      </c>
      <c r="Q38" s="104">
        <f t="shared" ref="Q38:Q46" si="67">G38+2*M38</f>
        <v>6.99</v>
      </c>
      <c r="R38" s="99" t="s">
        <v>40</v>
      </c>
      <c r="S38" s="101">
        <f t="shared" ref="S38:S46" si="68">H38+2*M38</f>
        <v>9.76</v>
      </c>
      <c r="T38" s="628">
        <f t="shared" ref="T38:T46" si="69">2*(Q38+(I38+M38)*(1/COS(PI()*(A38-2)/(2*A38))-1))</f>
        <v>14.750408681128672</v>
      </c>
      <c r="U38" s="628"/>
      <c r="V38" s="127" t="str">
        <f t="shared" ref="V38:V46" si="70">IF(A38=4,2*(I38+M38)*((1/COS(PI()*(A38-2)/(2*A38)))-1),IF(A38=5,2*(I38+M38)*((1/COS(PI()*(A38-2)/(2*A38)))-1),"-"))</f>
        <v>-</v>
      </c>
      <c r="W38" s="133">
        <v>1</v>
      </c>
      <c r="X38" s="132" t="s">
        <v>18</v>
      </c>
      <c r="Y38" s="132" t="s">
        <v>18</v>
      </c>
      <c r="Z38" s="132" t="s">
        <v>18</v>
      </c>
      <c r="AA38" s="132" t="s">
        <v>18</v>
      </c>
      <c r="AB38" s="132" t="s">
        <v>18</v>
      </c>
      <c r="AC38" s="75">
        <f t="shared" si="56"/>
        <v>0.9</v>
      </c>
      <c r="AD38" s="75">
        <f t="shared" si="51"/>
        <v>1.7</v>
      </c>
      <c r="AE38" s="629">
        <f t="shared" ref="AE38:AE43" si="71">T38+2*AD38</f>
        <v>18.15040868112867</v>
      </c>
      <c r="AF38" s="630"/>
      <c r="AG38" s="143">
        <v>3</v>
      </c>
      <c r="AH38" s="113" t="s">
        <v>40</v>
      </c>
      <c r="AI38" s="144">
        <v>25</v>
      </c>
      <c r="AJ38" s="174">
        <v>2</v>
      </c>
      <c r="AK38" s="61">
        <f t="shared" ref="AK38:AK46" si="72">IF(AE38&lt;=30,0.3,0.5)</f>
        <v>0.3</v>
      </c>
      <c r="AL38" s="139" t="s">
        <v>40</v>
      </c>
      <c r="AM38" s="176">
        <f t="shared" ref="AM38:AM46" si="73">IF(AND(AE38&gt;8,AE38&lt;=13),20,IF(AND(AE38&gt;13,AE38&lt;=17),25,IF(AND(AE38&gt;17,AE38&lt;=21),30,IF(AND(AE38&gt;21,AE38&lt;=26),35,IF(AND(AE38&gt;26,AE38&lt;=31),40,IF(AND(AE38&gt;31,AE38&lt;=40),45,IF(AND(AE38&gt;40,AE38&lt;=50),50,55)))))))</f>
        <v>30</v>
      </c>
      <c r="AN38" s="92">
        <f t="shared" ref="AN38:AN46" si="74">AE38+2*AJ38*AK38</f>
        <v>19.35040868112867</v>
      </c>
      <c r="AO38" s="89">
        <f t="shared" ref="AO38:AO46" si="75">AP38-(AP38*0.15+0.1)</f>
        <v>1.4300000000000002</v>
      </c>
      <c r="AP38" s="152">
        <f t="shared" ref="AP38:AP46" si="76">IF(AN38&lt;=20,1.8,IF(AND(AN38&gt;20,AN38&lt;=30),2,IF(AND(AN38&gt;30,AN38&lt;=40),2.2,IF(AND(AN38&gt;40,AN38&lt;=50),2.4,IF(AND(AN38&gt;50,AN38&lt;=60),2.6,3.1)))))</f>
        <v>1.8</v>
      </c>
      <c r="AQ38" s="151">
        <f t="shared" ref="AQ38:AQ46" si="77">AN38+2*AP38</f>
        <v>22.950408681128671</v>
      </c>
      <c r="AR38" s="89">
        <f>AI38*AG38*2.7*1.007</f>
        <v>203.91749999999999</v>
      </c>
      <c r="AS38" s="75" t="s">
        <v>18</v>
      </c>
      <c r="AT38" s="75">
        <f>PI()*(K38/PI()+M38)*M38*$BF$11*1.007*A38*1.07</f>
        <v>108.18520564862497</v>
      </c>
      <c r="AU38" s="165" t="str">
        <f t="shared" ref="AU38:AU46" si="78">IF(V38="-","-",PI()*POWER(V38,2)/4*1.4)</f>
        <v>-</v>
      </c>
      <c r="AV38" s="96">
        <f t="shared" ref="AV38:AV43" si="79">SQRT(POWER(1+T38*PI()/50,2))*0.347</f>
        <v>0.6685980423175617</v>
      </c>
      <c r="AW38" s="96" t="s">
        <v>18</v>
      </c>
      <c r="AX38" s="75">
        <f t="shared" ref="AX38:AX43" si="80">(PI()*AE38*AE38/4-A38*(J38+PI()*(K38/PI()+M38)*M38)-((POWER((I38+M38),2)*(A38*TAN(PI()*((A38-2)/(2*A38)))-(PI()*(A38-2)/2)))))*$BF$9</f>
        <v>146.73498399574194</v>
      </c>
      <c r="AY38" s="96">
        <f t="shared" ref="AY38:AY46" si="81">PI()*(AE38+AJ38*AK38)*AJ38*AK38*0.73*7.8</f>
        <v>201.24695775619318</v>
      </c>
      <c r="AZ38" s="165">
        <f t="shared" ref="AZ38:AZ46" si="82">PI()*(AN38+AP38)*AP38*$BF$10*1.1</f>
        <v>184.1882247736302</v>
      </c>
      <c r="BA38" s="784" t="s">
        <v>18</v>
      </c>
      <c r="BB38" s="785"/>
      <c r="BC38" s="145">
        <f>AR38+AT38+IF(AU38="-",0,AU38)+IF(AV38="-",0,AV38)+IF(AW38="-",0,AW38)+AX38+AY38+AZ38</f>
        <v>844.94147021650781</v>
      </c>
      <c r="BG38" s="182">
        <v>206.98</v>
      </c>
      <c r="BH38" s="179" t="e">
        <v>#VALUE!</v>
      </c>
      <c r="BI38" s="182">
        <v>111.65</v>
      </c>
      <c r="BJ38" s="182">
        <v>151.43</v>
      </c>
      <c r="BK38" s="182">
        <v>190.08</v>
      </c>
      <c r="BL38" s="182">
        <v>207.28</v>
      </c>
      <c r="BM38" s="182">
        <v>0</v>
      </c>
      <c r="BN38" s="182">
        <v>0.7</v>
      </c>
      <c r="BO38" s="179" t="e">
        <v>#VALUE!</v>
      </c>
    </row>
    <row r="39" spans="1:67" s="5" customFormat="1" x14ac:dyDescent="0.25">
      <c r="A39" s="117">
        <v>3</v>
      </c>
      <c r="B39" s="99" t="s">
        <v>40</v>
      </c>
      <c r="C39" s="100">
        <v>35</v>
      </c>
      <c r="D39" s="670" t="s">
        <v>18</v>
      </c>
      <c r="E39" s="671"/>
      <c r="F39" s="672"/>
      <c r="G39" s="102">
        <v>5.63</v>
      </c>
      <c r="H39" s="103">
        <v>8.9</v>
      </c>
      <c r="I39" s="103">
        <v>1.63</v>
      </c>
      <c r="J39" s="103">
        <v>36</v>
      </c>
      <c r="K39" s="103">
        <v>22.65</v>
      </c>
      <c r="L39" s="75">
        <f t="shared" ref="L39:L46" si="83">M39-(M39*0.1+0.1)</f>
        <v>0.89000000000000012</v>
      </c>
      <c r="M39" s="75">
        <f t="shared" si="64"/>
        <v>1.1000000000000001</v>
      </c>
      <c r="N39" s="104">
        <f t="shared" si="65"/>
        <v>7.41</v>
      </c>
      <c r="O39" s="99" t="s">
        <v>40</v>
      </c>
      <c r="P39" s="99">
        <f t="shared" si="66"/>
        <v>10.68</v>
      </c>
      <c r="Q39" s="104">
        <f t="shared" si="67"/>
        <v>7.83</v>
      </c>
      <c r="R39" s="99" t="s">
        <v>40</v>
      </c>
      <c r="S39" s="101">
        <f t="shared" si="68"/>
        <v>11.100000000000001</v>
      </c>
      <c r="T39" s="628">
        <f t="shared" si="69"/>
        <v>16.504664939550715</v>
      </c>
      <c r="U39" s="628"/>
      <c r="V39" s="127" t="str">
        <f t="shared" si="70"/>
        <v>-</v>
      </c>
      <c r="W39" s="134">
        <v>1</v>
      </c>
      <c r="X39" s="132" t="s">
        <v>18</v>
      </c>
      <c r="Y39" s="132" t="s">
        <v>18</v>
      </c>
      <c r="Z39" s="132" t="s">
        <v>18</v>
      </c>
      <c r="AA39" s="132" t="s">
        <v>18</v>
      </c>
      <c r="AB39" s="132" t="s">
        <v>18</v>
      </c>
      <c r="AC39" s="75">
        <f t="shared" si="56"/>
        <v>0.9</v>
      </c>
      <c r="AD39" s="75">
        <f t="shared" si="51"/>
        <v>1.7</v>
      </c>
      <c r="AE39" s="629">
        <f t="shared" si="71"/>
        <v>19.904664939550713</v>
      </c>
      <c r="AF39" s="630"/>
      <c r="AG39" s="117">
        <v>3</v>
      </c>
      <c r="AH39" s="99" t="s">
        <v>40</v>
      </c>
      <c r="AI39" s="100">
        <v>35</v>
      </c>
      <c r="AJ39" s="174">
        <v>2</v>
      </c>
      <c r="AK39" s="61">
        <f t="shared" si="72"/>
        <v>0.3</v>
      </c>
      <c r="AL39" s="139" t="s">
        <v>40</v>
      </c>
      <c r="AM39" s="176">
        <f t="shared" si="73"/>
        <v>30</v>
      </c>
      <c r="AN39" s="92">
        <f t="shared" si="74"/>
        <v>21.104664939550712</v>
      </c>
      <c r="AO39" s="75">
        <f t="shared" si="75"/>
        <v>1.6</v>
      </c>
      <c r="AP39" s="152">
        <f t="shared" si="76"/>
        <v>2</v>
      </c>
      <c r="AQ39" s="151">
        <f t="shared" si="77"/>
        <v>25.104664939550712</v>
      </c>
      <c r="AR39" s="75">
        <f>AI39*AG39*2.7*1.007</f>
        <v>285.48449999999997</v>
      </c>
      <c r="AS39" s="75" t="s">
        <v>18</v>
      </c>
      <c r="AT39" s="75">
        <f t="shared" ref="AT39:AT46" si="84">PI()*(K39/PI()+M39)*M39*$BF$11*1.007*A39*1.07</f>
        <v>124.38505230062495</v>
      </c>
      <c r="AU39" s="165" t="str">
        <f t="shared" si="78"/>
        <v>-</v>
      </c>
      <c r="AV39" s="96">
        <f t="shared" si="79"/>
        <v>0.70684548282093163</v>
      </c>
      <c r="AW39" s="96" t="s">
        <v>18</v>
      </c>
      <c r="AX39" s="75">
        <f t="shared" si="80"/>
        <v>162.14879738054097</v>
      </c>
      <c r="AY39" s="96">
        <f t="shared" si="81"/>
        <v>220.07527990831321</v>
      </c>
      <c r="AZ39" s="165">
        <f t="shared" si="82"/>
        <v>223.56317256425822</v>
      </c>
      <c r="BA39" s="784" t="s">
        <v>18</v>
      </c>
      <c r="BB39" s="785"/>
      <c r="BC39" s="145">
        <f t="shared" ref="BC39:BC46" si="85">AR39+AT39+IF(AU39="-",0,AU39)+IF(AV39="-",0,AV39)+IF(AW39="-",0,AW39)+AX39+AY39+AZ39</f>
        <v>1016.3636476365583</v>
      </c>
      <c r="BG39" s="182">
        <v>289.77</v>
      </c>
      <c r="BH39" s="179" t="e">
        <v>#VALUE!</v>
      </c>
      <c r="BI39" s="182">
        <v>128.37</v>
      </c>
      <c r="BJ39" s="182">
        <v>167.34</v>
      </c>
      <c r="BK39" s="182">
        <v>230.72</v>
      </c>
      <c r="BL39" s="182">
        <v>226.68</v>
      </c>
      <c r="BM39" s="182">
        <v>0</v>
      </c>
      <c r="BN39" s="182">
        <v>0.74</v>
      </c>
      <c r="BO39" s="179" t="e">
        <v>#VALUE!</v>
      </c>
    </row>
    <row r="40" spans="1:67" s="5" customFormat="1" ht="12" customHeight="1" x14ac:dyDescent="0.25">
      <c r="A40" s="117">
        <v>3</v>
      </c>
      <c r="B40" s="99" t="s">
        <v>40</v>
      </c>
      <c r="C40" s="100">
        <v>50</v>
      </c>
      <c r="D40" s="670" t="s">
        <v>18</v>
      </c>
      <c r="E40" s="671"/>
      <c r="F40" s="672"/>
      <c r="G40" s="102">
        <v>6.64</v>
      </c>
      <c r="H40" s="103">
        <v>10.49</v>
      </c>
      <c r="I40" s="103">
        <v>1.92</v>
      </c>
      <c r="J40" s="103">
        <v>50</v>
      </c>
      <c r="K40" s="103">
        <v>26.7</v>
      </c>
      <c r="L40" s="75">
        <f t="shared" si="83"/>
        <v>1.07</v>
      </c>
      <c r="M40" s="75">
        <f t="shared" si="64"/>
        <v>1.3</v>
      </c>
      <c r="N40" s="104">
        <f t="shared" si="65"/>
        <v>8.7799999999999994</v>
      </c>
      <c r="O40" s="99" t="s">
        <v>40</v>
      </c>
      <c r="P40" s="99">
        <f t="shared" si="66"/>
        <v>12.63</v>
      </c>
      <c r="Q40" s="104">
        <f t="shared" si="67"/>
        <v>9.24</v>
      </c>
      <c r="R40" s="99" t="s">
        <v>40</v>
      </c>
      <c r="S40" s="101">
        <f t="shared" si="68"/>
        <v>13.09</v>
      </c>
      <c r="T40" s="628">
        <f t="shared" si="69"/>
        <v>19.47627146716238</v>
      </c>
      <c r="U40" s="628"/>
      <c r="V40" s="127" t="str">
        <f t="shared" si="70"/>
        <v>-</v>
      </c>
      <c r="W40" s="135">
        <v>1</v>
      </c>
      <c r="X40" s="132" t="s">
        <v>18</v>
      </c>
      <c r="Y40" s="132" t="s">
        <v>18</v>
      </c>
      <c r="Z40" s="132" t="s">
        <v>18</v>
      </c>
      <c r="AA40" s="132" t="s">
        <v>18</v>
      </c>
      <c r="AB40" s="132" t="s">
        <v>18</v>
      </c>
      <c r="AC40" s="75">
        <f t="shared" si="56"/>
        <v>0.9</v>
      </c>
      <c r="AD40" s="75">
        <f t="shared" si="51"/>
        <v>1.7</v>
      </c>
      <c r="AE40" s="629">
        <f t="shared" si="71"/>
        <v>22.876271467162379</v>
      </c>
      <c r="AF40" s="630"/>
      <c r="AG40" s="117">
        <v>3</v>
      </c>
      <c r="AH40" s="99" t="s">
        <v>40</v>
      </c>
      <c r="AI40" s="100">
        <v>50</v>
      </c>
      <c r="AJ40" s="174">
        <v>2</v>
      </c>
      <c r="AK40" s="61">
        <f t="shared" si="72"/>
        <v>0.3</v>
      </c>
      <c r="AL40" s="139" t="s">
        <v>40</v>
      </c>
      <c r="AM40" s="176">
        <f t="shared" si="73"/>
        <v>35</v>
      </c>
      <c r="AN40" s="92">
        <f t="shared" si="74"/>
        <v>24.076271467162378</v>
      </c>
      <c r="AO40" s="75">
        <f t="shared" si="75"/>
        <v>1.6</v>
      </c>
      <c r="AP40" s="152">
        <f t="shared" si="76"/>
        <v>2</v>
      </c>
      <c r="AQ40" s="151">
        <f t="shared" si="77"/>
        <v>28.076271467162378</v>
      </c>
      <c r="AR40" s="75">
        <f t="shared" ref="AR40:AR46" si="86">AI40*AG40*2.7*1.007</f>
        <v>407.83499999999998</v>
      </c>
      <c r="AS40" s="75" t="s">
        <v>18</v>
      </c>
      <c r="AT40" s="75">
        <f t="shared" si="84"/>
        <v>173.3439536876084</v>
      </c>
      <c r="AU40" s="165" t="str">
        <f t="shared" si="78"/>
        <v>-</v>
      </c>
      <c r="AV40" s="96">
        <f t="shared" si="79"/>
        <v>0.77163438884227131</v>
      </c>
      <c r="AW40" s="96" t="s">
        <v>18</v>
      </c>
      <c r="AX40" s="75">
        <f t="shared" si="80"/>
        <v>195.00281180292558</v>
      </c>
      <c r="AY40" s="96">
        <f t="shared" si="81"/>
        <v>251.96934597910641</v>
      </c>
      <c r="AZ40" s="165">
        <f t="shared" si="82"/>
        <v>252.31675045269145</v>
      </c>
      <c r="BA40" s="784" t="s">
        <v>18</v>
      </c>
      <c r="BB40" s="785"/>
      <c r="BC40" s="145">
        <f t="shared" si="85"/>
        <v>1281.239496311174</v>
      </c>
      <c r="BG40" s="182">
        <v>413.95</v>
      </c>
      <c r="BH40" s="179" t="e">
        <v>#VALUE!</v>
      </c>
      <c r="BI40" s="182">
        <v>178.89</v>
      </c>
      <c r="BJ40" s="182">
        <v>201.24</v>
      </c>
      <c r="BK40" s="182">
        <v>260.39</v>
      </c>
      <c r="BL40" s="182">
        <v>259.52999999999997</v>
      </c>
      <c r="BM40" s="182">
        <v>0</v>
      </c>
      <c r="BN40" s="182">
        <v>0.81</v>
      </c>
      <c r="BO40" s="179" t="e">
        <v>#VALUE!</v>
      </c>
    </row>
    <row r="41" spans="1:67" s="5" customFormat="1" ht="12" customHeight="1" x14ac:dyDescent="0.25">
      <c r="A41" s="117">
        <v>4</v>
      </c>
      <c r="B41" s="99" t="s">
        <v>40</v>
      </c>
      <c r="C41" s="100">
        <v>25</v>
      </c>
      <c r="D41" s="670" t="s">
        <v>18</v>
      </c>
      <c r="E41" s="671"/>
      <c r="F41" s="672"/>
      <c r="G41" s="102">
        <v>5.32</v>
      </c>
      <c r="H41" s="103">
        <v>7.14</v>
      </c>
      <c r="I41" s="103">
        <v>1.3</v>
      </c>
      <c r="J41" s="103">
        <v>26.16</v>
      </c>
      <c r="K41" s="103">
        <v>19.27</v>
      </c>
      <c r="L41" s="75">
        <f t="shared" si="83"/>
        <v>0.89000000000000012</v>
      </c>
      <c r="M41" s="75">
        <f t="shared" si="64"/>
        <v>1.1000000000000001</v>
      </c>
      <c r="N41" s="104">
        <f t="shared" si="65"/>
        <v>7.1000000000000005</v>
      </c>
      <c r="O41" s="99" t="s">
        <v>40</v>
      </c>
      <c r="P41" s="99">
        <f t="shared" si="66"/>
        <v>8.92</v>
      </c>
      <c r="Q41" s="104">
        <f t="shared" si="67"/>
        <v>7.5200000000000005</v>
      </c>
      <c r="R41" s="99" t="s">
        <v>40</v>
      </c>
      <c r="S41" s="101">
        <f t="shared" si="68"/>
        <v>9.34</v>
      </c>
      <c r="T41" s="628">
        <f t="shared" si="69"/>
        <v>17.028225099390855</v>
      </c>
      <c r="U41" s="628"/>
      <c r="V41" s="127">
        <f t="shared" si="70"/>
        <v>1.9882250993908559</v>
      </c>
      <c r="W41" s="134">
        <v>1</v>
      </c>
      <c r="X41" s="132" t="s">
        <v>18</v>
      </c>
      <c r="Y41" s="132" t="s">
        <v>18</v>
      </c>
      <c r="Z41" s="132" t="s">
        <v>18</v>
      </c>
      <c r="AA41" s="132" t="s">
        <v>18</v>
      </c>
      <c r="AB41" s="132" t="s">
        <v>18</v>
      </c>
      <c r="AC41" s="75">
        <f t="shared" si="56"/>
        <v>0.9</v>
      </c>
      <c r="AD41" s="75">
        <f t="shared" si="51"/>
        <v>1.7</v>
      </c>
      <c r="AE41" s="629">
        <f t="shared" si="71"/>
        <v>20.428225099390854</v>
      </c>
      <c r="AF41" s="630"/>
      <c r="AG41" s="117">
        <v>4</v>
      </c>
      <c r="AH41" s="99" t="s">
        <v>40</v>
      </c>
      <c r="AI41" s="100">
        <v>25</v>
      </c>
      <c r="AJ41" s="174">
        <v>2</v>
      </c>
      <c r="AK41" s="61">
        <f t="shared" si="72"/>
        <v>0.3</v>
      </c>
      <c r="AL41" s="139" t="s">
        <v>40</v>
      </c>
      <c r="AM41" s="176">
        <f t="shared" si="73"/>
        <v>30</v>
      </c>
      <c r="AN41" s="92">
        <f t="shared" si="74"/>
        <v>21.628225099390853</v>
      </c>
      <c r="AO41" s="75">
        <f t="shared" si="75"/>
        <v>1.6</v>
      </c>
      <c r="AP41" s="152">
        <f t="shared" si="76"/>
        <v>2</v>
      </c>
      <c r="AQ41" s="151">
        <f t="shared" si="77"/>
        <v>25.628225099390853</v>
      </c>
      <c r="AR41" s="75">
        <f t="shared" si="86"/>
        <v>271.89</v>
      </c>
      <c r="AS41" s="75" t="s">
        <v>18</v>
      </c>
      <c r="AT41" s="75">
        <f t="shared" si="84"/>
        <v>144.37399848563331</v>
      </c>
      <c r="AU41" s="165">
        <f t="shared" si="78"/>
        <v>4.3465934490261455</v>
      </c>
      <c r="AV41" s="96">
        <f t="shared" si="79"/>
        <v>0.71826048331888215</v>
      </c>
      <c r="AW41" s="96" t="s">
        <v>18</v>
      </c>
      <c r="AX41" s="75">
        <f t="shared" si="80"/>
        <v>165.45009966105474</v>
      </c>
      <c r="AY41" s="96">
        <f t="shared" si="81"/>
        <v>225.6946181937885</v>
      </c>
      <c r="AZ41" s="165">
        <f t="shared" si="82"/>
        <v>228.62919584000576</v>
      </c>
      <c r="BA41" s="796" t="s">
        <v>18</v>
      </c>
      <c r="BB41" s="797"/>
      <c r="BC41" s="145">
        <f t="shared" si="85"/>
        <v>1041.1027661128273</v>
      </c>
      <c r="BG41" s="182">
        <v>275.97000000000003</v>
      </c>
      <c r="BH41" s="179" t="e">
        <v>#VALUE!</v>
      </c>
      <c r="BI41" s="182">
        <v>148.99</v>
      </c>
      <c r="BJ41" s="182">
        <v>170.74</v>
      </c>
      <c r="BK41" s="182">
        <v>235.95</v>
      </c>
      <c r="BL41" s="182">
        <v>232.47</v>
      </c>
      <c r="BM41" s="182">
        <v>4.49</v>
      </c>
      <c r="BN41" s="182">
        <v>0.75</v>
      </c>
      <c r="BO41" s="179" t="e">
        <v>#VALUE!</v>
      </c>
    </row>
    <row r="42" spans="1:67" s="5" customFormat="1" ht="12" customHeight="1" x14ac:dyDescent="0.25">
      <c r="A42" s="117">
        <v>4</v>
      </c>
      <c r="B42" s="99" t="s">
        <v>40</v>
      </c>
      <c r="C42" s="100">
        <v>35</v>
      </c>
      <c r="D42" s="670" t="s">
        <v>18</v>
      </c>
      <c r="E42" s="671"/>
      <c r="F42" s="672"/>
      <c r="G42" s="102">
        <v>6.32</v>
      </c>
      <c r="H42" s="103">
        <v>8.77</v>
      </c>
      <c r="I42" s="103">
        <v>1.2</v>
      </c>
      <c r="J42" s="103">
        <v>26.56</v>
      </c>
      <c r="K42" s="103">
        <v>23.15</v>
      </c>
      <c r="L42" s="75">
        <f t="shared" si="83"/>
        <v>0.89000000000000012</v>
      </c>
      <c r="M42" s="75">
        <f t="shared" si="64"/>
        <v>1.1000000000000001</v>
      </c>
      <c r="N42" s="104">
        <f t="shared" si="65"/>
        <v>8.1000000000000014</v>
      </c>
      <c r="O42" s="99" t="s">
        <v>40</v>
      </c>
      <c r="P42" s="99">
        <f t="shared" si="66"/>
        <v>10.55</v>
      </c>
      <c r="Q42" s="104">
        <f t="shared" si="67"/>
        <v>8.52</v>
      </c>
      <c r="R42" s="99" t="s">
        <v>40</v>
      </c>
      <c r="S42" s="101">
        <f t="shared" si="68"/>
        <v>10.969999999999999</v>
      </c>
      <c r="T42" s="628">
        <f t="shared" si="69"/>
        <v>18.945382386916236</v>
      </c>
      <c r="U42" s="628"/>
      <c r="V42" s="127">
        <f t="shared" si="70"/>
        <v>1.9053823869162365</v>
      </c>
      <c r="W42" s="134">
        <v>1</v>
      </c>
      <c r="X42" s="132" t="s">
        <v>18</v>
      </c>
      <c r="Y42" s="132" t="s">
        <v>18</v>
      </c>
      <c r="Z42" s="132" t="s">
        <v>18</v>
      </c>
      <c r="AA42" s="132" t="s">
        <v>18</v>
      </c>
      <c r="AB42" s="132" t="s">
        <v>18</v>
      </c>
      <c r="AC42" s="75">
        <f t="shared" si="56"/>
        <v>0.9</v>
      </c>
      <c r="AD42" s="75">
        <f t="shared" si="51"/>
        <v>1.7</v>
      </c>
      <c r="AE42" s="629">
        <f t="shared" si="71"/>
        <v>22.345382386916235</v>
      </c>
      <c r="AF42" s="630"/>
      <c r="AG42" s="117">
        <v>4</v>
      </c>
      <c r="AH42" s="99" t="s">
        <v>40</v>
      </c>
      <c r="AI42" s="100">
        <v>35</v>
      </c>
      <c r="AJ42" s="174">
        <v>2</v>
      </c>
      <c r="AK42" s="61">
        <f t="shared" si="72"/>
        <v>0.3</v>
      </c>
      <c r="AL42" s="139" t="s">
        <v>40</v>
      </c>
      <c r="AM42" s="176">
        <f t="shared" si="73"/>
        <v>35</v>
      </c>
      <c r="AN42" s="92">
        <f t="shared" si="74"/>
        <v>23.545382386916234</v>
      </c>
      <c r="AO42" s="75">
        <f t="shared" si="75"/>
        <v>1.6</v>
      </c>
      <c r="AP42" s="152">
        <f t="shared" si="76"/>
        <v>2</v>
      </c>
      <c r="AQ42" s="151">
        <f t="shared" si="77"/>
        <v>27.545382386916234</v>
      </c>
      <c r="AR42" s="75">
        <f t="shared" si="86"/>
        <v>380.64599999999996</v>
      </c>
      <c r="AS42" s="75" t="s">
        <v>18</v>
      </c>
      <c r="AT42" s="75">
        <f t="shared" si="84"/>
        <v>169.02317692083329</v>
      </c>
      <c r="AU42" s="165">
        <f t="shared" si="78"/>
        <v>3.9919234974563014</v>
      </c>
      <c r="AV42" s="96">
        <f t="shared" si="79"/>
        <v>0.76005959843572735</v>
      </c>
      <c r="AW42" s="96" t="s">
        <v>18</v>
      </c>
      <c r="AX42" s="75">
        <f t="shared" si="80"/>
        <v>230.04194583750206</v>
      </c>
      <c r="AY42" s="96">
        <f t="shared" si="81"/>
        <v>246.2713468515968</v>
      </c>
      <c r="AZ42" s="165">
        <f t="shared" si="82"/>
        <v>247.1798117708247</v>
      </c>
      <c r="BA42" s="796" t="s">
        <v>18</v>
      </c>
      <c r="BB42" s="797"/>
      <c r="BC42" s="145">
        <f t="shared" si="85"/>
        <v>1277.9142644766489</v>
      </c>
      <c r="BG42" s="182">
        <v>386.36</v>
      </c>
      <c r="BH42" s="179" t="e">
        <v>#VALUE!</v>
      </c>
      <c r="BI42" s="182">
        <v>174.43</v>
      </c>
      <c r="BJ42" s="182">
        <v>237.4</v>
      </c>
      <c r="BK42" s="182">
        <v>255.09</v>
      </c>
      <c r="BL42" s="182">
        <v>253.66</v>
      </c>
      <c r="BM42" s="182">
        <v>4.12</v>
      </c>
      <c r="BN42" s="182">
        <v>0.8</v>
      </c>
      <c r="BO42" s="179" t="e">
        <v>#VALUE!</v>
      </c>
    </row>
    <row r="43" spans="1:67" s="5" customFormat="1" ht="12" customHeight="1" x14ac:dyDescent="0.25">
      <c r="A43" s="117">
        <v>4</v>
      </c>
      <c r="B43" s="99" t="s">
        <v>40</v>
      </c>
      <c r="C43" s="100">
        <v>50</v>
      </c>
      <c r="D43" s="670" t="s">
        <v>18</v>
      </c>
      <c r="E43" s="671"/>
      <c r="F43" s="672"/>
      <c r="G43" s="105">
        <v>7.3</v>
      </c>
      <c r="H43" s="106">
        <v>9.6</v>
      </c>
      <c r="I43" s="106">
        <v>2</v>
      </c>
      <c r="J43" s="106">
        <v>49.7</v>
      </c>
      <c r="K43" s="106">
        <v>26.23</v>
      </c>
      <c r="L43" s="75">
        <f t="shared" si="83"/>
        <v>1.07</v>
      </c>
      <c r="M43" s="75">
        <f t="shared" si="64"/>
        <v>1.3</v>
      </c>
      <c r="N43" s="104">
        <f t="shared" si="65"/>
        <v>9.44</v>
      </c>
      <c r="O43" s="99" t="s">
        <v>40</v>
      </c>
      <c r="P43" s="99">
        <f t="shared" si="66"/>
        <v>11.74</v>
      </c>
      <c r="Q43" s="104">
        <f t="shared" si="67"/>
        <v>9.9</v>
      </c>
      <c r="R43" s="99" t="s">
        <v>40</v>
      </c>
      <c r="S43" s="101">
        <f t="shared" si="68"/>
        <v>12.2</v>
      </c>
      <c r="T43" s="628">
        <f t="shared" si="69"/>
        <v>22.533809511662426</v>
      </c>
      <c r="U43" s="628"/>
      <c r="V43" s="127">
        <f t="shared" si="70"/>
        <v>2.7338095116624261</v>
      </c>
      <c r="W43" s="136">
        <v>1</v>
      </c>
      <c r="X43" s="132" t="s">
        <v>18</v>
      </c>
      <c r="Y43" s="132" t="s">
        <v>18</v>
      </c>
      <c r="Z43" s="132" t="s">
        <v>18</v>
      </c>
      <c r="AA43" s="132" t="s">
        <v>18</v>
      </c>
      <c r="AB43" s="132" t="s">
        <v>18</v>
      </c>
      <c r="AC43" s="75">
        <f t="shared" si="56"/>
        <v>0.9</v>
      </c>
      <c r="AD43" s="75">
        <f t="shared" si="51"/>
        <v>1.7</v>
      </c>
      <c r="AE43" s="629">
        <f t="shared" si="71"/>
        <v>25.933809511662425</v>
      </c>
      <c r="AF43" s="630"/>
      <c r="AG43" s="117">
        <v>4</v>
      </c>
      <c r="AH43" s="99" t="s">
        <v>40</v>
      </c>
      <c r="AI43" s="100">
        <v>50</v>
      </c>
      <c r="AJ43" s="174">
        <v>2</v>
      </c>
      <c r="AK43" s="61">
        <f t="shared" si="72"/>
        <v>0.3</v>
      </c>
      <c r="AL43" s="139" t="s">
        <v>40</v>
      </c>
      <c r="AM43" s="176">
        <f t="shared" si="73"/>
        <v>35</v>
      </c>
      <c r="AN43" s="92">
        <f t="shared" si="74"/>
        <v>27.133809511662424</v>
      </c>
      <c r="AO43" s="75">
        <f t="shared" si="75"/>
        <v>1.6</v>
      </c>
      <c r="AP43" s="152">
        <f t="shared" si="76"/>
        <v>2</v>
      </c>
      <c r="AQ43" s="151">
        <f t="shared" si="77"/>
        <v>31.133809511662424</v>
      </c>
      <c r="AR43" s="75">
        <f t="shared" si="86"/>
        <v>543.78</v>
      </c>
      <c r="AS43" s="75" t="s">
        <v>18</v>
      </c>
      <c r="AT43" s="75">
        <f t="shared" si="84"/>
        <v>227.59653493307789</v>
      </c>
      <c r="AU43" s="165">
        <f t="shared" si="78"/>
        <v>8.2177782395650514</v>
      </c>
      <c r="AV43" s="96">
        <f t="shared" si="79"/>
        <v>0.83829682990945953</v>
      </c>
      <c r="AW43" s="96" t="s">
        <v>18</v>
      </c>
      <c r="AX43" s="75">
        <f t="shared" si="80"/>
        <v>227.42735527767863</v>
      </c>
      <c r="AY43" s="96">
        <f t="shared" si="81"/>
        <v>284.78570961915568</v>
      </c>
      <c r="AZ43" s="165">
        <f t="shared" si="82"/>
        <v>281.90181075340325</v>
      </c>
      <c r="BA43" s="796" t="s">
        <v>18</v>
      </c>
      <c r="BB43" s="797"/>
      <c r="BC43" s="145">
        <f t="shared" si="85"/>
        <v>1574.5474856527901</v>
      </c>
      <c r="BG43" s="182">
        <v>551.94000000000005</v>
      </c>
      <c r="BH43" s="179" t="e">
        <v>#VALUE!</v>
      </c>
      <c r="BI43" s="182">
        <v>234.88</v>
      </c>
      <c r="BJ43" s="182">
        <v>234.71</v>
      </c>
      <c r="BK43" s="182">
        <v>290.92</v>
      </c>
      <c r="BL43" s="182">
        <v>293.33</v>
      </c>
      <c r="BM43" s="182">
        <v>8.48</v>
      </c>
      <c r="BN43" s="182">
        <v>0.88</v>
      </c>
      <c r="BO43" s="179" t="e">
        <v>#VALUE!</v>
      </c>
    </row>
    <row r="44" spans="1:67" s="5" customFormat="1" ht="12" customHeight="1" x14ac:dyDescent="0.25">
      <c r="A44" s="117">
        <v>5</v>
      </c>
      <c r="B44" s="99" t="s">
        <v>40</v>
      </c>
      <c r="C44" s="100">
        <v>25</v>
      </c>
      <c r="D44" s="670" t="s">
        <v>18</v>
      </c>
      <c r="E44" s="671"/>
      <c r="F44" s="672"/>
      <c r="G44" s="105">
        <v>5.8</v>
      </c>
      <c r="H44" s="106">
        <v>6.74</v>
      </c>
      <c r="I44" s="106">
        <v>1.2</v>
      </c>
      <c r="J44" s="106">
        <v>26.37</v>
      </c>
      <c r="K44" s="106">
        <v>19.399999999999999</v>
      </c>
      <c r="L44" s="75">
        <f t="shared" si="83"/>
        <v>0.89000000000000012</v>
      </c>
      <c r="M44" s="75">
        <f t="shared" si="64"/>
        <v>1.1000000000000001</v>
      </c>
      <c r="N44" s="104">
        <f t="shared" si="65"/>
        <v>7.58</v>
      </c>
      <c r="O44" s="99" t="s">
        <v>40</v>
      </c>
      <c r="P44" s="99">
        <f t="shared" si="66"/>
        <v>8.52</v>
      </c>
      <c r="Q44" s="104">
        <f t="shared" si="67"/>
        <v>8</v>
      </c>
      <c r="R44" s="99" t="s">
        <v>40</v>
      </c>
      <c r="S44" s="101">
        <f t="shared" si="68"/>
        <v>8.9400000000000013</v>
      </c>
      <c r="T44" s="628">
        <f t="shared" si="69"/>
        <v>19.225987436838768</v>
      </c>
      <c r="U44" s="628"/>
      <c r="V44" s="127">
        <f t="shared" si="70"/>
        <v>3.2259874368387664</v>
      </c>
      <c r="W44" s="136" t="s">
        <v>18</v>
      </c>
      <c r="X44" s="140">
        <v>2</v>
      </c>
      <c r="Y44" s="149">
        <v>3.5000000000000003E-2</v>
      </c>
      <c r="Z44" s="139" t="s">
        <v>40</v>
      </c>
      <c r="AA44" s="138">
        <f t="shared" ref="AA44:AA46" si="87">IF(T44&lt;=28,50,60)</f>
        <v>50</v>
      </c>
      <c r="AB44" s="93">
        <f>T44+2*X44*Y44</f>
        <v>19.365987436838768</v>
      </c>
      <c r="AC44" s="86">
        <f t="shared" ref="AC44:AC46" si="88">IF(AB44&lt;=60,0.9,1)</f>
        <v>0.9</v>
      </c>
      <c r="AD44" s="86">
        <f t="shared" ref="AD44:AD46" si="89">IF(AB44&lt;=25,1.7,IF(AND(AB44&gt;25,AB44&lt;=35),2,IF(AND(AB44&gt;35,AB44&lt;=45),2.2,IF(AND(AB44&gt;45,AB44&lt;=60),2.4,IF(AND(AB44&gt;60,AB44&lt;=80),2.5,2.7)))))</f>
        <v>1.7</v>
      </c>
      <c r="AE44" s="629">
        <f t="shared" ref="AE44:AE46" si="90">AB44+2*AD44</f>
        <v>22.765987436838767</v>
      </c>
      <c r="AF44" s="630"/>
      <c r="AG44" s="117">
        <v>5</v>
      </c>
      <c r="AH44" s="99" t="s">
        <v>40</v>
      </c>
      <c r="AI44" s="100">
        <v>25</v>
      </c>
      <c r="AJ44" s="174">
        <v>2</v>
      </c>
      <c r="AK44" s="61">
        <f t="shared" si="72"/>
        <v>0.3</v>
      </c>
      <c r="AL44" s="139" t="s">
        <v>40</v>
      </c>
      <c r="AM44" s="176">
        <f t="shared" si="73"/>
        <v>35</v>
      </c>
      <c r="AN44" s="92">
        <f t="shared" si="74"/>
        <v>23.965987436838766</v>
      </c>
      <c r="AO44" s="75">
        <f t="shared" si="75"/>
        <v>1.6</v>
      </c>
      <c r="AP44" s="152">
        <f t="shared" si="76"/>
        <v>2</v>
      </c>
      <c r="AQ44" s="151">
        <f t="shared" si="77"/>
        <v>27.965987436838766</v>
      </c>
      <c r="AR44" s="75">
        <f t="shared" si="86"/>
        <v>339.86249999999995</v>
      </c>
      <c r="AS44" s="75" t="s">
        <v>18</v>
      </c>
      <c r="AT44" s="75">
        <f t="shared" si="84"/>
        <v>181.49984127604159</v>
      </c>
      <c r="AU44" s="165">
        <f t="shared" si="78"/>
        <v>11.443088600212091</v>
      </c>
      <c r="AV44" s="96" t="s">
        <v>18</v>
      </c>
      <c r="AW44" s="96">
        <f>PI()*(T44+X44*Y44)*X44*Y44*1.11*1.4</f>
        <v>6.5942579997887911</v>
      </c>
      <c r="AX44" s="96">
        <f t="shared" ref="AX44:AX46" si="91">PI()*(AB44+AD44)*AD44*1.07*$BF$9</f>
        <v>168.53590144441279</v>
      </c>
      <c r="AY44" s="96">
        <f t="shared" si="81"/>
        <v>250.78567441390715</v>
      </c>
      <c r="AZ44" s="165">
        <f t="shared" si="82"/>
        <v>251.24963055431482</v>
      </c>
      <c r="BA44" s="796" t="s">
        <v>18</v>
      </c>
      <c r="BB44" s="797"/>
      <c r="BC44" s="145">
        <f t="shared" si="85"/>
        <v>1209.9708942886771</v>
      </c>
      <c r="BG44" s="182">
        <v>344.96</v>
      </c>
      <c r="BH44" s="179" t="e">
        <v>#VALUE!</v>
      </c>
      <c r="BI44" s="182">
        <v>187.31</v>
      </c>
      <c r="BJ44" s="182">
        <v>173.93</v>
      </c>
      <c r="BK44" s="182">
        <v>259.29000000000002</v>
      </c>
      <c r="BL44" s="182">
        <v>258.31</v>
      </c>
      <c r="BM44" s="182">
        <v>11.81</v>
      </c>
      <c r="BN44" s="179" t="e">
        <v>#VALUE!</v>
      </c>
      <c r="BO44" s="182">
        <v>6.92</v>
      </c>
    </row>
    <row r="45" spans="1:67" ht="12" customHeight="1" x14ac:dyDescent="0.25">
      <c r="A45" s="117">
        <v>5</v>
      </c>
      <c r="B45" s="99" t="s">
        <v>40</v>
      </c>
      <c r="C45" s="100">
        <v>35</v>
      </c>
      <c r="D45" s="670" t="s">
        <v>18</v>
      </c>
      <c r="E45" s="671"/>
      <c r="F45" s="672"/>
      <c r="G45" s="105">
        <v>6.89</v>
      </c>
      <c r="H45" s="106">
        <v>8.1300000000000008</v>
      </c>
      <c r="I45" s="106">
        <v>1.2</v>
      </c>
      <c r="J45" s="106">
        <v>36.67</v>
      </c>
      <c r="K45" s="106">
        <v>23.16</v>
      </c>
      <c r="L45" s="75">
        <f t="shared" si="83"/>
        <v>0.89000000000000012</v>
      </c>
      <c r="M45" s="75">
        <f t="shared" si="64"/>
        <v>1.1000000000000001</v>
      </c>
      <c r="N45" s="104">
        <f t="shared" si="65"/>
        <v>8.67</v>
      </c>
      <c r="O45" s="99" t="s">
        <v>40</v>
      </c>
      <c r="P45" s="99">
        <f t="shared" si="66"/>
        <v>9.91</v>
      </c>
      <c r="Q45" s="104">
        <f t="shared" si="67"/>
        <v>9.09</v>
      </c>
      <c r="R45" s="99" t="s">
        <v>40</v>
      </c>
      <c r="S45" s="101">
        <f t="shared" si="68"/>
        <v>10.330000000000002</v>
      </c>
      <c r="T45" s="628">
        <f t="shared" si="69"/>
        <v>21.405987436838767</v>
      </c>
      <c r="U45" s="628"/>
      <c r="V45" s="127">
        <f t="shared" si="70"/>
        <v>3.2259874368387664</v>
      </c>
      <c r="W45" s="136" t="s">
        <v>18</v>
      </c>
      <c r="X45" s="140">
        <v>2</v>
      </c>
      <c r="Y45" s="149">
        <v>3.5000000000000003E-2</v>
      </c>
      <c r="Z45" s="139" t="s">
        <v>40</v>
      </c>
      <c r="AA45" s="138">
        <f t="shared" si="87"/>
        <v>50</v>
      </c>
      <c r="AB45" s="93">
        <f>T45+2*X45*Y45</f>
        <v>21.545987436838768</v>
      </c>
      <c r="AC45" s="86">
        <f t="shared" si="88"/>
        <v>0.9</v>
      </c>
      <c r="AD45" s="86">
        <f t="shared" si="89"/>
        <v>1.7</v>
      </c>
      <c r="AE45" s="629">
        <f t="shared" si="90"/>
        <v>24.945987436838767</v>
      </c>
      <c r="AF45" s="630"/>
      <c r="AG45" s="117">
        <v>5</v>
      </c>
      <c r="AH45" s="99" t="s">
        <v>40</v>
      </c>
      <c r="AI45" s="100">
        <v>35</v>
      </c>
      <c r="AJ45" s="174">
        <v>2</v>
      </c>
      <c r="AK45" s="61">
        <f t="shared" si="72"/>
        <v>0.3</v>
      </c>
      <c r="AL45" s="139" t="s">
        <v>40</v>
      </c>
      <c r="AM45" s="176">
        <f t="shared" si="73"/>
        <v>35</v>
      </c>
      <c r="AN45" s="92">
        <f t="shared" si="74"/>
        <v>26.145987436838766</v>
      </c>
      <c r="AO45" s="75">
        <f t="shared" si="75"/>
        <v>1.6</v>
      </c>
      <c r="AP45" s="152">
        <f t="shared" si="76"/>
        <v>2</v>
      </c>
      <c r="AQ45" s="151">
        <f t="shared" si="77"/>
        <v>30.145987436838766</v>
      </c>
      <c r="AR45" s="75">
        <f t="shared" si="86"/>
        <v>475.8075</v>
      </c>
      <c r="AS45" s="75" t="s">
        <v>18</v>
      </c>
      <c r="AT45" s="75">
        <f t="shared" si="84"/>
        <v>211.35838216404164</v>
      </c>
      <c r="AU45" s="165">
        <f t="shared" si="78"/>
        <v>11.443088600212091</v>
      </c>
      <c r="AV45" s="96" t="s">
        <v>18</v>
      </c>
      <c r="AW45" s="96">
        <f>PI()*(T45+X45*Y45)*X45*Y45*1.11*1.4</f>
        <v>7.3392565382981365</v>
      </c>
      <c r="AX45" s="96">
        <f t="shared" si="91"/>
        <v>185.97672952097005</v>
      </c>
      <c r="AY45" s="96">
        <f t="shared" si="81"/>
        <v>274.18347738286576</v>
      </c>
      <c r="AZ45" s="165">
        <f t="shared" si="82"/>
        <v>272.34354026757808</v>
      </c>
      <c r="BA45" s="796" t="s">
        <v>18</v>
      </c>
      <c r="BB45" s="797"/>
      <c r="BC45" s="145">
        <f t="shared" si="85"/>
        <v>1438.4519744739659</v>
      </c>
      <c r="BG45" s="182">
        <v>482.94</v>
      </c>
      <c r="BH45" s="179" t="e">
        <v>#VALUE!</v>
      </c>
      <c r="BI45" s="182">
        <v>218.12</v>
      </c>
      <c r="BJ45" s="182">
        <v>191.93</v>
      </c>
      <c r="BK45" s="182">
        <v>281.06</v>
      </c>
      <c r="BL45" s="182">
        <v>282.41000000000003</v>
      </c>
      <c r="BM45" s="182">
        <v>11.81</v>
      </c>
      <c r="BN45" s="179" t="e">
        <v>#VALUE!</v>
      </c>
      <c r="BO45" s="182">
        <v>7.71</v>
      </c>
    </row>
    <row r="46" spans="1:67" ht="12" customHeight="1" thickBot="1" x14ac:dyDescent="0.3">
      <c r="A46" s="118">
        <v>5</v>
      </c>
      <c r="B46" s="119" t="s">
        <v>40</v>
      </c>
      <c r="C46" s="120">
        <v>50</v>
      </c>
      <c r="D46" s="789" t="s">
        <v>18</v>
      </c>
      <c r="E46" s="790"/>
      <c r="F46" s="791"/>
      <c r="G46" s="121">
        <v>7.78</v>
      </c>
      <c r="H46" s="122">
        <v>9.64</v>
      </c>
      <c r="I46" s="122">
        <v>2.02</v>
      </c>
      <c r="J46" s="122">
        <v>51.49</v>
      </c>
      <c r="K46" s="122">
        <v>27.19</v>
      </c>
      <c r="L46" s="123">
        <f t="shared" si="83"/>
        <v>1.07</v>
      </c>
      <c r="M46" s="123">
        <f t="shared" si="64"/>
        <v>1.3</v>
      </c>
      <c r="N46" s="124">
        <f t="shared" si="65"/>
        <v>9.92</v>
      </c>
      <c r="O46" s="119" t="s">
        <v>40</v>
      </c>
      <c r="P46" s="119">
        <f t="shared" si="66"/>
        <v>11.780000000000001</v>
      </c>
      <c r="Q46" s="124">
        <f t="shared" si="67"/>
        <v>10.38</v>
      </c>
      <c r="R46" s="119" t="s">
        <v>40</v>
      </c>
      <c r="S46" s="125">
        <f t="shared" si="68"/>
        <v>12.24</v>
      </c>
      <c r="T46" s="795">
        <f t="shared" si="69"/>
        <v>25.416642734915094</v>
      </c>
      <c r="U46" s="795"/>
      <c r="V46" s="129">
        <f t="shared" si="70"/>
        <v>4.6566427349150903</v>
      </c>
      <c r="W46" s="137" t="s">
        <v>18</v>
      </c>
      <c r="X46" s="140">
        <v>2</v>
      </c>
      <c r="Y46" s="149">
        <v>3.5000000000000003E-2</v>
      </c>
      <c r="Z46" s="139" t="s">
        <v>40</v>
      </c>
      <c r="AA46" s="138">
        <f t="shared" si="87"/>
        <v>50</v>
      </c>
      <c r="AB46" s="93">
        <f>T46+2*X46*Y46</f>
        <v>25.556642734915094</v>
      </c>
      <c r="AC46" s="86">
        <f t="shared" si="88"/>
        <v>0.9</v>
      </c>
      <c r="AD46" s="86">
        <f t="shared" si="89"/>
        <v>2</v>
      </c>
      <c r="AE46" s="629">
        <f t="shared" si="90"/>
        <v>29.556642734915094</v>
      </c>
      <c r="AF46" s="630"/>
      <c r="AG46" s="118">
        <v>5</v>
      </c>
      <c r="AH46" s="119" t="s">
        <v>40</v>
      </c>
      <c r="AI46" s="120">
        <v>50</v>
      </c>
      <c r="AJ46" s="174">
        <v>2</v>
      </c>
      <c r="AK46" s="61">
        <f t="shared" si="72"/>
        <v>0.3</v>
      </c>
      <c r="AL46" s="139" t="s">
        <v>40</v>
      </c>
      <c r="AM46" s="176">
        <f t="shared" si="73"/>
        <v>40</v>
      </c>
      <c r="AN46" s="92">
        <f t="shared" si="74"/>
        <v>30.756642734915093</v>
      </c>
      <c r="AO46" s="123">
        <f t="shared" si="75"/>
        <v>1.77</v>
      </c>
      <c r="AP46" s="152">
        <f t="shared" si="76"/>
        <v>2.2000000000000002</v>
      </c>
      <c r="AQ46" s="151">
        <f t="shared" si="77"/>
        <v>35.156642734915096</v>
      </c>
      <c r="AR46" s="75">
        <f t="shared" si="86"/>
        <v>679.72499999999991</v>
      </c>
      <c r="AS46" s="75" t="s">
        <v>18</v>
      </c>
      <c r="AT46" s="75">
        <f t="shared" si="84"/>
        <v>293.50520905034745</v>
      </c>
      <c r="AU46" s="165">
        <f t="shared" si="78"/>
        <v>23.843156859542127</v>
      </c>
      <c r="AV46" s="96" t="s">
        <v>18</v>
      </c>
      <c r="AW46" s="96">
        <f>PI()*(T46+X46*Y46)*X46*Y46*1.11*1.4</f>
        <v>8.7098677013860382</v>
      </c>
      <c r="AX46" s="96">
        <f t="shared" si="91"/>
        <v>259.36895213532898</v>
      </c>
      <c r="AY46" s="96">
        <f t="shared" si="81"/>
        <v>323.66935087927658</v>
      </c>
      <c r="AZ46" s="165">
        <f t="shared" si="82"/>
        <v>350.78114262973924</v>
      </c>
      <c r="BA46" s="786" t="s">
        <v>18</v>
      </c>
      <c r="BB46" s="787"/>
      <c r="BC46" s="145">
        <f t="shared" si="85"/>
        <v>1939.6026792556204</v>
      </c>
      <c r="BG46" s="182">
        <v>689.92</v>
      </c>
      <c r="BH46" s="179" t="e">
        <v>#VALUE!</v>
      </c>
      <c r="BI46" s="182">
        <v>302.89999999999998</v>
      </c>
      <c r="BJ46" s="182">
        <v>267.67</v>
      </c>
      <c r="BK46" s="182">
        <v>362.01</v>
      </c>
      <c r="BL46" s="182">
        <v>333.38</v>
      </c>
      <c r="BM46" s="182">
        <v>24.61</v>
      </c>
      <c r="BN46" s="179" t="e">
        <v>#VALUE!</v>
      </c>
      <c r="BO46" s="182">
        <v>9.15</v>
      </c>
    </row>
    <row r="47" spans="1:67" ht="12" customHeight="1" x14ac:dyDescent="0.25"/>
    <row r="48" spans="1:67" ht="12" customHeight="1" x14ac:dyDescent="0.25">
      <c r="W48" s="131"/>
    </row>
  </sheetData>
  <mergeCells count="185">
    <mergeCell ref="AE41:AF41"/>
    <mergeCell ref="BA40:BB40"/>
    <mergeCell ref="BA41:BB41"/>
    <mergeCell ref="BA42:BB42"/>
    <mergeCell ref="BA43:BB43"/>
    <mergeCell ref="BA26:BB26"/>
    <mergeCell ref="BA11:BB11"/>
    <mergeCell ref="BA44:BB44"/>
    <mergeCell ref="BA45:BB45"/>
    <mergeCell ref="BA27:BB27"/>
    <mergeCell ref="AE20:AF20"/>
    <mergeCell ref="BA20:BB20"/>
    <mergeCell ref="AE15:AF15"/>
    <mergeCell ref="BA46:BB46"/>
    <mergeCell ref="BA38:BB38"/>
    <mergeCell ref="I7:I12"/>
    <mergeCell ref="D42:F42"/>
    <mergeCell ref="D43:F43"/>
    <mergeCell ref="D44:F44"/>
    <mergeCell ref="D45:F45"/>
    <mergeCell ref="D46:F46"/>
    <mergeCell ref="D38:F38"/>
    <mergeCell ref="T38:U38"/>
    <mergeCell ref="AE38:AF38"/>
    <mergeCell ref="T42:U42"/>
    <mergeCell ref="AE42:AF42"/>
    <mergeCell ref="T43:U43"/>
    <mergeCell ref="AE43:AF43"/>
    <mergeCell ref="T44:U44"/>
    <mergeCell ref="AE44:AF44"/>
    <mergeCell ref="T39:U39"/>
    <mergeCell ref="AE39:AF39"/>
    <mergeCell ref="T45:U45"/>
    <mergeCell ref="AE45:AF45"/>
    <mergeCell ref="T46:U46"/>
    <mergeCell ref="AE46:AF46"/>
    <mergeCell ref="D40:F40"/>
    <mergeCell ref="D41:F41"/>
    <mergeCell ref="T41:U41"/>
    <mergeCell ref="AS4:AU5"/>
    <mergeCell ref="BA4:BB5"/>
    <mergeCell ref="A13:AF13"/>
    <mergeCell ref="AG13:BC13"/>
    <mergeCell ref="A6:C12"/>
    <mergeCell ref="D6:F12"/>
    <mergeCell ref="T28:U28"/>
    <mergeCell ref="BA39:BB39"/>
    <mergeCell ref="X6:AB7"/>
    <mergeCell ref="V6:V12"/>
    <mergeCell ref="AC10:AC12"/>
    <mergeCell ref="AD10:AD12"/>
    <mergeCell ref="AC6:AD9"/>
    <mergeCell ref="AE28:AF28"/>
    <mergeCell ref="BA28:BB28"/>
    <mergeCell ref="T29:U29"/>
    <mergeCell ref="AE29:AF29"/>
    <mergeCell ref="BA29:BB29"/>
    <mergeCell ref="T26:U26"/>
    <mergeCell ref="AE26:AF26"/>
    <mergeCell ref="T27:U27"/>
    <mergeCell ref="AE27:AF27"/>
    <mergeCell ref="AD1:AF1"/>
    <mergeCell ref="BA3:BB3"/>
    <mergeCell ref="J7:J12"/>
    <mergeCell ref="K7:K12"/>
    <mergeCell ref="G6:K6"/>
    <mergeCell ref="W6:W12"/>
    <mergeCell ref="X8:X12"/>
    <mergeCell ref="Y8:AA12"/>
    <mergeCell ref="AB8:AB12"/>
    <mergeCell ref="L6:S6"/>
    <mergeCell ref="AQ1:BA2"/>
    <mergeCell ref="A4:L5"/>
    <mergeCell ref="M4:S5"/>
    <mergeCell ref="T4:W5"/>
    <mergeCell ref="X4:AE5"/>
    <mergeCell ref="AF4:AF5"/>
    <mergeCell ref="AG4:AR5"/>
    <mergeCell ref="AV4:AZ5"/>
    <mergeCell ref="A3:L3"/>
    <mergeCell ref="M3:S3"/>
    <mergeCell ref="T3:W3"/>
    <mergeCell ref="X3:AE3"/>
    <mergeCell ref="AG3:AR3"/>
    <mergeCell ref="AS3:AU3"/>
    <mergeCell ref="T40:U40"/>
    <mergeCell ref="AE40:AF40"/>
    <mergeCell ref="BB1:BC1"/>
    <mergeCell ref="AD2:AF2"/>
    <mergeCell ref="BB2:BC2"/>
    <mergeCell ref="G7:G12"/>
    <mergeCell ref="H7:H12"/>
    <mergeCell ref="L7:M8"/>
    <mergeCell ref="L9:L12"/>
    <mergeCell ref="M9:M12"/>
    <mergeCell ref="N9:P12"/>
    <mergeCell ref="Q9:S12"/>
    <mergeCell ref="BC4:BC5"/>
    <mergeCell ref="AE6:AF12"/>
    <mergeCell ref="AR6:AZ6"/>
    <mergeCell ref="T6:U12"/>
    <mergeCell ref="BA6:BB6"/>
    <mergeCell ref="N7:S8"/>
    <mergeCell ref="AR7:AZ7"/>
    <mergeCell ref="BA7:BB7"/>
    <mergeCell ref="BA10:BB10"/>
    <mergeCell ref="I1:AC2"/>
    <mergeCell ref="AV3:AZ3"/>
    <mergeCell ref="T20:U20"/>
    <mergeCell ref="T21:U21"/>
    <mergeCell ref="AE21:AF21"/>
    <mergeCell ref="BA21:BB21"/>
    <mergeCell ref="T22:U22"/>
    <mergeCell ref="AE22:AF22"/>
    <mergeCell ref="BA22:BB22"/>
    <mergeCell ref="T19:U19"/>
    <mergeCell ref="AE19:AF19"/>
    <mergeCell ref="BA19:BB19"/>
    <mergeCell ref="T32:U32"/>
    <mergeCell ref="AE32:AF32"/>
    <mergeCell ref="A37:AF37"/>
    <mergeCell ref="D39:F39"/>
    <mergeCell ref="BA31:BB31"/>
    <mergeCell ref="BA33:BB33"/>
    <mergeCell ref="BA34:BB34"/>
    <mergeCell ref="BA35:BB35"/>
    <mergeCell ref="BA36:BB36"/>
    <mergeCell ref="T33:U33"/>
    <mergeCell ref="T34:U34"/>
    <mergeCell ref="T35:U35"/>
    <mergeCell ref="T36:U36"/>
    <mergeCell ref="AE33:AF33"/>
    <mergeCell ref="AE34:AF34"/>
    <mergeCell ref="AE35:AF35"/>
    <mergeCell ref="AE36:AF36"/>
    <mergeCell ref="BA32:BB32"/>
    <mergeCell ref="AG37:BC37"/>
    <mergeCell ref="T17:U17"/>
    <mergeCell ref="AW8:AW12"/>
    <mergeCell ref="AX8:AX12"/>
    <mergeCell ref="AZ8:AZ12"/>
    <mergeCell ref="BA8:BB8"/>
    <mergeCell ref="BA9:BB9"/>
    <mergeCell ref="BA12:BB12"/>
    <mergeCell ref="AT8:AT12"/>
    <mergeCell ref="AG6:AI12"/>
    <mergeCell ref="AO6:AP8"/>
    <mergeCell ref="AO9:AO12"/>
    <mergeCell ref="AP9:AP12"/>
    <mergeCell ref="AQ6:AQ12"/>
    <mergeCell ref="AU8:AU12"/>
    <mergeCell ref="AV8:AV12"/>
    <mergeCell ref="AJ6:AN7"/>
    <mergeCell ref="AJ8:AJ12"/>
    <mergeCell ref="AK8:AM12"/>
    <mergeCell ref="AN8:AN12"/>
    <mergeCell ref="AY8:AY12"/>
    <mergeCell ref="T14:U14"/>
    <mergeCell ref="AE14:AF14"/>
    <mergeCell ref="BA14:BB14"/>
    <mergeCell ref="T15:U15"/>
    <mergeCell ref="BE14:BE24"/>
    <mergeCell ref="BE26:BE36"/>
    <mergeCell ref="T23:U23"/>
    <mergeCell ref="AE23:AF23"/>
    <mergeCell ref="BA23:BB23"/>
    <mergeCell ref="T24:U24"/>
    <mergeCell ref="AE24:AF24"/>
    <mergeCell ref="BA24:BB24"/>
    <mergeCell ref="A25:AF25"/>
    <mergeCell ref="AG25:BC25"/>
    <mergeCell ref="BA15:BB15"/>
    <mergeCell ref="T16:U16"/>
    <mergeCell ref="AE16:AF16"/>
    <mergeCell ref="BA16:BB16"/>
    <mergeCell ref="T30:U30"/>
    <mergeCell ref="AE30:AF30"/>
    <mergeCell ref="BA30:BB30"/>
    <mergeCell ref="T31:U31"/>
    <mergeCell ref="AE31:AF31"/>
    <mergeCell ref="AE17:AF17"/>
    <mergeCell ref="BA17:BB17"/>
    <mergeCell ref="T18:U18"/>
    <mergeCell ref="AE18:AF18"/>
    <mergeCell ref="BA18:B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S169"/>
  <sheetViews>
    <sheetView zoomScale="80" zoomScaleNormal="80" workbookViewId="0">
      <pane xSplit="6" ySplit="9" topLeftCell="S49" activePane="bottomRight" state="frozen"/>
      <selection pane="topRight" activeCell="D1" sqref="D1"/>
      <selection pane="bottomLeft" activeCell="A8" sqref="A8"/>
      <selection pane="bottomRight" activeCell="A10" sqref="A10:AS166"/>
    </sheetView>
  </sheetViews>
  <sheetFormatPr defaultColWidth="9.109375" defaultRowHeight="13.2" outlineLevelRow="2" x14ac:dyDescent="0.25"/>
  <cols>
    <col min="1" max="1" width="10.44140625" style="320" customWidth="1"/>
    <col min="2" max="2" width="52.6640625" style="206" customWidth="1"/>
    <col min="3" max="3" width="3.109375" style="291" bestFit="1" customWidth="1"/>
    <col min="4" max="4" width="2" style="206" bestFit="1" customWidth="1"/>
    <col min="5" max="5" width="4.33203125" style="286" bestFit="1" customWidth="1"/>
    <col min="6" max="6" width="3" style="206" bestFit="1" customWidth="1"/>
    <col min="7" max="7" width="4.6640625" style="206" bestFit="1" customWidth="1"/>
    <col min="8" max="8" width="2.109375" style="206" bestFit="1" customWidth="1"/>
    <col min="9" max="9" width="6" style="206" customWidth="1"/>
    <col min="10" max="10" width="7.33203125" style="206" customWidth="1"/>
    <col min="11" max="11" width="9.33203125" style="206" bestFit="1" customWidth="1"/>
    <col min="12" max="13" width="7.44140625" style="206" customWidth="1"/>
    <col min="14" max="14" width="8.33203125" style="206" customWidth="1"/>
    <col min="15" max="15" width="8.6640625" style="206" customWidth="1"/>
    <col min="16" max="19" width="9.33203125" style="206" bestFit="1" customWidth="1"/>
    <col min="20" max="20" width="10" style="206" customWidth="1"/>
    <col min="21" max="21" width="4.5546875" style="206" customWidth="1"/>
    <col min="22" max="22" width="4.6640625" style="206" bestFit="1" customWidth="1"/>
    <col min="23" max="23" width="2.109375" style="206" bestFit="1" customWidth="1"/>
    <col min="24" max="24" width="4.44140625" style="206" customWidth="1"/>
    <col min="25" max="25" width="8" style="206" customWidth="1"/>
    <col min="26" max="26" width="9.33203125" style="206" bestFit="1" customWidth="1"/>
    <col min="27" max="30" width="5.6640625" style="206" customWidth="1"/>
    <col min="31" max="37" width="9.109375" style="206" customWidth="1"/>
    <col min="38" max="38" width="9.33203125" style="206" bestFit="1" customWidth="1"/>
    <col min="39" max="39" width="12.109375" style="206" customWidth="1"/>
    <col min="40" max="40" width="10.5546875" style="206" bestFit="1" customWidth="1"/>
    <col min="41" max="41" width="11.6640625" style="206" bestFit="1" customWidth="1"/>
    <col min="42" max="45" width="11.6640625" style="206" customWidth="1"/>
    <col min="46" max="16384" width="9.109375" style="206"/>
  </cols>
  <sheetData>
    <row r="1" spans="1:45" ht="22.8" x14ac:dyDescent="0.25">
      <c r="A1" s="323" t="s">
        <v>124</v>
      </c>
      <c r="B1" s="205"/>
    </row>
    <row r="2" spans="1:45" x14ac:dyDescent="0.25">
      <c r="A2" s="302" t="s">
        <v>74</v>
      </c>
      <c r="B2" s="297"/>
      <c r="C2" s="297"/>
      <c r="D2" s="297"/>
      <c r="E2" s="297"/>
      <c r="F2" s="297"/>
    </row>
    <row r="3" spans="1:45" ht="12.75" customHeight="1" x14ac:dyDescent="0.25">
      <c r="A3" s="812" t="s">
        <v>122</v>
      </c>
      <c r="B3" s="812" t="s">
        <v>150</v>
      </c>
      <c r="C3" s="800" t="s">
        <v>44</v>
      </c>
      <c r="D3" s="801"/>
      <c r="E3" s="801"/>
      <c r="F3" s="801"/>
      <c r="G3" s="800" t="s">
        <v>27</v>
      </c>
      <c r="H3" s="801"/>
      <c r="I3" s="806"/>
      <c r="J3" s="809" t="s">
        <v>135</v>
      </c>
      <c r="K3" s="809" t="s">
        <v>127</v>
      </c>
      <c r="L3" s="819" t="s">
        <v>8</v>
      </c>
      <c r="M3" s="820"/>
      <c r="N3" s="820"/>
      <c r="O3" s="820"/>
      <c r="P3" s="825" t="s">
        <v>28</v>
      </c>
      <c r="Q3" s="830" t="s">
        <v>29</v>
      </c>
      <c r="R3" s="819" t="s">
        <v>128</v>
      </c>
      <c r="S3" s="820"/>
      <c r="T3" s="821"/>
      <c r="U3" s="825" t="s">
        <v>94</v>
      </c>
      <c r="V3" s="829"/>
      <c r="W3" s="829"/>
      <c r="X3" s="829"/>
      <c r="Y3" s="829"/>
      <c r="Z3" s="829"/>
      <c r="AA3" s="829" t="s">
        <v>131</v>
      </c>
      <c r="AB3" s="829"/>
      <c r="AC3" s="829"/>
      <c r="AD3" s="829"/>
      <c r="AE3" s="843" t="s">
        <v>30</v>
      </c>
      <c r="AF3" s="844"/>
      <c r="AG3" s="844"/>
      <c r="AH3" s="844"/>
      <c r="AI3" s="844"/>
      <c r="AJ3" s="844"/>
      <c r="AK3" s="845"/>
      <c r="AL3" s="830" t="s">
        <v>71</v>
      </c>
    </row>
    <row r="4" spans="1:45" x14ac:dyDescent="0.25">
      <c r="A4" s="813"/>
      <c r="B4" s="813"/>
      <c r="C4" s="802"/>
      <c r="D4" s="803"/>
      <c r="E4" s="803"/>
      <c r="F4" s="803"/>
      <c r="G4" s="802"/>
      <c r="H4" s="803"/>
      <c r="I4" s="807"/>
      <c r="J4" s="810"/>
      <c r="K4" s="810"/>
      <c r="L4" s="827"/>
      <c r="M4" s="828"/>
      <c r="N4" s="828"/>
      <c r="O4" s="828"/>
      <c r="P4" s="829"/>
      <c r="Q4" s="816"/>
      <c r="R4" s="822"/>
      <c r="S4" s="823"/>
      <c r="T4" s="824"/>
      <c r="U4" s="829"/>
      <c r="V4" s="829"/>
      <c r="W4" s="829"/>
      <c r="X4" s="829"/>
      <c r="Y4" s="829"/>
      <c r="Z4" s="829"/>
      <c r="AA4" s="829"/>
      <c r="AB4" s="829"/>
      <c r="AC4" s="829"/>
      <c r="AD4" s="829"/>
      <c r="AE4" s="846"/>
      <c r="AF4" s="847"/>
      <c r="AG4" s="847"/>
      <c r="AH4" s="847"/>
      <c r="AI4" s="847"/>
      <c r="AJ4" s="847"/>
      <c r="AK4" s="848"/>
      <c r="AL4" s="816"/>
    </row>
    <row r="5" spans="1:45" ht="13.5" customHeight="1" x14ac:dyDescent="0.25">
      <c r="A5" s="813"/>
      <c r="B5" s="813"/>
      <c r="C5" s="802"/>
      <c r="D5" s="803"/>
      <c r="E5" s="803"/>
      <c r="F5" s="803"/>
      <c r="G5" s="802"/>
      <c r="H5" s="803"/>
      <c r="I5" s="807"/>
      <c r="J5" s="810"/>
      <c r="K5" s="810"/>
      <c r="L5" s="831" t="s">
        <v>31</v>
      </c>
      <c r="M5" s="832"/>
      <c r="N5" s="835" t="s">
        <v>32</v>
      </c>
      <c r="O5" s="836"/>
      <c r="P5" s="829"/>
      <c r="Q5" s="816"/>
      <c r="R5" s="826" t="s">
        <v>31</v>
      </c>
      <c r="S5" s="826"/>
      <c r="T5" s="826" t="s">
        <v>32</v>
      </c>
      <c r="U5" s="839" t="s">
        <v>129</v>
      </c>
      <c r="V5" s="800" t="s">
        <v>93</v>
      </c>
      <c r="W5" s="801"/>
      <c r="X5" s="806"/>
      <c r="Y5" s="839" t="s">
        <v>130</v>
      </c>
      <c r="Z5" s="825" t="s">
        <v>95</v>
      </c>
      <c r="AA5" s="831" t="s">
        <v>31</v>
      </c>
      <c r="AB5" s="832"/>
      <c r="AC5" s="835" t="s">
        <v>32</v>
      </c>
      <c r="AD5" s="836"/>
      <c r="AE5" s="841" t="s">
        <v>123</v>
      </c>
      <c r="AF5" s="841" t="s">
        <v>17</v>
      </c>
      <c r="AG5" s="841" t="s">
        <v>132</v>
      </c>
      <c r="AH5" s="841" t="s">
        <v>133</v>
      </c>
      <c r="AI5" s="841" t="s">
        <v>134</v>
      </c>
      <c r="AJ5" s="841" t="s">
        <v>136</v>
      </c>
      <c r="AK5" s="841" t="s">
        <v>134</v>
      </c>
      <c r="AL5" s="816"/>
    </row>
    <row r="6" spans="1:45" ht="15.75" customHeight="1" x14ac:dyDescent="0.25">
      <c r="A6" s="813"/>
      <c r="B6" s="813"/>
      <c r="C6" s="802"/>
      <c r="D6" s="803"/>
      <c r="E6" s="803"/>
      <c r="F6" s="803"/>
      <c r="G6" s="802"/>
      <c r="H6" s="803"/>
      <c r="I6" s="807"/>
      <c r="J6" s="810"/>
      <c r="K6" s="810"/>
      <c r="L6" s="833"/>
      <c r="M6" s="834"/>
      <c r="N6" s="837"/>
      <c r="O6" s="838"/>
      <c r="P6" s="829"/>
      <c r="Q6" s="816"/>
      <c r="R6" s="826"/>
      <c r="S6" s="826"/>
      <c r="T6" s="826"/>
      <c r="U6" s="840"/>
      <c r="V6" s="802"/>
      <c r="W6" s="803"/>
      <c r="X6" s="807"/>
      <c r="Y6" s="840"/>
      <c r="Z6" s="829"/>
      <c r="AA6" s="833"/>
      <c r="AB6" s="834"/>
      <c r="AC6" s="837"/>
      <c r="AD6" s="838"/>
      <c r="AE6" s="841"/>
      <c r="AF6" s="841"/>
      <c r="AG6" s="841"/>
      <c r="AH6" s="841"/>
      <c r="AI6" s="841"/>
      <c r="AJ6" s="841"/>
      <c r="AK6" s="841"/>
      <c r="AL6" s="816"/>
    </row>
    <row r="7" spans="1:45" ht="15.75" customHeight="1" x14ac:dyDescent="0.25">
      <c r="A7" s="813"/>
      <c r="B7" s="813"/>
      <c r="C7" s="802"/>
      <c r="D7" s="803"/>
      <c r="E7" s="803"/>
      <c r="F7" s="803"/>
      <c r="G7" s="802"/>
      <c r="H7" s="803"/>
      <c r="I7" s="807"/>
      <c r="J7" s="810"/>
      <c r="K7" s="810"/>
      <c r="L7" s="815" t="s">
        <v>125</v>
      </c>
      <c r="M7" s="818" t="s">
        <v>126</v>
      </c>
      <c r="N7" s="815" t="s">
        <v>125</v>
      </c>
      <c r="O7" s="818" t="s">
        <v>126</v>
      </c>
      <c r="P7" s="829"/>
      <c r="Q7" s="816"/>
      <c r="R7" s="825" t="s">
        <v>125</v>
      </c>
      <c r="S7" s="825" t="s">
        <v>126</v>
      </c>
      <c r="T7" s="825" t="s">
        <v>126</v>
      </c>
      <c r="U7" s="840"/>
      <c r="V7" s="802"/>
      <c r="W7" s="803"/>
      <c r="X7" s="807"/>
      <c r="Y7" s="840"/>
      <c r="Z7" s="829"/>
      <c r="AA7" s="815" t="s">
        <v>125</v>
      </c>
      <c r="AB7" s="818" t="s">
        <v>126</v>
      </c>
      <c r="AC7" s="815" t="s">
        <v>125</v>
      </c>
      <c r="AD7" s="818" t="s">
        <v>126</v>
      </c>
      <c r="AE7" s="841"/>
      <c r="AF7" s="841"/>
      <c r="AG7" s="841"/>
      <c r="AH7" s="841"/>
      <c r="AI7" s="841"/>
      <c r="AJ7" s="841"/>
      <c r="AK7" s="841"/>
      <c r="AL7" s="816"/>
    </row>
    <row r="8" spans="1:45" ht="15" customHeight="1" x14ac:dyDescent="0.25">
      <c r="A8" s="813"/>
      <c r="B8" s="813"/>
      <c r="C8" s="802"/>
      <c r="D8" s="803"/>
      <c r="E8" s="803"/>
      <c r="F8" s="803"/>
      <c r="G8" s="802"/>
      <c r="H8" s="803"/>
      <c r="I8" s="807"/>
      <c r="J8" s="810"/>
      <c r="K8" s="810"/>
      <c r="L8" s="816"/>
      <c r="M8" s="803"/>
      <c r="N8" s="816"/>
      <c r="O8" s="803"/>
      <c r="P8" s="829"/>
      <c r="Q8" s="816"/>
      <c r="R8" s="825"/>
      <c r="S8" s="825"/>
      <c r="T8" s="825"/>
      <c r="U8" s="840"/>
      <c r="V8" s="802"/>
      <c r="W8" s="803"/>
      <c r="X8" s="807"/>
      <c r="Y8" s="840"/>
      <c r="Z8" s="829"/>
      <c r="AA8" s="816"/>
      <c r="AB8" s="803"/>
      <c r="AC8" s="816"/>
      <c r="AD8" s="803"/>
      <c r="AE8" s="842"/>
      <c r="AF8" s="842"/>
      <c r="AG8" s="842"/>
      <c r="AH8" s="842"/>
      <c r="AI8" s="842"/>
      <c r="AJ8" s="842"/>
      <c r="AK8" s="842"/>
      <c r="AL8" s="816"/>
    </row>
    <row r="9" spans="1:45" x14ac:dyDescent="0.25">
      <c r="A9" s="814"/>
      <c r="B9" s="814"/>
      <c r="C9" s="804"/>
      <c r="D9" s="805"/>
      <c r="E9" s="805"/>
      <c r="F9" s="805"/>
      <c r="G9" s="804"/>
      <c r="H9" s="805"/>
      <c r="I9" s="808"/>
      <c r="J9" s="811"/>
      <c r="K9" s="811"/>
      <c r="L9" s="817"/>
      <c r="M9" s="805"/>
      <c r="N9" s="817"/>
      <c r="O9" s="805"/>
      <c r="P9" s="829"/>
      <c r="Q9" s="817"/>
      <c r="R9" s="825"/>
      <c r="S9" s="825"/>
      <c r="T9" s="825"/>
      <c r="U9" s="255">
        <v>2</v>
      </c>
      <c r="V9" s="270"/>
      <c r="W9" s="258"/>
      <c r="X9" s="259"/>
      <c r="Y9" s="255">
        <v>35</v>
      </c>
      <c r="Z9" s="829"/>
      <c r="AA9" s="817"/>
      <c r="AB9" s="805"/>
      <c r="AC9" s="817"/>
      <c r="AD9" s="805"/>
      <c r="AE9" s="204">
        <v>2.7</v>
      </c>
      <c r="AF9" s="204">
        <v>8.89</v>
      </c>
      <c r="AG9" s="204">
        <v>1.34</v>
      </c>
      <c r="AH9" s="204">
        <v>1.4</v>
      </c>
      <c r="AI9" s="204">
        <v>1.4</v>
      </c>
      <c r="AJ9" s="204">
        <v>7.8</v>
      </c>
      <c r="AK9" s="204">
        <v>1.4</v>
      </c>
      <c r="AL9" s="817"/>
    </row>
    <row r="10" spans="1:45" ht="12.75" customHeight="1" outlineLevel="2" x14ac:dyDescent="0.25">
      <c r="A10" s="317"/>
      <c r="B10" s="357" t="str">
        <f>CONCATENATE("Кабель ",$A$81," ",C10,"*",E10,F10,IF(OR(C10=2,C10=4)," (N)",IF(OR(C10=3,C10=5)," (N, PE)",""))," - 1 ГОСТ 31996-2012")</f>
        <v>Кабель ВБШв 1*10ок - 1 ГОСТ 31996-2012</v>
      </c>
      <c r="C10" s="390">
        <v>1</v>
      </c>
      <c r="D10" s="200" t="s">
        <v>40</v>
      </c>
      <c r="E10" s="273">
        <v>10</v>
      </c>
      <c r="F10" s="275" t="str">
        <f>IF(G10=1,"ок","мк")</f>
        <v>ок</v>
      </c>
      <c r="G10" s="274">
        <v>1</v>
      </c>
      <c r="H10" s="37" t="s">
        <v>40</v>
      </c>
      <c r="I10" s="256">
        <v>3.46</v>
      </c>
      <c r="J10" s="39">
        <v>9.4</v>
      </c>
      <c r="K10" s="39">
        <f t="shared" ref="K10:K13" si="0">I10</f>
        <v>3.46</v>
      </c>
      <c r="L10" s="15">
        <f t="shared" ref="L10:L66" si="1">0.9*M10-0.1</f>
        <v>0.89000000000000012</v>
      </c>
      <c r="M10" s="61">
        <f>IF(E10=1.5,0.8,IF(E10=2.5,0.8,IF(E10=4,1,IF(E10=6,1,IF(E10=10,1,IF(E10=16,1,IF(E10=25,1.2,IF(E10=35,1.2,IF(E10=50,1.4,IF(E10=70,1.4,IF(E10=95,1.6,IF(E10=120,1.6,IF(E10=150,1.8,IF(E10=185,2,IF(E10=240,2.2,IF(E10=300,2.4,IF(E10=400,2.6,IF(E10=500,2.8,IF(E10=625,2.8,IF(E10=630,2.8,IF(E10=800,2.8,IF(E10=1000,3,"неверно указано сечение жилы"))))))))))))))))))))))+0.1</f>
        <v>1.1000000000000001</v>
      </c>
      <c r="N10" s="61">
        <f t="shared" ref="N10:N66" si="2">IF(G10=1,I10+2*L10,K10+2*L10)</f>
        <v>5.24</v>
      </c>
      <c r="O10" s="61">
        <f t="shared" ref="O10:O66" si="3">IF(G10=1,I10+2*M10,K10+2*M10)</f>
        <v>5.66</v>
      </c>
      <c r="P10" s="61">
        <f t="shared" ref="P10:P66" si="4">IF(C10=1,O10*1,IF(C10=2,O10*2,IF(C10=3,O10*2.15,IF(C10=4,O10*2.41,IF(C10=5,O10*2.7,"ошибка")))))</f>
        <v>5.66</v>
      </c>
      <c r="Q10" s="61">
        <f>IF(O10="","",ROUND(O10*IF(AND(C10=4,E10&gt;16),0.414,IF(C10=5,0.702,0)),1))</f>
        <v>0</v>
      </c>
      <c r="R10" s="61">
        <f t="shared" ref="R10:R66" si="5">IF(P10&lt;=25,0.5,IF(AND(P10&gt;25,P10&lt;=35),0.6,IF(AND(P10&gt;35,P10&lt;=45),0.7,IF(AND(P10&gt;45,P10&lt;=60),0.8,IF(AND(P10&gt;60,P10&lt;=80),0.9,1)))))</f>
        <v>0.5</v>
      </c>
      <c r="S10" s="61">
        <f>IF(P10="","",IF(C10=1,(IF(P10&lt;=25,1.4,IF(AND(P10&gt;25,P10&lt;=35),1.5,IF(AND(P10&gt;35,P10&lt;=45),1.6,IF(AND(P10&gt;45,P10&lt;=60),1.7,IF(AND(P10&gt;60,P10&lt;=80),2,2.2)))))),IF(P10&lt;=25,1.4,IF(AND(P10&gt;25,P10&lt;=35),1.6,IF(AND(P10&gt;35,P10&lt;=45),1.8,IF(AND(P10&gt;45,P10&lt;=60),2,IF(AND(P10&gt;60,P10&lt;=80),2.3,2.5)))))))</f>
        <v>1.4</v>
      </c>
      <c r="T10" s="61">
        <f t="shared" ref="T10:T66" si="6">P10+2*S10</f>
        <v>8.4600000000000009</v>
      </c>
      <c r="U10" s="201">
        <f>$U$9</f>
        <v>2</v>
      </c>
      <c r="V10" s="203">
        <f>IF(T10&lt;=45,0.25,IF(AND(T10&gt;45,T10&lt;=70),0.5,0.8))</f>
        <v>0.25</v>
      </c>
      <c r="W10" s="37" t="s">
        <v>40</v>
      </c>
      <c r="X10" s="202">
        <f t="shared" ref="X10:X73" si="7">IF(AND(T10&gt;7,T10&lt;=10),15,IF(AND(T10&gt;10,T10&lt;=13),20,IF(AND(T10&gt;13,T10&lt;=21),30,IF(AND(T10&gt;21,T10&lt;=31),40,IF(AND(T10&gt;31,T10&lt;=70),50,IF(AND(T10&gt;70,T10&lt;=80),60,"ошибка"))))))</f>
        <v>15</v>
      </c>
      <c r="Y10" s="201">
        <f t="shared" ref="Y10:Y73" si="8">$Y$9</f>
        <v>35</v>
      </c>
      <c r="Z10" s="61">
        <f t="shared" ref="Z10" si="9">T10+2*U10*V10</f>
        <v>9.4600000000000009</v>
      </c>
      <c r="AA10" s="262">
        <f t="shared" ref="AA10" si="10">0.85*AB10-0.1</f>
        <v>1.43</v>
      </c>
      <c r="AB10" s="262">
        <f t="shared" ref="AB10" si="11">IF(Z10&lt;=20,1.8,IF(AND(Z10&gt;20,Z10&lt;=30),2,IF(AND(Z10&gt;30,Z10&lt;=40),2.2,IF(AND(Z10&gt;40,Z10&lt;=50),2.4,IF(AND(Z10&gt;50,Z10&lt;=60),2.6,3.1)))))</f>
        <v>1.8</v>
      </c>
      <c r="AC10" s="262">
        <f t="shared" ref="AC10" si="12">Z10+2*AA10</f>
        <v>12.32</v>
      </c>
      <c r="AD10" s="262">
        <f t="shared" ref="AD10" si="13">Z10+2*AB10</f>
        <v>13.06</v>
      </c>
      <c r="AE10" s="61">
        <v>0</v>
      </c>
      <c r="AF10" s="262">
        <f>IF(G10=1,PI()*I10^2/4,J10)*$AF$9*C10*IF(C10&gt;1,1.007,1)</f>
        <v>83.587981884537868</v>
      </c>
      <c r="AG10" s="61">
        <f t="shared" ref="AG10:AG27" si="14">PI()*(IF(G10=1,I10,K10)+M10)*M10*$AG$9*C10*IF(C10&gt;1,1.007,1)*IF(G10=1,1,(IF(E10&gt;=4,1.1,1.07)))</f>
        <v>21.116026525544584</v>
      </c>
      <c r="AH10" s="15">
        <f t="shared" ref="AH10" si="15">PI()*POWER(Q10,2)/4*$AH$9</f>
        <v>0</v>
      </c>
      <c r="AI10" s="271">
        <f t="shared" ref="AI10:AI73" si="16">IF(C10&gt;1,(PI()*T10^2/4-PI()*O10^2*(C10+2)/8-C10*(SIN(PI()*(C10-2)/C10))/2*(P10/2-O10/2)^2)*$AI$9,PI()*(P10+S10)*S10*1.07*$AI$9)</f>
        <v>46.515149678546109</v>
      </c>
      <c r="AJ10" s="262">
        <f t="shared" ref="AJ10" si="17">PI()*(T10+U10*V10)*U10*V10*$AJ$9*ROUND(100/(100+Y10),2)</f>
        <v>81.237062128410884</v>
      </c>
      <c r="AK10" s="262">
        <f t="shared" ref="AK10" si="18">PI()*(Z10+AB10)*AB10*1.1*$AK$9</f>
        <v>98.057651850555217</v>
      </c>
      <c r="AL10" s="61">
        <f t="shared" ref="AL10" si="19">SUM(AE10:AK10)</f>
        <v>330.51387206759466</v>
      </c>
      <c r="AM10" s="265">
        <f>ROUND(AE10*1.015,2)</f>
        <v>0</v>
      </c>
      <c r="AN10" s="326">
        <f>ROUND(AF10*1.015,2)</f>
        <v>84.84</v>
      </c>
      <c r="AO10" s="326">
        <f>ROUND(AG10*1.032,2)</f>
        <v>21.79</v>
      </c>
      <c r="AP10" s="265">
        <f>ROUND(AH10*1.032,2)</f>
        <v>0</v>
      </c>
      <c r="AQ10" s="326">
        <f>ROUND(AI10*1.032,2)</f>
        <v>48</v>
      </c>
      <c r="AR10" s="326">
        <f>ROUND(AJ10*1.03,2)</f>
        <v>83.67</v>
      </c>
      <c r="AS10" s="326">
        <f>ROUND(AK10*1.032,2)</f>
        <v>101.2</v>
      </c>
    </row>
    <row r="11" spans="1:45" outlineLevel="2" x14ac:dyDescent="0.25">
      <c r="A11" s="317"/>
      <c r="B11" s="357" t="str">
        <f t="shared" ref="B11:B74" si="20">CONCATENATE("Кабель ",$A$81," ",C11,"*",E11,F11,IF(OR(C11=2,C11=4)," (N)",IF(OR(C11=3,C11=5)," (N, PE)",""))," - 1 ГОСТ 31996-2012")</f>
        <v>Кабель ВБШв 1*16ок - 1 ГОСТ 31996-2012</v>
      </c>
      <c r="C11" s="391">
        <v>1</v>
      </c>
      <c r="D11" s="200" t="s">
        <v>40</v>
      </c>
      <c r="E11" s="273">
        <v>16</v>
      </c>
      <c r="F11" s="275" t="str">
        <f t="shared" ref="F11:F74" si="21">IF(G11=1,"ок","мк")</f>
        <v>ок</v>
      </c>
      <c r="G11" s="274">
        <v>1</v>
      </c>
      <c r="H11" s="37" t="s">
        <v>40</v>
      </c>
      <c r="I11" s="256">
        <v>4.41</v>
      </c>
      <c r="J11" s="39">
        <v>15.27</v>
      </c>
      <c r="K11" s="39">
        <f t="shared" si="0"/>
        <v>4.41</v>
      </c>
      <c r="L11" s="15">
        <f t="shared" si="1"/>
        <v>0.89000000000000012</v>
      </c>
      <c r="M11" s="61">
        <f t="shared" ref="M11:M74" si="22">IF(E11=1.5,0.8,IF(E11=2.5,0.8,IF(E11=4,1,IF(E11=6,1,IF(E11=10,1,IF(E11=16,1,IF(E11=25,1.2,IF(E11=35,1.2,IF(E11=50,1.4,IF(E11=70,1.4,IF(E11=95,1.6,IF(E11=120,1.6,IF(E11=150,1.8,IF(E11=185,2,IF(E11=240,2.2,IF(E11=300,2.4,IF(E11=400,2.6,IF(E11=500,2.8,IF(E11=625,2.8,IF(E11=630,2.8,IF(E11=800,2.8,IF(E11=1000,3,"неверно указано сечение жилы"))))))))))))))))))))))+0.1</f>
        <v>1.1000000000000001</v>
      </c>
      <c r="N11" s="61">
        <f t="shared" si="2"/>
        <v>6.19</v>
      </c>
      <c r="O11" s="61">
        <f t="shared" si="3"/>
        <v>6.61</v>
      </c>
      <c r="P11" s="61">
        <f t="shared" si="4"/>
        <v>6.61</v>
      </c>
      <c r="Q11" s="61">
        <f t="shared" ref="Q11:Q74" si="23">IF(O11="","",ROUND(O11*IF(AND(C11=4,E11&gt;16),0.414,IF(C11=5,0.702,0)),1))</f>
        <v>0</v>
      </c>
      <c r="R11" s="61">
        <f t="shared" si="5"/>
        <v>0.5</v>
      </c>
      <c r="S11" s="61">
        <f t="shared" ref="S11:S74" si="24">IF(P11="","",IF(C11=1,(IF(P11&lt;=25,1.4,IF(AND(P11&gt;25,P11&lt;=35),1.5,IF(AND(P11&gt;35,P11&lt;=45),1.6,IF(AND(P11&gt;45,P11&lt;=60),1.7,IF(AND(P11&gt;60,P11&lt;=80),2,2.2)))))),IF(P11&lt;=25,1.4,IF(AND(P11&gt;25,P11&lt;=35),1.6,IF(AND(P11&gt;35,P11&lt;=45),1.8,IF(AND(P11&gt;45,P11&lt;=60),2,IF(AND(P11&gt;60,P11&lt;=80),2.3,2.5)))))))</f>
        <v>1.4</v>
      </c>
      <c r="T11" s="61">
        <f t="shared" si="6"/>
        <v>9.41</v>
      </c>
      <c r="U11" s="201">
        <f t="shared" ref="U11:U74" si="25">$U$9</f>
        <v>2</v>
      </c>
      <c r="V11" s="203">
        <f t="shared" ref="V11:V74" si="26">IF(T11&lt;=45,0.25,IF(AND(T11&gt;45,T11&lt;=70),0.5,0.8))</f>
        <v>0.25</v>
      </c>
      <c r="W11" s="37" t="s">
        <v>40</v>
      </c>
      <c r="X11" s="202">
        <f t="shared" si="7"/>
        <v>15</v>
      </c>
      <c r="Y11" s="201">
        <f t="shared" si="8"/>
        <v>35</v>
      </c>
      <c r="Z11" s="61">
        <f t="shared" ref="Z11:Z74" si="27">T11+2*U11*V11</f>
        <v>10.41</v>
      </c>
      <c r="AA11" s="262">
        <f t="shared" ref="AA11:AA74" si="28">0.85*AB11-0.1</f>
        <v>1.43</v>
      </c>
      <c r="AB11" s="262">
        <f t="shared" ref="AB11:AB74" si="29">IF(Z11&lt;=20,1.8,IF(AND(Z11&gt;20,Z11&lt;=30),2,IF(AND(Z11&gt;30,Z11&lt;=40),2.2,IF(AND(Z11&gt;40,Z11&lt;=50),2.4,IF(AND(Z11&gt;50,Z11&lt;=60),2.6,3.1)))))</f>
        <v>1.8</v>
      </c>
      <c r="AC11" s="262">
        <f t="shared" ref="AC11:AC74" si="30">Z11+2*AA11</f>
        <v>13.27</v>
      </c>
      <c r="AD11" s="262">
        <f t="shared" ref="AD11:AD74" si="31">Z11+2*AB11</f>
        <v>14.01</v>
      </c>
      <c r="AE11" s="61">
        <v>0</v>
      </c>
      <c r="AF11" s="271">
        <f t="shared" ref="AF11:AF74" si="32">IF(G11=1,PI()*I11^2/4,J11)*$AF$9*C11*IF(C11&gt;1,1.007,1)</f>
        <v>135.79032297175655</v>
      </c>
      <c r="AG11" s="61">
        <f t="shared" si="14"/>
        <v>25.515198718366367</v>
      </c>
      <c r="AH11" s="15">
        <f t="shared" ref="AH11:AH74" si="33">PI()*POWER(Q11,2)/4*$AH$9</f>
        <v>0</v>
      </c>
      <c r="AI11" s="271">
        <f t="shared" si="16"/>
        <v>52.774270385999195</v>
      </c>
      <c r="AJ11" s="262">
        <f t="shared" ref="AJ11:AJ74" si="34">PI()*(T11+U11*V11)*U11*V11*$AJ$9*ROUND(100/(100+Y11),2)</f>
        <v>89.85036670675801</v>
      </c>
      <c r="AK11" s="262">
        <f t="shared" ref="AK11:AK74" si="35">PI()*(Z11+AB11)*AB11*1.1*$AK$9</f>
        <v>106.3307219445186</v>
      </c>
      <c r="AL11" s="61">
        <f t="shared" ref="AL11:AL74" si="36">SUM(AE11:AK11)</f>
        <v>410.26088072739873</v>
      </c>
      <c r="AM11" s="265">
        <f t="shared" ref="AM11:AM27" si="37">ROUND(AE11*1.015,2)</f>
        <v>0</v>
      </c>
      <c r="AN11" s="326">
        <f t="shared" ref="AN11:AN27" si="38">ROUND(AF11*1.015,2)</f>
        <v>137.83000000000001</v>
      </c>
      <c r="AO11" s="326">
        <f t="shared" ref="AO11:AO27" si="39">ROUND(AG11*1.032,2)</f>
        <v>26.33</v>
      </c>
      <c r="AP11" s="265">
        <f t="shared" ref="AP11:AP27" si="40">ROUND(AH11*1.032,2)</f>
        <v>0</v>
      </c>
      <c r="AQ11" s="326">
        <f t="shared" ref="AQ11:AQ27" si="41">ROUND(AI11*1.032,2)</f>
        <v>54.46</v>
      </c>
      <c r="AR11" s="326">
        <f t="shared" ref="AR11:AR27" si="42">ROUND(AJ11*1.03,2)</f>
        <v>92.55</v>
      </c>
      <c r="AS11" s="326">
        <f t="shared" ref="AS11:AS27" si="43">ROUND(AK11*1.032,2)</f>
        <v>109.73</v>
      </c>
    </row>
    <row r="12" spans="1:45" s="384" customFormat="1" outlineLevel="2" x14ac:dyDescent="0.25">
      <c r="A12" s="383"/>
      <c r="B12" s="361" t="str">
        <f t="shared" si="20"/>
        <v>Кабель ВБШв 1*25ок - 1 ГОСТ 31996-2012</v>
      </c>
      <c r="C12" s="393">
        <v>1</v>
      </c>
      <c r="D12" s="362" t="s">
        <v>40</v>
      </c>
      <c r="E12" s="363">
        <v>25</v>
      </c>
      <c r="F12" s="364" t="str">
        <f t="shared" si="21"/>
        <v>ок</v>
      </c>
      <c r="G12" s="380">
        <v>1</v>
      </c>
      <c r="H12" s="366" t="s">
        <v>40</v>
      </c>
      <c r="I12" s="367">
        <v>5.54</v>
      </c>
      <c r="J12" s="381">
        <v>24.11</v>
      </c>
      <c r="K12" s="381">
        <f t="shared" si="0"/>
        <v>5.54</v>
      </c>
      <c r="L12" s="373">
        <f t="shared" si="1"/>
        <v>1.07</v>
      </c>
      <c r="M12" s="368">
        <f t="shared" si="22"/>
        <v>1.3</v>
      </c>
      <c r="N12" s="368">
        <f t="shared" si="2"/>
        <v>7.68</v>
      </c>
      <c r="O12" s="368">
        <f t="shared" si="3"/>
        <v>8.14</v>
      </c>
      <c r="P12" s="368">
        <f t="shared" si="4"/>
        <v>8.14</v>
      </c>
      <c r="Q12" s="61">
        <f t="shared" si="23"/>
        <v>0</v>
      </c>
      <c r="R12" s="368">
        <f t="shared" si="5"/>
        <v>0.5</v>
      </c>
      <c r="S12" s="61">
        <f t="shared" si="24"/>
        <v>1.4</v>
      </c>
      <c r="T12" s="368">
        <f t="shared" si="6"/>
        <v>10.940000000000001</v>
      </c>
      <c r="U12" s="369">
        <f t="shared" si="25"/>
        <v>2</v>
      </c>
      <c r="V12" s="370">
        <f t="shared" si="26"/>
        <v>0.25</v>
      </c>
      <c r="W12" s="366" t="s">
        <v>40</v>
      </c>
      <c r="X12" s="371">
        <f t="shared" si="7"/>
        <v>20</v>
      </c>
      <c r="Y12" s="369">
        <f t="shared" si="8"/>
        <v>35</v>
      </c>
      <c r="Z12" s="368">
        <f t="shared" si="27"/>
        <v>11.940000000000001</v>
      </c>
      <c r="AA12" s="372">
        <f t="shared" si="28"/>
        <v>1.43</v>
      </c>
      <c r="AB12" s="372">
        <f t="shared" si="29"/>
        <v>1.8</v>
      </c>
      <c r="AC12" s="372">
        <f t="shared" si="30"/>
        <v>14.8</v>
      </c>
      <c r="AD12" s="372">
        <f t="shared" si="31"/>
        <v>15.540000000000001</v>
      </c>
      <c r="AE12" s="368">
        <v>0</v>
      </c>
      <c r="AF12" s="372">
        <f t="shared" si="32"/>
        <v>214.29457255567192</v>
      </c>
      <c r="AG12" s="368">
        <f t="shared" si="14"/>
        <v>37.432956113465394</v>
      </c>
      <c r="AH12" s="373">
        <f t="shared" si="33"/>
        <v>0</v>
      </c>
      <c r="AI12" s="372">
        <f t="shared" si="16"/>
        <v>62.854748999055232</v>
      </c>
      <c r="AJ12" s="372">
        <f t="shared" si="34"/>
        <v>103.72232039609605</v>
      </c>
      <c r="AK12" s="372">
        <f t="shared" si="35"/>
        <v>119.6547190432175</v>
      </c>
      <c r="AL12" s="368">
        <f t="shared" si="36"/>
        <v>537.95931710750608</v>
      </c>
      <c r="AM12" s="376">
        <f t="shared" si="37"/>
        <v>0</v>
      </c>
      <c r="AN12" s="376">
        <f t="shared" si="38"/>
        <v>217.51</v>
      </c>
      <c r="AO12" s="376">
        <f t="shared" si="39"/>
        <v>38.630000000000003</v>
      </c>
      <c r="AP12" s="376">
        <f t="shared" si="40"/>
        <v>0</v>
      </c>
      <c r="AQ12" s="376">
        <f t="shared" si="41"/>
        <v>64.87</v>
      </c>
      <c r="AR12" s="376">
        <f t="shared" si="42"/>
        <v>106.83</v>
      </c>
      <c r="AS12" s="376">
        <f t="shared" si="43"/>
        <v>123.48</v>
      </c>
    </row>
    <row r="13" spans="1:45" s="384" customFormat="1" outlineLevel="2" x14ac:dyDescent="0.25">
      <c r="A13" s="383"/>
      <c r="B13" s="361" t="str">
        <f t="shared" si="20"/>
        <v>Кабель ВБШв 1*35ок - 1 ГОСТ 31996-2012</v>
      </c>
      <c r="C13" s="393">
        <v>1</v>
      </c>
      <c r="D13" s="362" t="s">
        <v>40</v>
      </c>
      <c r="E13" s="363">
        <v>35</v>
      </c>
      <c r="F13" s="364" t="str">
        <f t="shared" si="21"/>
        <v>ок</v>
      </c>
      <c r="G13" s="380">
        <v>1</v>
      </c>
      <c r="H13" s="366" t="s">
        <v>40</v>
      </c>
      <c r="I13" s="367">
        <v>6.51</v>
      </c>
      <c r="J13" s="381">
        <v>33.29</v>
      </c>
      <c r="K13" s="381">
        <f t="shared" si="0"/>
        <v>6.51</v>
      </c>
      <c r="L13" s="373">
        <f t="shared" si="1"/>
        <v>1.07</v>
      </c>
      <c r="M13" s="368">
        <f t="shared" si="22"/>
        <v>1.3</v>
      </c>
      <c r="N13" s="368">
        <f t="shared" si="2"/>
        <v>8.65</v>
      </c>
      <c r="O13" s="368">
        <f t="shared" si="3"/>
        <v>9.11</v>
      </c>
      <c r="P13" s="368">
        <f t="shared" si="4"/>
        <v>9.11</v>
      </c>
      <c r="Q13" s="61">
        <f t="shared" si="23"/>
        <v>0</v>
      </c>
      <c r="R13" s="368">
        <f t="shared" si="5"/>
        <v>0.5</v>
      </c>
      <c r="S13" s="61">
        <f t="shared" si="24"/>
        <v>1.4</v>
      </c>
      <c r="T13" s="368">
        <f t="shared" si="6"/>
        <v>11.91</v>
      </c>
      <c r="U13" s="369">
        <f t="shared" si="25"/>
        <v>2</v>
      </c>
      <c r="V13" s="370">
        <f t="shared" si="26"/>
        <v>0.25</v>
      </c>
      <c r="W13" s="366" t="s">
        <v>40</v>
      </c>
      <c r="X13" s="371">
        <f t="shared" si="7"/>
        <v>20</v>
      </c>
      <c r="Y13" s="369">
        <f t="shared" si="8"/>
        <v>35</v>
      </c>
      <c r="Z13" s="368">
        <f t="shared" si="27"/>
        <v>12.91</v>
      </c>
      <c r="AA13" s="372">
        <f t="shared" si="28"/>
        <v>1.43</v>
      </c>
      <c r="AB13" s="372">
        <f t="shared" si="29"/>
        <v>1.8</v>
      </c>
      <c r="AC13" s="372">
        <f t="shared" si="30"/>
        <v>15.77</v>
      </c>
      <c r="AD13" s="372">
        <f t="shared" si="31"/>
        <v>16.510000000000002</v>
      </c>
      <c r="AE13" s="368">
        <v>0</v>
      </c>
      <c r="AF13" s="372">
        <f t="shared" si="32"/>
        <v>295.90589654389578</v>
      </c>
      <c r="AG13" s="368">
        <f t="shared" si="14"/>
        <v>42.741430883942208</v>
      </c>
      <c r="AH13" s="373">
        <f t="shared" si="33"/>
        <v>0</v>
      </c>
      <c r="AI13" s="372">
        <f t="shared" si="16"/>
        <v>69.245640668770463</v>
      </c>
      <c r="AJ13" s="372">
        <f t="shared" si="34"/>
        <v>112.51695770240836</v>
      </c>
      <c r="AK13" s="372">
        <f t="shared" si="35"/>
        <v>128.10195903389584</v>
      </c>
      <c r="AL13" s="368">
        <f t="shared" si="36"/>
        <v>648.51188483291264</v>
      </c>
      <c r="AM13" s="376">
        <f t="shared" si="37"/>
        <v>0</v>
      </c>
      <c r="AN13" s="376">
        <f t="shared" si="38"/>
        <v>300.33999999999997</v>
      </c>
      <c r="AO13" s="376">
        <f t="shared" si="39"/>
        <v>44.11</v>
      </c>
      <c r="AP13" s="376">
        <f t="shared" si="40"/>
        <v>0</v>
      </c>
      <c r="AQ13" s="376">
        <f t="shared" si="41"/>
        <v>71.459999999999994</v>
      </c>
      <c r="AR13" s="376">
        <f t="shared" si="42"/>
        <v>115.89</v>
      </c>
      <c r="AS13" s="376">
        <f t="shared" si="43"/>
        <v>132.19999999999999</v>
      </c>
    </row>
    <row r="14" spans="1:45" outlineLevel="2" x14ac:dyDescent="0.25">
      <c r="A14" s="317"/>
      <c r="B14" s="357" t="str">
        <f t="shared" si="20"/>
        <v>Кабель ВБШв 1*16мк - 1 ГОСТ 31996-2012</v>
      </c>
      <c r="C14" s="391">
        <v>1</v>
      </c>
      <c r="D14" s="200" t="s">
        <v>40</v>
      </c>
      <c r="E14" s="273">
        <v>16</v>
      </c>
      <c r="F14" s="275" t="str">
        <f t="shared" si="21"/>
        <v>мк</v>
      </c>
      <c r="G14" s="274">
        <v>7</v>
      </c>
      <c r="H14" s="37" t="s">
        <v>40</v>
      </c>
      <c r="I14" s="256">
        <v>1.76</v>
      </c>
      <c r="J14" s="39">
        <v>15.24</v>
      </c>
      <c r="K14" s="39">
        <v>4.6399999999999997</v>
      </c>
      <c r="L14" s="15">
        <f t="shared" si="1"/>
        <v>0.89000000000000012</v>
      </c>
      <c r="M14" s="61">
        <f t="shared" si="22"/>
        <v>1.1000000000000001</v>
      </c>
      <c r="N14" s="61">
        <f t="shared" si="2"/>
        <v>6.42</v>
      </c>
      <c r="O14" s="61">
        <f t="shared" si="3"/>
        <v>6.84</v>
      </c>
      <c r="P14" s="61">
        <f t="shared" si="4"/>
        <v>6.84</v>
      </c>
      <c r="Q14" s="61">
        <f t="shared" si="23"/>
        <v>0</v>
      </c>
      <c r="R14" s="61">
        <f t="shared" si="5"/>
        <v>0.5</v>
      </c>
      <c r="S14" s="61">
        <f t="shared" si="24"/>
        <v>1.4</v>
      </c>
      <c r="T14" s="61">
        <f t="shared" si="6"/>
        <v>9.64</v>
      </c>
      <c r="U14" s="201">
        <f t="shared" si="25"/>
        <v>2</v>
      </c>
      <c r="V14" s="203">
        <f t="shared" si="26"/>
        <v>0.25</v>
      </c>
      <c r="W14" s="37" t="s">
        <v>40</v>
      </c>
      <c r="X14" s="202">
        <f t="shared" si="7"/>
        <v>15</v>
      </c>
      <c r="Y14" s="201">
        <f t="shared" si="8"/>
        <v>35</v>
      </c>
      <c r="Z14" s="61">
        <f t="shared" si="27"/>
        <v>10.64</v>
      </c>
      <c r="AA14" s="262">
        <f t="shared" si="28"/>
        <v>1.43</v>
      </c>
      <c r="AB14" s="262">
        <f t="shared" si="29"/>
        <v>1.8</v>
      </c>
      <c r="AC14" s="262">
        <f t="shared" si="30"/>
        <v>13.5</v>
      </c>
      <c r="AD14" s="262">
        <f t="shared" si="31"/>
        <v>14.24</v>
      </c>
      <c r="AE14" s="61">
        <v>0</v>
      </c>
      <c r="AF14" s="271">
        <f t="shared" si="32"/>
        <v>135.48360000000002</v>
      </c>
      <c r="AG14" s="61">
        <f t="shared" si="14"/>
        <v>29.238287605765024</v>
      </c>
      <c r="AH14" s="15">
        <f t="shared" si="33"/>
        <v>0</v>
      </c>
      <c r="AI14" s="271">
        <f t="shared" si="16"/>
        <v>54.289636452014157</v>
      </c>
      <c r="AJ14" s="262">
        <f t="shared" si="34"/>
        <v>91.935693078357858</v>
      </c>
      <c r="AK14" s="262">
        <f t="shared" si="35"/>
        <v>108.33367575674131</v>
      </c>
      <c r="AL14" s="61">
        <f t="shared" si="36"/>
        <v>419.28089289287834</v>
      </c>
      <c r="AM14" s="265">
        <f t="shared" si="37"/>
        <v>0</v>
      </c>
      <c r="AN14" s="326">
        <f t="shared" si="38"/>
        <v>137.52000000000001</v>
      </c>
      <c r="AO14" s="326">
        <f t="shared" si="39"/>
        <v>30.17</v>
      </c>
      <c r="AP14" s="265">
        <f t="shared" si="40"/>
        <v>0</v>
      </c>
      <c r="AQ14" s="326">
        <f t="shared" si="41"/>
        <v>56.03</v>
      </c>
      <c r="AR14" s="326">
        <f t="shared" si="42"/>
        <v>94.69</v>
      </c>
      <c r="AS14" s="326">
        <f t="shared" si="43"/>
        <v>111.8</v>
      </c>
    </row>
    <row r="15" spans="1:45" outlineLevel="2" x14ac:dyDescent="0.25">
      <c r="A15" s="317"/>
      <c r="B15" s="357" t="str">
        <f t="shared" si="20"/>
        <v>Кабель ВБШв 1*25мк - 1 ГОСТ 31996-2012</v>
      </c>
      <c r="C15" s="391">
        <v>1</v>
      </c>
      <c r="D15" s="200" t="s">
        <v>40</v>
      </c>
      <c r="E15" s="273">
        <v>25</v>
      </c>
      <c r="F15" s="275" t="str">
        <f t="shared" si="21"/>
        <v>мк</v>
      </c>
      <c r="G15" s="274">
        <v>7</v>
      </c>
      <c r="H15" s="37" t="s">
        <v>40</v>
      </c>
      <c r="I15" s="256">
        <v>2.19</v>
      </c>
      <c r="J15" s="39">
        <v>24.1</v>
      </c>
      <c r="K15" s="39">
        <v>5.84</v>
      </c>
      <c r="L15" s="15">
        <f t="shared" si="1"/>
        <v>1.07</v>
      </c>
      <c r="M15" s="61">
        <f t="shared" si="22"/>
        <v>1.3</v>
      </c>
      <c r="N15" s="61">
        <f t="shared" si="2"/>
        <v>7.98</v>
      </c>
      <c r="O15" s="61">
        <f t="shared" si="3"/>
        <v>8.44</v>
      </c>
      <c r="P15" s="61">
        <f t="shared" si="4"/>
        <v>8.44</v>
      </c>
      <c r="Q15" s="61">
        <f t="shared" si="23"/>
        <v>0</v>
      </c>
      <c r="R15" s="61">
        <f t="shared" si="5"/>
        <v>0.5</v>
      </c>
      <c r="S15" s="61">
        <f t="shared" si="24"/>
        <v>1.4</v>
      </c>
      <c r="T15" s="61">
        <f t="shared" si="6"/>
        <v>11.239999999999998</v>
      </c>
      <c r="U15" s="201">
        <f t="shared" si="25"/>
        <v>2</v>
      </c>
      <c r="V15" s="203">
        <f t="shared" si="26"/>
        <v>0.25</v>
      </c>
      <c r="W15" s="37" t="s">
        <v>40</v>
      </c>
      <c r="X15" s="202">
        <f t="shared" si="7"/>
        <v>20</v>
      </c>
      <c r="Y15" s="201">
        <f t="shared" si="8"/>
        <v>35</v>
      </c>
      <c r="Z15" s="61">
        <f t="shared" si="27"/>
        <v>12.239999999999998</v>
      </c>
      <c r="AA15" s="262">
        <f t="shared" si="28"/>
        <v>1.43</v>
      </c>
      <c r="AB15" s="262">
        <f t="shared" si="29"/>
        <v>1.8</v>
      </c>
      <c r="AC15" s="262">
        <f t="shared" si="30"/>
        <v>15.099999999999998</v>
      </c>
      <c r="AD15" s="262">
        <f t="shared" si="31"/>
        <v>15.839999999999998</v>
      </c>
      <c r="AE15" s="61">
        <v>0</v>
      </c>
      <c r="AF15" s="271">
        <f t="shared" si="32"/>
        <v>214.24900000000002</v>
      </c>
      <c r="AG15" s="61">
        <f t="shared" si="14"/>
        <v>42.982227677654556</v>
      </c>
      <c r="AH15" s="15">
        <f t="shared" si="33"/>
        <v>0</v>
      </c>
      <c r="AI15" s="271">
        <f t="shared" si="16"/>
        <v>64.83131343298777</v>
      </c>
      <c r="AJ15" s="262">
        <f t="shared" si="34"/>
        <v>106.44231131557406</v>
      </c>
      <c r="AK15" s="262">
        <f t="shared" si="35"/>
        <v>122.26726749394275</v>
      </c>
      <c r="AL15" s="61">
        <f t="shared" si="36"/>
        <v>550.77211992015918</v>
      </c>
      <c r="AM15" s="265">
        <f t="shared" si="37"/>
        <v>0</v>
      </c>
      <c r="AN15" s="326">
        <f t="shared" si="38"/>
        <v>217.46</v>
      </c>
      <c r="AO15" s="326">
        <f t="shared" si="39"/>
        <v>44.36</v>
      </c>
      <c r="AP15" s="265">
        <f t="shared" si="40"/>
        <v>0</v>
      </c>
      <c r="AQ15" s="326">
        <f t="shared" si="41"/>
        <v>66.91</v>
      </c>
      <c r="AR15" s="326">
        <f t="shared" si="42"/>
        <v>109.64</v>
      </c>
      <c r="AS15" s="326">
        <f t="shared" si="43"/>
        <v>126.18</v>
      </c>
    </row>
    <row r="16" spans="1:45" outlineLevel="2" x14ac:dyDescent="0.25">
      <c r="A16" s="317"/>
      <c r="B16" s="357" t="str">
        <f t="shared" si="20"/>
        <v>Кабель ВБШв 1*35мк - 1 ГОСТ 31996-2012</v>
      </c>
      <c r="C16" s="391">
        <v>1</v>
      </c>
      <c r="D16" s="200" t="s">
        <v>40</v>
      </c>
      <c r="E16" s="273">
        <v>35</v>
      </c>
      <c r="F16" s="275" t="str">
        <f t="shared" si="21"/>
        <v>мк</v>
      </c>
      <c r="G16" s="274">
        <v>7</v>
      </c>
      <c r="H16" s="37" t="s">
        <v>40</v>
      </c>
      <c r="I16" s="256">
        <v>2.5499999999999998</v>
      </c>
      <c r="J16" s="39">
        <v>33.44</v>
      </c>
      <c r="K16" s="39">
        <v>6.95</v>
      </c>
      <c r="L16" s="15">
        <f t="shared" si="1"/>
        <v>1.07</v>
      </c>
      <c r="M16" s="61">
        <f t="shared" si="22"/>
        <v>1.3</v>
      </c>
      <c r="N16" s="61">
        <f t="shared" si="2"/>
        <v>9.09</v>
      </c>
      <c r="O16" s="61">
        <f t="shared" si="3"/>
        <v>9.5500000000000007</v>
      </c>
      <c r="P16" s="61">
        <f t="shared" si="4"/>
        <v>9.5500000000000007</v>
      </c>
      <c r="Q16" s="61">
        <f t="shared" si="23"/>
        <v>0</v>
      </c>
      <c r="R16" s="61">
        <f t="shared" si="5"/>
        <v>0.5</v>
      </c>
      <c r="S16" s="61">
        <f t="shared" si="24"/>
        <v>1.4</v>
      </c>
      <c r="T16" s="61">
        <f t="shared" si="6"/>
        <v>12.350000000000001</v>
      </c>
      <c r="U16" s="201">
        <f t="shared" si="25"/>
        <v>2</v>
      </c>
      <c r="V16" s="203">
        <f t="shared" si="26"/>
        <v>0.25</v>
      </c>
      <c r="W16" s="37" t="s">
        <v>40</v>
      </c>
      <c r="X16" s="202">
        <f t="shared" si="7"/>
        <v>20</v>
      </c>
      <c r="Y16" s="201">
        <f t="shared" si="8"/>
        <v>35</v>
      </c>
      <c r="Z16" s="61">
        <f t="shared" si="27"/>
        <v>13.350000000000001</v>
      </c>
      <c r="AA16" s="262">
        <f t="shared" si="28"/>
        <v>1.43</v>
      </c>
      <c r="AB16" s="262">
        <f t="shared" si="29"/>
        <v>1.8</v>
      </c>
      <c r="AC16" s="262">
        <f t="shared" si="30"/>
        <v>16.21</v>
      </c>
      <c r="AD16" s="262">
        <f t="shared" si="31"/>
        <v>16.950000000000003</v>
      </c>
      <c r="AE16" s="61">
        <v>0</v>
      </c>
      <c r="AF16" s="271">
        <f t="shared" si="32"/>
        <v>297.28160000000003</v>
      </c>
      <c r="AG16" s="61">
        <f t="shared" si="14"/>
        <v>49.664338703172291</v>
      </c>
      <c r="AH16" s="15">
        <f t="shared" si="33"/>
        <v>0</v>
      </c>
      <c r="AI16" s="271">
        <f t="shared" si="16"/>
        <v>72.144601838538236</v>
      </c>
      <c r="AJ16" s="262">
        <f t="shared" si="34"/>
        <v>116.50627771764286</v>
      </c>
      <c r="AK16" s="262">
        <f t="shared" si="35"/>
        <v>131.93369676162624</v>
      </c>
      <c r="AL16" s="61">
        <f t="shared" si="36"/>
        <v>667.53051502097969</v>
      </c>
      <c r="AM16" s="265">
        <f t="shared" si="37"/>
        <v>0</v>
      </c>
      <c r="AN16" s="326">
        <f t="shared" si="38"/>
        <v>301.74</v>
      </c>
      <c r="AO16" s="326">
        <f t="shared" si="39"/>
        <v>51.25</v>
      </c>
      <c r="AP16" s="265">
        <f t="shared" si="40"/>
        <v>0</v>
      </c>
      <c r="AQ16" s="326">
        <f t="shared" si="41"/>
        <v>74.45</v>
      </c>
      <c r="AR16" s="326">
        <f t="shared" si="42"/>
        <v>120</v>
      </c>
      <c r="AS16" s="326">
        <f t="shared" si="43"/>
        <v>136.16</v>
      </c>
    </row>
    <row r="17" spans="1:45" outlineLevel="2" x14ac:dyDescent="0.25">
      <c r="A17" s="317"/>
      <c r="B17" s="357" t="str">
        <f t="shared" si="20"/>
        <v>Кабель ВБШв 1*50мк - 1 ГОСТ 31996-2012</v>
      </c>
      <c r="C17" s="391">
        <v>1</v>
      </c>
      <c r="D17" s="200" t="s">
        <v>40</v>
      </c>
      <c r="E17" s="273">
        <v>50</v>
      </c>
      <c r="F17" s="275" t="str">
        <f t="shared" si="21"/>
        <v>мк</v>
      </c>
      <c r="G17" s="274">
        <v>7</v>
      </c>
      <c r="H17" s="37" t="s">
        <v>40</v>
      </c>
      <c r="I17" s="256">
        <v>3</v>
      </c>
      <c r="J17" s="39">
        <v>45.28</v>
      </c>
      <c r="K17" s="39">
        <v>8</v>
      </c>
      <c r="L17" s="15">
        <f t="shared" si="1"/>
        <v>1.25</v>
      </c>
      <c r="M17" s="61">
        <f t="shared" si="22"/>
        <v>1.5</v>
      </c>
      <c r="N17" s="61">
        <f t="shared" si="2"/>
        <v>10.5</v>
      </c>
      <c r="O17" s="61">
        <f t="shared" si="3"/>
        <v>11</v>
      </c>
      <c r="P17" s="61">
        <f t="shared" si="4"/>
        <v>11</v>
      </c>
      <c r="Q17" s="61">
        <f t="shared" si="23"/>
        <v>0</v>
      </c>
      <c r="R17" s="61">
        <f t="shared" si="5"/>
        <v>0.5</v>
      </c>
      <c r="S17" s="61">
        <f t="shared" si="24"/>
        <v>1.4</v>
      </c>
      <c r="T17" s="61">
        <f t="shared" si="6"/>
        <v>13.8</v>
      </c>
      <c r="U17" s="201">
        <f t="shared" si="25"/>
        <v>2</v>
      </c>
      <c r="V17" s="203">
        <f t="shared" si="26"/>
        <v>0.25</v>
      </c>
      <c r="W17" s="37" t="s">
        <v>40</v>
      </c>
      <c r="X17" s="202">
        <f t="shared" si="7"/>
        <v>30</v>
      </c>
      <c r="Y17" s="201">
        <f t="shared" si="8"/>
        <v>35</v>
      </c>
      <c r="Z17" s="61">
        <f t="shared" si="27"/>
        <v>14.8</v>
      </c>
      <c r="AA17" s="262">
        <f t="shared" si="28"/>
        <v>1.43</v>
      </c>
      <c r="AB17" s="262">
        <f t="shared" si="29"/>
        <v>1.8</v>
      </c>
      <c r="AC17" s="262">
        <f t="shared" si="30"/>
        <v>17.66</v>
      </c>
      <c r="AD17" s="262">
        <f t="shared" si="31"/>
        <v>18.400000000000002</v>
      </c>
      <c r="AE17" s="61">
        <v>0</v>
      </c>
      <c r="AF17" s="271">
        <f t="shared" si="32"/>
        <v>402.53920000000005</v>
      </c>
      <c r="AG17" s="61">
        <f t="shared" si="14"/>
        <v>65.987582892326813</v>
      </c>
      <c r="AH17" s="15">
        <f t="shared" si="33"/>
        <v>0</v>
      </c>
      <c r="AI17" s="271">
        <f t="shared" si="16"/>
        <v>81.697996602545572</v>
      </c>
      <c r="AJ17" s="262">
        <f t="shared" si="34"/>
        <v>129.65290049512004</v>
      </c>
      <c r="AK17" s="262">
        <f t="shared" si="35"/>
        <v>144.56101427346505</v>
      </c>
      <c r="AL17" s="61">
        <f t="shared" si="36"/>
        <v>824.43869426345748</v>
      </c>
      <c r="AM17" s="265">
        <f t="shared" si="37"/>
        <v>0</v>
      </c>
      <c r="AN17" s="326">
        <f t="shared" si="38"/>
        <v>408.58</v>
      </c>
      <c r="AO17" s="326">
        <f t="shared" si="39"/>
        <v>68.099999999999994</v>
      </c>
      <c r="AP17" s="265">
        <f t="shared" si="40"/>
        <v>0</v>
      </c>
      <c r="AQ17" s="326">
        <f t="shared" si="41"/>
        <v>84.31</v>
      </c>
      <c r="AR17" s="326">
        <f t="shared" si="42"/>
        <v>133.54</v>
      </c>
      <c r="AS17" s="326">
        <f t="shared" si="43"/>
        <v>149.19</v>
      </c>
    </row>
    <row r="18" spans="1:45" outlineLevel="2" x14ac:dyDescent="0.25">
      <c r="A18" s="317"/>
      <c r="B18" s="357" t="str">
        <f t="shared" si="20"/>
        <v>Кабель ВБШв 1*70мк - 1 ГОСТ 31996-2012</v>
      </c>
      <c r="C18" s="391">
        <v>1</v>
      </c>
      <c r="D18" s="200" t="s">
        <v>40</v>
      </c>
      <c r="E18" s="273">
        <v>70</v>
      </c>
      <c r="F18" s="275" t="str">
        <f t="shared" si="21"/>
        <v>мк</v>
      </c>
      <c r="G18" s="274">
        <v>19</v>
      </c>
      <c r="H18" s="37" t="s">
        <v>40</v>
      </c>
      <c r="I18" s="256">
        <v>2.13</v>
      </c>
      <c r="J18" s="39">
        <v>65.39</v>
      </c>
      <c r="K18" s="39">
        <v>9.6</v>
      </c>
      <c r="L18" s="15">
        <f t="shared" si="1"/>
        <v>1.25</v>
      </c>
      <c r="M18" s="61">
        <f t="shared" si="22"/>
        <v>1.5</v>
      </c>
      <c r="N18" s="61">
        <f t="shared" si="2"/>
        <v>12.1</v>
      </c>
      <c r="O18" s="61">
        <f t="shared" si="3"/>
        <v>12.6</v>
      </c>
      <c r="P18" s="61">
        <f t="shared" si="4"/>
        <v>12.6</v>
      </c>
      <c r="Q18" s="61">
        <f t="shared" si="23"/>
        <v>0</v>
      </c>
      <c r="R18" s="61">
        <f t="shared" si="5"/>
        <v>0.5</v>
      </c>
      <c r="S18" s="61">
        <f t="shared" si="24"/>
        <v>1.4</v>
      </c>
      <c r="T18" s="61">
        <f t="shared" si="6"/>
        <v>15.399999999999999</v>
      </c>
      <c r="U18" s="201">
        <f t="shared" si="25"/>
        <v>2</v>
      </c>
      <c r="V18" s="203">
        <f t="shared" si="26"/>
        <v>0.25</v>
      </c>
      <c r="W18" s="37" t="s">
        <v>40</v>
      </c>
      <c r="X18" s="202">
        <f t="shared" si="7"/>
        <v>30</v>
      </c>
      <c r="Y18" s="201">
        <f t="shared" si="8"/>
        <v>35</v>
      </c>
      <c r="Z18" s="61">
        <f t="shared" si="27"/>
        <v>16.399999999999999</v>
      </c>
      <c r="AA18" s="262">
        <f t="shared" si="28"/>
        <v>1.43</v>
      </c>
      <c r="AB18" s="262">
        <f t="shared" si="29"/>
        <v>1.8</v>
      </c>
      <c r="AC18" s="262">
        <f t="shared" si="30"/>
        <v>19.259999999999998</v>
      </c>
      <c r="AD18" s="262">
        <f t="shared" si="31"/>
        <v>20</v>
      </c>
      <c r="AE18" s="61">
        <v>0</v>
      </c>
      <c r="AF18" s="271">
        <f t="shared" si="32"/>
        <v>581.3171000000001</v>
      </c>
      <c r="AG18" s="61">
        <f t="shared" si="14"/>
        <v>77.101281063666065</v>
      </c>
      <c r="AH18" s="15">
        <f t="shared" si="33"/>
        <v>0</v>
      </c>
      <c r="AI18" s="271">
        <f t="shared" si="16"/>
        <v>92.239673583519192</v>
      </c>
      <c r="AJ18" s="262">
        <f t="shared" si="34"/>
        <v>144.15951873233627</v>
      </c>
      <c r="AK18" s="262">
        <f t="shared" si="35"/>
        <v>158.4946060106665</v>
      </c>
      <c r="AL18" s="61">
        <f t="shared" si="36"/>
        <v>1053.3121793901882</v>
      </c>
      <c r="AM18" s="265">
        <f t="shared" si="37"/>
        <v>0</v>
      </c>
      <c r="AN18" s="326">
        <f t="shared" si="38"/>
        <v>590.04</v>
      </c>
      <c r="AO18" s="326">
        <f t="shared" si="39"/>
        <v>79.569999999999993</v>
      </c>
      <c r="AP18" s="265">
        <f t="shared" si="40"/>
        <v>0</v>
      </c>
      <c r="AQ18" s="326">
        <f t="shared" si="41"/>
        <v>95.19</v>
      </c>
      <c r="AR18" s="326">
        <f t="shared" si="42"/>
        <v>148.47999999999999</v>
      </c>
      <c r="AS18" s="326">
        <f t="shared" si="43"/>
        <v>163.57</v>
      </c>
    </row>
    <row r="19" spans="1:45" outlineLevel="2" x14ac:dyDescent="0.25">
      <c r="A19" s="317"/>
      <c r="B19" s="357" t="str">
        <f t="shared" si="20"/>
        <v>Кабель ВБШв 1*95мк - 1 ГОСТ 31996-2012</v>
      </c>
      <c r="C19" s="391">
        <v>1</v>
      </c>
      <c r="D19" s="200" t="s">
        <v>40</v>
      </c>
      <c r="E19" s="273">
        <v>95</v>
      </c>
      <c r="F19" s="275" t="str">
        <f t="shared" si="21"/>
        <v>мк</v>
      </c>
      <c r="G19" s="274">
        <v>19</v>
      </c>
      <c r="H19" s="37" t="s">
        <v>40</v>
      </c>
      <c r="I19" s="256">
        <v>2.5</v>
      </c>
      <c r="J19" s="39">
        <v>90.8</v>
      </c>
      <c r="K19" s="39">
        <v>11.4</v>
      </c>
      <c r="L19" s="15">
        <f t="shared" si="1"/>
        <v>1.4300000000000002</v>
      </c>
      <c r="M19" s="61">
        <f t="shared" si="22"/>
        <v>1.7000000000000002</v>
      </c>
      <c r="N19" s="61">
        <f t="shared" si="2"/>
        <v>14.260000000000002</v>
      </c>
      <c r="O19" s="61">
        <f t="shared" si="3"/>
        <v>14.8</v>
      </c>
      <c r="P19" s="61">
        <f t="shared" si="4"/>
        <v>14.8</v>
      </c>
      <c r="Q19" s="61">
        <f t="shared" si="23"/>
        <v>0</v>
      </c>
      <c r="R19" s="61">
        <f t="shared" si="5"/>
        <v>0.5</v>
      </c>
      <c r="S19" s="61">
        <f t="shared" si="24"/>
        <v>1.4</v>
      </c>
      <c r="T19" s="61">
        <f t="shared" si="6"/>
        <v>17.600000000000001</v>
      </c>
      <c r="U19" s="201">
        <f t="shared" si="25"/>
        <v>2</v>
      </c>
      <c r="V19" s="203">
        <f t="shared" si="26"/>
        <v>0.25</v>
      </c>
      <c r="W19" s="37" t="s">
        <v>40</v>
      </c>
      <c r="X19" s="202">
        <f t="shared" si="7"/>
        <v>30</v>
      </c>
      <c r="Y19" s="201">
        <f t="shared" si="8"/>
        <v>35</v>
      </c>
      <c r="Z19" s="61">
        <f t="shared" si="27"/>
        <v>18.600000000000001</v>
      </c>
      <c r="AA19" s="262">
        <f t="shared" si="28"/>
        <v>1.43</v>
      </c>
      <c r="AB19" s="262">
        <f t="shared" si="29"/>
        <v>1.8</v>
      </c>
      <c r="AC19" s="262">
        <f t="shared" si="30"/>
        <v>21.46</v>
      </c>
      <c r="AD19" s="262">
        <f t="shared" si="31"/>
        <v>22.200000000000003</v>
      </c>
      <c r="AE19" s="61">
        <v>0</v>
      </c>
      <c r="AF19" s="271">
        <f t="shared" si="32"/>
        <v>807.21199999999999</v>
      </c>
      <c r="AG19" s="61">
        <f t="shared" si="14"/>
        <v>103.12585761488552</v>
      </c>
      <c r="AH19" s="15">
        <f t="shared" si="33"/>
        <v>0</v>
      </c>
      <c r="AI19" s="271">
        <f t="shared" si="16"/>
        <v>106.7344794323579</v>
      </c>
      <c r="AJ19" s="262">
        <f t="shared" si="34"/>
        <v>164.10611880850857</v>
      </c>
      <c r="AK19" s="262">
        <f t="shared" si="35"/>
        <v>177.65329464931852</v>
      </c>
      <c r="AL19" s="61">
        <f t="shared" si="36"/>
        <v>1358.8317505050704</v>
      </c>
      <c r="AM19" s="265">
        <f t="shared" si="37"/>
        <v>0</v>
      </c>
      <c r="AN19" s="326">
        <f t="shared" si="38"/>
        <v>819.32</v>
      </c>
      <c r="AO19" s="326">
        <f t="shared" si="39"/>
        <v>106.43</v>
      </c>
      <c r="AP19" s="265">
        <f t="shared" si="40"/>
        <v>0</v>
      </c>
      <c r="AQ19" s="326">
        <f t="shared" si="41"/>
        <v>110.15</v>
      </c>
      <c r="AR19" s="326">
        <f t="shared" si="42"/>
        <v>169.03</v>
      </c>
      <c r="AS19" s="326">
        <f t="shared" si="43"/>
        <v>183.34</v>
      </c>
    </row>
    <row r="20" spans="1:45" outlineLevel="2" x14ac:dyDescent="0.25">
      <c r="A20" s="317"/>
      <c r="B20" s="357" t="str">
        <f t="shared" si="20"/>
        <v>Кабель ВБШв 1*120мк - 1 ГОСТ 31996-2012</v>
      </c>
      <c r="C20" s="391">
        <v>1</v>
      </c>
      <c r="D20" s="200" t="s">
        <v>40</v>
      </c>
      <c r="E20" s="273">
        <v>120</v>
      </c>
      <c r="F20" s="275" t="str">
        <f t="shared" si="21"/>
        <v>мк</v>
      </c>
      <c r="G20" s="274">
        <v>19</v>
      </c>
      <c r="H20" s="37" t="s">
        <v>40</v>
      </c>
      <c r="I20" s="256">
        <v>2.87</v>
      </c>
      <c r="J20" s="39">
        <v>114.53</v>
      </c>
      <c r="K20" s="39">
        <v>12.8</v>
      </c>
      <c r="L20" s="15">
        <f t="shared" si="1"/>
        <v>1.4300000000000002</v>
      </c>
      <c r="M20" s="61">
        <f t="shared" si="22"/>
        <v>1.7000000000000002</v>
      </c>
      <c r="N20" s="61">
        <f t="shared" si="2"/>
        <v>15.66</v>
      </c>
      <c r="O20" s="61">
        <f t="shared" si="3"/>
        <v>16.200000000000003</v>
      </c>
      <c r="P20" s="61">
        <f t="shared" si="4"/>
        <v>16.200000000000003</v>
      </c>
      <c r="Q20" s="61">
        <f t="shared" si="23"/>
        <v>0</v>
      </c>
      <c r="R20" s="61">
        <f t="shared" si="5"/>
        <v>0.5</v>
      </c>
      <c r="S20" s="61">
        <f t="shared" si="24"/>
        <v>1.4</v>
      </c>
      <c r="T20" s="61">
        <f t="shared" si="6"/>
        <v>19.000000000000004</v>
      </c>
      <c r="U20" s="201">
        <f t="shared" si="25"/>
        <v>2</v>
      </c>
      <c r="V20" s="203">
        <f t="shared" si="26"/>
        <v>0.25</v>
      </c>
      <c r="W20" s="37" t="s">
        <v>40</v>
      </c>
      <c r="X20" s="202">
        <f t="shared" si="7"/>
        <v>30</v>
      </c>
      <c r="Y20" s="201">
        <f t="shared" si="8"/>
        <v>35</v>
      </c>
      <c r="Z20" s="61">
        <f t="shared" si="27"/>
        <v>20.000000000000004</v>
      </c>
      <c r="AA20" s="262">
        <f t="shared" si="28"/>
        <v>1.43</v>
      </c>
      <c r="AB20" s="262">
        <f t="shared" si="29"/>
        <v>1.8</v>
      </c>
      <c r="AC20" s="262">
        <f t="shared" si="30"/>
        <v>22.860000000000003</v>
      </c>
      <c r="AD20" s="262">
        <f t="shared" si="31"/>
        <v>23.600000000000005</v>
      </c>
      <c r="AE20" s="61">
        <v>0</v>
      </c>
      <c r="AF20" s="271">
        <f t="shared" si="32"/>
        <v>1018.1717000000001</v>
      </c>
      <c r="AG20" s="61">
        <f t="shared" si="14"/>
        <v>114.14694163479692</v>
      </c>
      <c r="AH20" s="15">
        <f t="shared" si="33"/>
        <v>0</v>
      </c>
      <c r="AI20" s="271">
        <f t="shared" si="16"/>
        <v>115.95844679070984</v>
      </c>
      <c r="AJ20" s="262">
        <f t="shared" si="34"/>
        <v>176.79940976607281</v>
      </c>
      <c r="AK20" s="262">
        <f t="shared" si="35"/>
        <v>189.84518741936984</v>
      </c>
      <c r="AL20" s="61">
        <f t="shared" si="36"/>
        <v>1614.9216856109497</v>
      </c>
      <c r="AM20" s="265">
        <f t="shared" si="37"/>
        <v>0</v>
      </c>
      <c r="AN20" s="326">
        <f t="shared" si="38"/>
        <v>1033.44</v>
      </c>
      <c r="AO20" s="326">
        <f t="shared" si="39"/>
        <v>117.8</v>
      </c>
      <c r="AP20" s="265">
        <f t="shared" si="40"/>
        <v>0</v>
      </c>
      <c r="AQ20" s="326">
        <f t="shared" si="41"/>
        <v>119.67</v>
      </c>
      <c r="AR20" s="326">
        <f t="shared" si="42"/>
        <v>182.1</v>
      </c>
      <c r="AS20" s="326">
        <f t="shared" si="43"/>
        <v>195.92</v>
      </c>
    </row>
    <row r="21" spans="1:45" outlineLevel="2" x14ac:dyDescent="0.25">
      <c r="A21" s="317"/>
      <c r="B21" s="357" t="str">
        <f t="shared" si="20"/>
        <v>Кабель ВБШв 1*150мк - 1 ГОСТ 31996-2012</v>
      </c>
      <c r="C21" s="391">
        <v>1</v>
      </c>
      <c r="D21" s="200" t="s">
        <v>40</v>
      </c>
      <c r="E21" s="273">
        <v>150</v>
      </c>
      <c r="F21" s="275" t="str">
        <f t="shared" si="21"/>
        <v>мк</v>
      </c>
      <c r="G21" s="274">
        <v>37</v>
      </c>
      <c r="H21" s="37" t="s">
        <v>40</v>
      </c>
      <c r="I21" s="256">
        <v>2.23</v>
      </c>
      <c r="J21" s="39">
        <v>141.32</v>
      </c>
      <c r="K21" s="39">
        <v>14.3</v>
      </c>
      <c r="L21" s="15">
        <f t="shared" si="1"/>
        <v>1.61</v>
      </c>
      <c r="M21" s="61">
        <f t="shared" si="22"/>
        <v>1.9000000000000001</v>
      </c>
      <c r="N21" s="61">
        <f t="shared" si="2"/>
        <v>17.52</v>
      </c>
      <c r="O21" s="61">
        <f t="shared" si="3"/>
        <v>18.100000000000001</v>
      </c>
      <c r="P21" s="61">
        <f t="shared" si="4"/>
        <v>18.100000000000001</v>
      </c>
      <c r="Q21" s="61">
        <f t="shared" si="23"/>
        <v>0</v>
      </c>
      <c r="R21" s="61">
        <f t="shared" si="5"/>
        <v>0.5</v>
      </c>
      <c r="S21" s="61">
        <f t="shared" si="24"/>
        <v>1.4</v>
      </c>
      <c r="T21" s="61">
        <f t="shared" si="6"/>
        <v>20.900000000000002</v>
      </c>
      <c r="U21" s="201">
        <f t="shared" si="25"/>
        <v>2</v>
      </c>
      <c r="V21" s="203">
        <f t="shared" si="26"/>
        <v>0.25</v>
      </c>
      <c r="W21" s="37" t="s">
        <v>40</v>
      </c>
      <c r="X21" s="202">
        <f t="shared" si="7"/>
        <v>30</v>
      </c>
      <c r="Y21" s="201">
        <f t="shared" si="8"/>
        <v>35</v>
      </c>
      <c r="Z21" s="61">
        <f t="shared" si="27"/>
        <v>21.900000000000002</v>
      </c>
      <c r="AA21" s="262">
        <f t="shared" si="28"/>
        <v>1.5999999999999999</v>
      </c>
      <c r="AB21" s="262">
        <f t="shared" si="29"/>
        <v>2</v>
      </c>
      <c r="AC21" s="262">
        <f t="shared" si="30"/>
        <v>25.1</v>
      </c>
      <c r="AD21" s="262">
        <f t="shared" si="31"/>
        <v>25.900000000000002</v>
      </c>
      <c r="AE21" s="61">
        <v>0</v>
      </c>
      <c r="AF21" s="271">
        <f t="shared" si="32"/>
        <v>1256.3348000000001</v>
      </c>
      <c r="AG21" s="61">
        <f t="shared" si="14"/>
        <v>142.53317904742593</v>
      </c>
      <c r="AH21" s="15">
        <f t="shared" si="33"/>
        <v>0</v>
      </c>
      <c r="AI21" s="271">
        <f t="shared" si="16"/>
        <v>128.476688205616</v>
      </c>
      <c r="AJ21" s="262">
        <f t="shared" si="34"/>
        <v>194.02601892276707</v>
      </c>
      <c r="AK21" s="262">
        <f t="shared" si="35"/>
        <v>231.2589184160519</v>
      </c>
      <c r="AL21" s="61">
        <f t="shared" si="36"/>
        <v>1952.6296045918609</v>
      </c>
      <c r="AM21" s="265">
        <f t="shared" si="37"/>
        <v>0</v>
      </c>
      <c r="AN21" s="326">
        <f t="shared" si="38"/>
        <v>1275.18</v>
      </c>
      <c r="AO21" s="326">
        <f t="shared" si="39"/>
        <v>147.09</v>
      </c>
      <c r="AP21" s="265">
        <f t="shared" si="40"/>
        <v>0</v>
      </c>
      <c r="AQ21" s="326">
        <f t="shared" si="41"/>
        <v>132.59</v>
      </c>
      <c r="AR21" s="326">
        <f t="shared" si="42"/>
        <v>199.85</v>
      </c>
      <c r="AS21" s="326">
        <f t="shared" si="43"/>
        <v>238.66</v>
      </c>
    </row>
    <row r="22" spans="1:45" outlineLevel="2" x14ac:dyDescent="0.25">
      <c r="A22" s="317"/>
      <c r="B22" s="357" t="str">
        <f t="shared" si="20"/>
        <v>Кабель ВБШв 1*185мк - 1 ГОСТ 31996-2012</v>
      </c>
      <c r="C22" s="391">
        <v>1</v>
      </c>
      <c r="D22" s="200" t="s">
        <v>40</v>
      </c>
      <c r="E22" s="273">
        <v>185</v>
      </c>
      <c r="F22" s="275" t="str">
        <f t="shared" si="21"/>
        <v>мк</v>
      </c>
      <c r="G22" s="274">
        <v>37</v>
      </c>
      <c r="H22" s="37" t="s">
        <v>40</v>
      </c>
      <c r="I22" s="256">
        <v>2.5</v>
      </c>
      <c r="J22" s="39">
        <v>176.83</v>
      </c>
      <c r="K22" s="39">
        <v>15.8</v>
      </c>
      <c r="L22" s="15">
        <f t="shared" si="1"/>
        <v>1.79</v>
      </c>
      <c r="M22" s="61">
        <f t="shared" si="22"/>
        <v>2.1</v>
      </c>
      <c r="N22" s="61">
        <f t="shared" si="2"/>
        <v>19.380000000000003</v>
      </c>
      <c r="O22" s="61">
        <f t="shared" si="3"/>
        <v>20</v>
      </c>
      <c r="P22" s="61">
        <f t="shared" si="4"/>
        <v>20</v>
      </c>
      <c r="Q22" s="61">
        <f t="shared" si="23"/>
        <v>0</v>
      </c>
      <c r="R22" s="61">
        <f t="shared" si="5"/>
        <v>0.5</v>
      </c>
      <c r="S22" s="61">
        <f t="shared" si="24"/>
        <v>1.4</v>
      </c>
      <c r="T22" s="61">
        <f t="shared" si="6"/>
        <v>22.8</v>
      </c>
      <c r="U22" s="201">
        <f t="shared" si="25"/>
        <v>2</v>
      </c>
      <c r="V22" s="203">
        <f t="shared" si="26"/>
        <v>0.25</v>
      </c>
      <c r="W22" s="37" t="s">
        <v>40</v>
      </c>
      <c r="X22" s="202">
        <f t="shared" si="7"/>
        <v>40</v>
      </c>
      <c r="Y22" s="201">
        <f t="shared" si="8"/>
        <v>35</v>
      </c>
      <c r="Z22" s="61">
        <f t="shared" si="27"/>
        <v>23.8</v>
      </c>
      <c r="AA22" s="262">
        <f t="shared" si="28"/>
        <v>1.5999999999999999</v>
      </c>
      <c r="AB22" s="262">
        <f t="shared" si="29"/>
        <v>2</v>
      </c>
      <c r="AC22" s="262">
        <f t="shared" si="30"/>
        <v>27</v>
      </c>
      <c r="AD22" s="262">
        <f t="shared" si="31"/>
        <v>27.8</v>
      </c>
      <c r="AE22" s="61">
        <v>0</v>
      </c>
      <c r="AF22" s="271">
        <f t="shared" si="32"/>
        <v>1572.0187000000003</v>
      </c>
      <c r="AG22" s="61">
        <f t="shared" si="14"/>
        <v>174.06829760860106</v>
      </c>
      <c r="AH22" s="15">
        <f t="shared" si="33"/>
        <v>0</v>
      </c>
      <c r="AI22" s="271">
        <f t="shared" si="16"/>
        <v>140.99492962052219</v>
      </c>
      <c r="AJ22" s="262">
        <f t="shared" si="34"/>
        <v>211.25262807946132</v>
      </c>
      <c r="AK22" s="262">
        <f t="shared" si="35"/>
        <v>249.64351862485935</v>
      </c>
      <c r="AL22" s="61">
        <f t="shared" si="36"/>
        <v>2347.9780739334446</v>
      </c>
      <c r="AM22" s="265">
        <f t="shared" si="37"/>
        <v>0</v>
      </c>
      <c r="AN22" s="326">
        <f t="shared" si="38"/>
        <v>1595.6</v>
      </c>
      <c r="AO22" s="326">
        <f t="shared" si="39"/>
        <v>179.64</v>
      </c>
      <c r="AP22" s="265">
        <f t="shared" si="40"/>
        <v>0</v>
      </c>
      <c r="AQ22" s="326">
        <f t="shared" si="41"/>
        <v>145.51</v>
      </c>
      <c r="AR22" s="326">
        <f t="shared" si="42"/>
        <v>217.59</v>
      </c>
      <c r="AS22" s="326">
        <f t="shared" si="43"/>
        <v>257.63</v>
      </c>
    </row>
    <row r="23" spans="1:45" outlineLevel="2" x14ac:dyDescent="0.25">
      <c r="A23" s="317"/>
      <c r="B23" s="357" t="str">
        <f t="shared" si="20"/>
        <v>Кабель ВБШв 1*240мк - 1 ГОСТ 31996-2012</v>
      </c>
      <c r="C23" s="391">
        <v>1</v>
      </c>
      <c r="D23" s="200" t="s">
        <v>40</v>
      </c>
      <c r="E23" s="273">
        <v>240</v>
      </c>
      <c r="F23" s="275" t="str">
        <f t="shared" si="21"/>
        <v>мк</v>
      </c>
      <c r="G23" s="274">
        <v>37</v>
      </c>
      <c r="H23" s="37" t="s">
        <v>40</v>
      </c>
      <c r="I23" s="256">
        <v>2.87</v>
      </c>
      <c r="J23" s="39">
        <v>232.41</v>
      </c>
      <c r="K23" s="39">
        <v>18.399999999999999</v>
      </c>
      <c r="L23" s="15">
        <f t="shared" si="1"/>
        <v>1.9700000000000002</v>
      </c>
      <c r="M23" s="61">
        <f t="shared" si="22"/>
        <v>2.3000000000000003</v>
      </c>
      <c r="N23" s="61">
        <f t="shared" si="2"/>
        <v>22.34</v>
      </c>
      <c r="O23" s="61">
        <f t="shared" si="3"/>
        <v>23</v>
      </c>
      <c r="P23" s="61">
        <f t="shared" si="4"/>
        <v>23</v>
      </c>
      <c r="Q23" s="61">
        <f t="shared" si="23"/>
        <v>0</v>
      </c>
      <c r="R23" s="61">
        <f t="shared" si="5"/>
        <v>0.5</v>
      </c>
      <c r="S23" s="61">
        <f t="shared" si="24"/>
        <v>1.4</v>
      </c>
      <c r="T23" s="61">
        <f t="shared" si="6"/>
        <v>25.8</v>
      </c>
      <c r="U23" s="201">
        <f t="shared" si="25"/>
        <v>2</v>
      </c>
      <c r="V23" s="203">
        <f t="shared" si="26"/>
        <v>0.25</v>
      </c>
      <c r="W23" s="37" t="s">
        <v>40</v>
      </c>
      <c r="X23" s="202">
        <f t="shared" si="7"/>
        <v>40</v>
      </c>
      <c r="Y23" s="201">
        <f t="shared" si="8"/>
        <v>35</v>
      </c>
      <c r="Z23" s="61">
        <f t="shared" si="27"/>
        <v>26.8</v>
      </c>
      <c r="AA23" s="262">
        <f t="shared" si="28"/>
        <v>1.5999999999999999</v>
      </c>
      <c r="AB23" s="262">
        <f t="shared" si="29"/>
        <v>2</v>
      </c>
      <c r="AC23" s="262">
        <f t="shared" si="30"/>
        <v>30</v>
      </c>
      <c r="AD23" s="262">
        <f t="shared" si="31"/>
        <v>30.8</v>
      </c>
      <c r="AE23" s="61">
        <v>0</v>
      </c>
      <c r="AF23" s="271">
        <f t="shared" si="32"/>
        <v>2066.1249000000003</v>
      </c>
      <c r="AG23" s="61">
        <f t="shared" si="14"/>
        <v>220.46798747394246</v>
      </c>
      <c r="AH23" s="15">
        <f t="shared" si="33"/>
        <v>0</v>
      </c>
      <c r="AI23" s="271">
        <f t="shared" si="16"/>
        <v>160.76057395984773</v>
      </c>
      <c r="AJ23" s="262">
        <f t="shared" si="34"/>
        <v>238.45253727424176</v>
      </c>
      <c r="AK23" s="262">
        <f t="shared" si="35"/>
        <v>278.67183474402901</v>
      </c>
      <c r="AL23" s="61">
        <f t="shared" si="36"/>
        <v>2964.4778334520615</v>
      </c>
      <c r="AM23" s="265">
        <f t="shared" si="37"/>
        <v>0</v>
      </c>
      <c r="AN23" s="326">
        <f t="shared" si="38"/>
        <v>2097.12</v>
      </c>
      <c r="AO23" s="326">
        <f t="shared" si="39"/>
        <v>227.52</v>
      </c>
      <c r="AP23" s="265">
        <f t="shared" si="40"/>
        <v>0</v>
      </c>
      <c r="AQ23" s="326">
        <f t="shared" si="41"/>
        <v>165.9</v>
      </c>
      <c r="AR23" s="326">
        <f t="shared" si="42"/>
        <v>245.61</v>
      </c>
      <c r="AS23" s="326">
        <f t="shared" si="43"/>
        <v>287.58999999999997</v>
      </c>
    </row>
    <row r="24" spans="1:45" outlineLevel="2" x14ac:dyDescent="0.25">
      <c r="A24" s="317"/>
      <c r="B24" s="357" t="str">
        <f t="shared" si="20"/>
        <v>Кабель ВБШв 1*300мк - 1 ГОСТ 31996-2012</v>
      </c>
      <c r="C24" s="391">
        <v>1</v>
      </c>
      <c r="D24" s="200" t="s">
        <v>40</v>
      </c>
      <c r="E24" s="273">
        <v>300</v>
      </c>
      <c r="F24" s="275" t="str">
        <f t="shared" si="21"/>
        <v>мк</v>
      </c>
      <c r="G24" s="274">
        <v>36</v>
      </c>
      <c r="H24" s="37" t="s">
        <v>40</v>
      </c>
      <c r="I24" s="256">
        <v>3.4</v>
      </c>
      <c r="J24" s="39">
        <v>291.45999999999998</v>
      </c>
      <c r="K24" s="39">
        <v>20</v>
      </c>
      <c r="L24" s="15">
        <f t="shared" si="1"/>
        <v>2.15</v>
      </c>
      <c r="M24" s="61">
        <f t="shared" si="22"/>
        <v>2.5</v>
      </c>
      <c r="N24" s="61">
        <f t="shared" si="2"/>
        <v>24.3</v>
      </c>
      <c r="O24" s="61">
        <f t="shared" si="3"/>
        <v>25</v>
      </c>
      <c r="P24" s="61">
        <f t="shared" si="4"/>
        <v>25</v>
      </c>
      <c r="Q24" s="61">
        <f t="shared" si="23"/>
        <v>0</v>
      </c>
      <c r="R24" s="61">
        <f t="shared" si="5"/>
        <v>0.5</v>
      </c>
      <c r="S24" s="61">
        <f t="shared" si="24"/>
        <v>1.4</v>
      </c>
      <c r="T24" s="61">
        <f t="shared" si="6"/>
        <v>27.8</v>
      </c>
      <c r="U24" s="201">
        <f t="shared" si="25"/>
        <v>2</v>
      </c>
      <c r="V24" s="203">
        <f t="shared" si="26"/>
        <v>0.25</v>
      </c>
      <c r="W24" s="37" t="s">
        <v>40</v>
      </c>
      <c r="X24" s="202">
        <f t="shared" si="7"/>
        <v>40</v>
      </c>
      <c r="Y24" s="201">
        <f t="shared" si="8"/>
        <v>35</v>
      </c>
      <c r="Z24" s="61">
        <f t="shared" si="27"/>
        <v>28.8</v>
      </c>
      <c r="AA24" s="262">
        <f t="shared" si="28"/>
        <v>1.5999999999999999</v>
      </c>
      <c r="AB24" s="262">
        <f t="shared" si="29"/>
        <v>2</v>
      </c>
      <c r="AC24" s="262">
        <f t="shared" si="30"/>
        <v>32</v>
      </c>
      <c r="AD24" s="262">
        <f t="shared" si="31"/>
        <v>32.799999999999997</v>
      </c>
      <c r="AE24" s="61">
        <v>0</v>
      </c>
      <c r="AF24" s="271">
        <f t="shared" si="32"/>
        <v>2591.0794000000001</v>
      </c>
      <c r="AG24" s="61">
        <f t="shared" si="14"/>
        <v>260.47730089076373</v>
      </c>
      <c r="AH24" s="15">
        <f t="shared" si="33"/>
        <v>0</v>
      </c>
      <c r="AI24" s="271">
        <f t="shared" si="16"/>
        <v>173.93767018606476</v>
      </c>
      <c r="AJ24" s="262">
        <f t="shared" si="34"/>
        <v>256.58581007076202</v>
      </c>
      <c r="AK24" s="262">
        <f t="shared" si="35"/>
        <v>298.02404549014216</v>
      </c>
      <c r="AL24" s="61">
        <f t="shared" si="36"/>
        <v>3580.1042266377326</v>
      </c>
      <c r="AM24" s="265">
        <f t="shared" si="37"/>
        <v>0</v>
      </c>
      <c r="AN24" s="326">
        <f t="shared" si="38"/>
        <v>2629.95</v>
      </c>
      <c r="AO24" s="326">
        <f t="shared" si="39"/>
        <v>268.81</v>
      </c>
      <c r="AP24" s="265">
        <f t="shared" si="40"/>
        <v>0</v>
      </c>
      <c r="AQ24" s="326">
        <f t="shared" si="41"/>
        <v>179.5</v>
      </c>
      <c r="AR24" s="326">
        <f t="shared" si="42"/>
        <v>264.27999999999997</v>
      </c>
      <c r="AS24" s="326">
        <f t="shared" si="43"/>
        <v>307.56</v>
      </c>
    </row>
    <row r="25" spans="1:45" outlineLevel="2" x14ac:dyDescent="0.25">
      <c r="A25" s="317"/>
      <c r="B25" s="357" t="str">
        <f t="shared" si="20"/>
        <v>Кабель ВБШв 1*400мк - 1 ГОСТ 31996-2012</v>
      </c>
      <c r="C25" s="391">
        <v>1</v>
      </c>
      <c r="D25" s="200" t="s">
        <v>40</v>
      </c>
      <c r="E25" s="273">
        <v>400</v>
      </c>
      <c r="F25" s="275" t="str">
        <f t="shared" si="21"/>
        <v>мк</v>
      </c>
      <c r="G25" s="274">
        <v>37</v>
      </c>
      <c r="H25" s="37" t="s">
        <v>40</v>
      </c>
      <c r="I25" s="256">
        <v>3.55</v>
      </c>
      <c r="J25" s="39">
        <v>375</v>
      </c>
      <c r="K25" s="39">
        <v>22.8</v>
      </c>
      <c r="L25" s="15">
        <f t="shared" si="1"/>
        <v>2.33</v>
      </c>
      <c r="M25" s="61">
        <f t="shared" si="22"/>
        <v>2.7</v>
      </c>
      <c r="N25" s="61">
        <f t="shared" si="2"/>
        <v>27.46</v>
      </c>
      <c r="O25" s="61">
        <f t="shared" si="3"/>
        <v>28.200000000000003</v>
      </c>
      <c r="P25" s="61">
        <f t="shared" si="4"/>
        <v>28.200000000000003</v>
      </c>
      <c r="Q25" s="61">
        <f t="shared" si="23"/>
        <v>0</v>
      </c>
      <c r="R25" s="61">
        <f t="shared" si="5"/>
        <v>0.6</v>
      </c>
      <c r="S25" s="61">
        <f t="shared" si="24"/>
        <v>1.5</v>
      </c>
      <c r="T25" s="61">
        <f t="shared" si="6"/>
        <v>31.200000000000003</v>
      </c>
      <c r="U25" s="201">
        <f t="shared" si="25"/>
        <v>2</v>
      </c>
      <c r="V25" s="203">
        <f t="shared" si="26"/>
        <v>0.25</v>
      </c>
      <c r="W25" s="37" t="s">
        <v>40</v>
      </c>
      <c r="X25" s="202">
        <f t="shared" si="7"/>
        <v>50</v>
      </c>
      <c r="Y25" s="201">
        <f t="shared" si="8"/>
        <v>35</v>
      </c>
      <c r="Z25" s="61">
        <f t="shared" si="27"/>
        <v>32.200000000000003</v>
      </c>
      <c r="AA25" s="262">
        <f t="shared" si="28"/>
        <v>1.77</v>
      </c>
      <c r="AB25" s="262">
        <f t="shared" si="29"/>
        <v>2.2000000000000002</v>
      </c>
      <c r="AC25" s="262">
        <f t="shared" si="30"/>
        <v>35.74</v>
      </c>
      <c r="AD25" s="262">
        <f t="shared" si="31"/>
        <v>36.6</v>
      </c>
      <c r="AE25" s="61">
        <v>0</v>
      </c>
      <c r="AF25" s="271">
        <f t="shared" si="32"/>
        <v>3333.75</v>
      </c>
      <c r="AG25" s="61">
        <f t="shared" si="14"/>
        <v>318.82421629029488</v>
      </c>
      <c r="AH25" s="15">
        <f t="shared" si="33"/>
        <v>0</v>
      </c>
      <c r="AI25" s="271">
        <f t="shared" si="16"/>
        <v>209.65701317070312</v>
      </c>
      <c r="AJ25" s="262">
        <f t="shared" si="34"/>
        <v>287.4123738248465</v>
      </c>
      <c r="AK25" s="262">
        <f t="shared" si="35"/>
        <v>366.14382731646043</v>
      </c>
      <c r="AL25" s="61">
        <f t="shared" si="36"/>
        <v>4515.787430602305</v>
      </c>
      <c r="AM25" s="265">
        <f t="shared" si="37"/>
        <v>0</v>
      </c>
      <c r="AN25" s="326">
        <f t="shared" si="38"/>
        <v>3383.76</v>
      </c>
      <c r="AO25" s="326">
        <f t="shared" si="39"/>
        <v>329.03</v>
      </c>
      <c r="AP25" s="265">
        <f t="shared" si="40"/>
        <v>0</v>
      </c>
      <c r="AQ25" s="326">
        <f t="shared" si="41"/>
        <v>216.37</v>
      </c>
      <c r="AR25" s="326">
        <f t="shared" si="42"/>
        <v>296.02999999999997</v>
      </c>
      <c r="AS25" s="326">
        <f t="shared" si="43"/>
        <v>377.86</v>
      </c>
    </row>
    <row r="26" spans="1:45" outlineLevel="2" x14ac:dyDescent="0.25">
      <c r="A26" s="317"/>
      <c r="B26" s="357" t="str">
        <f t="shared" si="20"/>
        <v>Кабель ВБШв 1*500мк - 1 ГОСТ 31996-2012</v>
      </c>
      <c r="C26" s="391">
        <v>1</v>
      </c>
      <c r="D26" s="200" t="s">
        <v>40</v>
      </c>
      <c r="E26" s="273">
        <v>500</v>
      </c>
      <c r="F26" s="275" t="str">
        <f t="shared" si="21"/>
        <v>мк</v>
      </c>
      <c r="G26" s="274">
        <v>57</v>
      </c>
      <c r="H26" s="37" t="s">
        <v>40</v>
      </c>
      <c r="I26" s="256">
        <v>3.4</v>
      </c>
      <c r="J26" s="39">
        <v>478.6</v>
      </c>
      <c r="K26" s="39">
        <v>25.8</v>
      </c>
      <c r="L26" s="15">
        <f t="shared" si="1"/>
        <v>2.5099999999999998</v>
      </c>
      <c r="M26" s="61">
        <f t="shared" si="22"/>
        <v>2.9</v>
      </c>
      <c r="N26" s="61">
        <f t="shared" si="2"/>
        <v>30.82</v>
      </c>
      <c r="O26" s="61">
        <f t="shared" si="3"/>
        <v>31.6</v>
      </c>
      <c r="P26" s="61">
        <f t="shared" si="4"/>
        <v>31.6</v>
      </c>
      <c r="Q26" s="61">
        <f t="shared" si="23"/>
        <v>0</v>
      </c>
      <c r="R26" s="61">
        <f t="shared" si="5"/>
        <v>0.6</v>
      </c>
      <c r="S26" s="61">
        <f t="shared" si="24"/>
        <v>1.5</v>
      </c>
      <c r="T26" s="61">
        <f t="shared" si="6"/>
        <v>34.6</v>
      </c>
      <c r="U26" s="201">
        <f t="shared" si="25"/>
        <v>2</v>
      </c>
      <c r="V26" s="203">
        <f t="shared" si="26"/>
        <v>0.25</v>
      </c>
      <c r="W26" s="37" t="s">
        <v>40</v>
      </c>
      <c r="X26" s="202">
        <f t="shared" si="7"/>
        <v>50</v>
      </c>
      <c r="Y26" s="201">
        <f t="shared" si="8"/>
        <v>35</v>
      </c>
      <c r="Z26" s="61">
        <f t="shared" si="27"/>
        <v>35.6</v>
      </c>
      <c r="AA26" s="262">
        <f t="shared" si="28"/>
        <v>1.77</v>
      </c>
      <c r="AB26" s="262">
        <f t="shared" si="29"/>
        <v>2.2000000000000002</v>
      </c>
      <c r="AC26" s="262">
        <f t="shared" si="30"/>
        <v>39.14</v>
      </c>
      <c r="AD26" s="262">
        <f t="shared" si="31"/>
        <v>40</v>
      </c>
      <c r="AE26" s="61">
        <v>0</v>
      </c>
      <c r="AF26" s="271">
        <f t="shared" si="32"/>
        <v>4254.7540000000008</v>
      </c>
      <c r="AG26" s="61">
        <f t="shared" si="14"/>
        <v>385.41379116690246</v>
      </c>
      <c r="AH26" s="15">
        <f t="shared" si="33"/>
        <v>0</v>
      </c>
      <c r="AI26" s="271">
        <f t="shared" si="16"/>
        <v>233.6581527255984</v>
      </c>
      <c r="AJ26" s="262">
        <f t="shared" si="34"/>
        <v>318.23893757893103</v>
      </c>
      <c r="AK26" s="262">
        <f t="shared" si="35"/>
        <v>402.33246141169195</v>
      </c>
      <c r="AL26" s="61">
        <f t="shared" si="36"/>
        <v>5594.3973428831241</v>
      </c>
      <c r="AM26" s="265">
        <f t="shared" si="37"/>
        <v>0</v>
      </c>
      <c r="AN26" s="326">
        <f t="shared" si="38"/>
        <v>4318.58</v>
      </c>
      <c r="AO26" s="326">
        <f t="shared" si="39"/>
        <v>397.75</v>
      </c>
      <c r="AP26" s="265">
        <f t="shared" si="40"/>
        <v>0</v>
      </c>
      <c r="AQ26" s="326">
        <f t="shared" si="41"/>
        <v>241.14</v>
      </c>
      <c r="AR26" s="326">
        <f t="shared" si="42"/>
        <v>327.79</v>
      </c>
      <c r="AS26" s="326">
        <f t="shared" si="43"/>
        <v>415.21</v>
      </c>
    </row>
    <row r="27" spans="1:45" outlineLevel="2" x14ac:dyDescent="0.25">
      <c r="A27" s="317"/>
      <c r="B27" s="357" t="str">
        <f t="shared" si="20"/>
        <v>Кабель ВБШв 1*630мк - 1 ГОСТ 31996-2012</v>
      </c>
      <c r="C27" s="391">
        <v>1</v>
      </c>
      <c r="D27" s="200" t="s">
        <v>40</v>
      </c>
      <c r="E27" s="273">
        <v>630</v>
      </c>
      <c r="F27" s="275" t="str">
        <f t="shared" si="21"/>
        <v>мк</v>
      </c>
      <c r="G27" s="274">
        <v>58</v>
      </c>
      <c r="H27" s="37" t="s">
        <v>40</v>
      </c>
      <c r="I27" s="256">
        <v>3.85</v>
      </c>
      <c r="J27" s="38">
        <v>618.97</v>
      </c>
      <c r="K27" s="38">
        <v>29.3</v>
      </c>
      <c r="L27" s="15">
        <f t="shared" si="1"/>
        <v>2.5099999999999998</v>
      </c>
      <c r="M27" s="61">
        <f t="shared" si="22"/>
        <v>2.9</v>
      </c>
      <c r="N27" s="61">
        <f t="shared" si="2"/>
        <v>34.32</v>
      </c>
      <c r="O27" s="61">
        <f t="shared" si="3"/>
        <v>35.1</v>
      </c>
      <c r="P27" s="61">
        <f t="shared" si="4"/>
        <v>35.1</v>
      </c>
      <c r="Q27" s="61">
        <f t="shared" si="23"/>
        <v>0</v>
      </c>
      <c r="R27" s="61">
        <f t="shared" si="5"/>
        <v>0.7</v>
      </c>
      <c r="S27" s="61">
        <f t="shared" si="24"/>
        <v>1.6</v>
      </c>
      <c r="T27" s="61">
        <f t="shared" si="6"/>
        <v>38.300000000000004</v>
      </c>
      <c r="U27" s="201">
        <f t="shared" si="25"/>
        <v>2</v>
      </c>
      <c r="V27" s="203">
        <f t="shared" si="26"/>
        <v>0.25</v>
      </c>
      <c r="W27" s="37" t="s">
        <v>40</v>
      </c>
      <c r="X27" s="202">
        <f t="shared" si="7"/>
        <v>50</v>
      </c>
      <c r="Y27" s="201">
        <f t="shared" si="8"/>
        <v>35</v>
      </c>
      <c r="Z27" s="61">
        <f t="shared" si="27"/>
        <v>39.300000000000004</v>
      </c>
      <c r="AA27" s="262">
        <f t="shared" si="28"/>
        <v>1.77</v>
      </c>
      <c r="AB27" s="262">
        <f t="shared" si="29"/>
        <v>2.2000000000000002</v>
      </c>
      <c r="AC27" s="262">
        <f t="shared" si="30"/>
        <v>42.84</v>
      </c>
      <c r="AD27" s="262">
        <f t="shared" si="31"/>
        <v>43.7</v>
      </c>
      <c r="AE27" s="61">
        <v>0</v>
      </c>
      <c r="AF27" s="271">
        <f t="shared" si="32"/>
        <v>5502.6433000000006</v>
      </c>
      <c r="AG27" s="61">
        <f t="shared" si="14"/>
        <v>432.4154730165248</v>
      </c>
      <c r="AH27" s="15">
        <f t="shared" si="33"/>
        <v>0</v>
      </c>
      <c r="AI27" s="271">
        <f t="shared" si="16"/>
        <v>276.34253228695144</v>
      </c>
      <c r="AJ27" s="262">
        <f t="shared" si="34"/>
        <v>351.78549225249355</v>
      </c>
      <c r="AK27" s="262">
        <f t="shared" si="35"/>
        <v>441.7142102800322</v>
      </c>
      <c r="AL27" s="61">
        <f t="shared" si="36"/>
        <v>7004.9010078360034</v>
      </c>
      <c r="AM27" s="265">
        <f t="shared" si="37"/>
        <v>0</v>
      </c>
      <c r="AN27" s="326">
        <f t="shared" si="38"/>
        <v>5585.18</v>
      </c>
      <c r="AO27" s="326">
        <f t="shared" si="39"/>
        <v>446.25</v>
      </c>
      <c r="AP27" s="265">
        <f t="shared" si="40"/>
        <v>0</v>
      </c>
      <c r="AQ27" s="326">
        <f t="shared" si="41"/>
        <v>285.19</v>
      </c>
      <c r="AR27" s="326">
        <f t="shared" si="42"/>
        <v>362.34</v>
      </c>
      <c r="AS27" s="326">
        <f t="shared" si="43"/>
        <v>455.85</v>
      </c>
    </row>
    <row r="28" spans="1:45" s="207" customFormat="1" outlineLevel="1" x14ac:dyDescent="0.25">
      <c r="A28" s="359">
        <v>1</v>
      </c>
      <c r="B28" s="272"/>
      <c r="C28" s="392"/>
      <c r="D28" s="193"/>
      <c r="E28" s="53"/>
      <c r="F28" s="275"/>
      <c r="G28" s="238"/>
      <c r="H28" s="194"/>
      <c r="I28" s="193"/>
      <c r="J28" s="194"/>
      <c r="K28" s="194"/>
      <c r="L28" s="194"/>
      <c r="M28" s="61"/>
      <c r="N28" s="194"/>
      <c r="O28" s="194"/>
      <c r="P28" s="194"/>
      <c r="Q28" s="61" t="str">
        <f t="shared" si="23"/>
        <v/>
      </c>
      <c r="R28" s="194"/>
      <c r="S28" s="61" t="str">
        <f t="shared" si="24"/>
        <v/>
      </c>
      <c r="T28" s="194"/>
      <c r="U28" s="196"/>
      <c r="V28" s="203"/>
      <c r="W28" s="194"/>
      <c r="X28" s="239"/>
      <c r="Y28" s="198"/>
      <c r="Z28" s="194"/>
      <c r="AA28" s="188"/>
      <c r="AB28" s="188"/>
      <c r="AC28" s="188"/>
      <c r="AD28" s="188"/>
      <c r="AE28" s="194"/>
      <c r="AF28" s="188"/>
      <c r="AG28" s="188"/>
      <c r="AH28" s="195"/>
      <c r="AI28" s="188"/>
      <c r="AJ28" s="188"/>
      <c r="AK28" s="188"/>
      <c r="AL28" s="194"/>
    </row>
    <row r="29" spans="1:45" s="207" customFormat="1" outlineLevel="2" x14ac:dyDescent="0.25">
      <c r="A29" s="318"/>
      <c r="B29" s="357" t="str">
        <f t="shared" si="20"/>
        <v>Кабель ВБШв 2*1,5ок (N) - 1 ГОСТ 31996-2012</v>
      </c>
      <c r="C29" s="390">
        <v>2</v>
      </c>
      <c r="D29" s="200" t="s">
        <v>40</v>
      </c>
      <c r="E29" s="273">
        <v>1.5</v>
      </c>
      <c r="F29" s="275" t="str">
        <f t="shared" si="21"/>
        <v>ок</v>
      </c>
      <c r="G29" s="277">
        <v>1</v>
      </c>
      <c r="H29" s="37" t="s">
        <v>40</v>
      </c>
      <c r="I29" s="256">
        <v>1.36</v>
      </c>
      <c r="J29" s="61">
        <v>1.45</v>
      </c>
      <c r="K29" s="61">
        <f>I29</f>
        <v>1.36</v>
      </c>
      <c r="L29" s="61">
        <f t="shared" si="1"/>
        <v>0.71000000000000008</v>
      </c>
      <c r="M29" s="61">
        <f t="shared" si="22"/>
        <v>0.9</v>
      </c>
      <c r="N29" s="61">
        <f t="shared" si="2"/>
        <v>2.7800000000000002</v>
      </c>
      <c r="O29" s="61">
        <f t="shared" si="3"/>
        <v>3.16</v>
      </c>
      <c r="P29" s="61">
        <f t="shared" si="4"/>
        <v>6.32</v>
      </c>
      <c r="Q29" s="61">
        <f t="shared" si="23"/>
        <v>0</v>
      </c>
      <c r="R29" s="61">
        <f t="shared" si="5"/>
        <v>0.5</v>
      </c>
      <c r="S29" s="61">
        <f t="shared" si="24"/>
        <v>1.4</v>
      </c>
      <c r="T29" s="61">
        <f t="shared" si="6"/>
        <v>9.120000000000001</v>
      </c>
      <c r="U29" s="201">
        <f t="shared" si="25"/>
        <v>2</v>
      </c>
      <c r="V29" s="203">
        <f t="shared" si="26"/>
        <v>0.25</v>
      </c>
      <c r="W29" s="37" t="s">
        <v>40</v>
      </c>
      <c r="X29" s="202">
        <f t="shared" ref="X29:X40" si="44">IF(AND(T29&gt;7,T29&lt;=10),15,IF(AND(T29&gt;10,T29&lt;=13),20,IF(AND(T29&gt;13,T29&lt;=21),30,IF(AND(T29&gt;21,T29&lt;=31),40,IF(AND(T29&gt;31,T29&lt;=70),50,IF(AND(T29&gt;70,T29&lt;=80),60,"ошибка"))))))</f>
        <v>15</v>
      </c>
      <c r="Y29" s="201">
        <f t="shared" si="8"/>
        <v>35</v>
      </c>
      <c r="Z29" s="61">
        <f t="shared" ref="Z29:Z40" si="45">T29+2*U29*V29</f>
        <v>10.120000000000001</v>
      </c>
      <c r="AA29" s="271">
        <f t="shared" ref="AA29:AA40" si="46">0.85*AB29-0.1</f>
        <v>1.43</v>
      </c>
      <c r="AB29" s="271">
        <f t="shared" ref="AB29:AB40" si="47">IF(Z29&lt;=20,1.8,IF(AND(Z29&gt;20,Z29&lt;=30),2,IF(AND(Z29&gt;30,Z29&lt;=40),2.2,IF(AND(Z29&gt;40,Z29&lt;=50),2.4,IF(AND(Z29&gt;50,Z29&lt;=60),2.6,3.1)))))</f>
        <v>1.8</v>
      </c>
      <c r="AC29" s="271">
        <f t="shared" ref="AC29:AC40" si="48">Z29+2*AA29</f>
        <v>12.98</v>
      </c>
      <c r="AD29" s="271">
        <f t="shared" ref="AD29:AD40" si="49">Z29+2*AB29</f>
        <v>13.72</v>
      </c>
      <c r="AE29" s="61">
        <v>0</v>
      </c>
      <c r="AF29" s="271">
        <f t="shared" si="32"/>
        <v>26.009315649152448</v>
      </c>
      <c r="AG29" s="61">
        <f t="shared" ref="AG29:AG40" si="50">PI()*(IF(G29=1,I29,K29)+M29)*M29*$AG$9*C29*IF(C29&gt;1,1.007,1)*IF(G29=1,1,(IF(E29&gt;=4,1.1,1.07)))</f>
        <v>17.245074935657247</v>
      </c>
      <c r="AH29" s="15">
        <f t="shared" ref="AH29:AH40" si="51">PI()*POWER(Q29,2)/4*$AH$9</f>
        <v>0</v>
      </c>
      <c r="AI29" s="271">
        <f t="shared" si="16"/>
        <v>69.495548081178256</v>
      </c>
      <c r="AJ29" s="59">
        <f t="shared" ref="AJ29:AJ40" si="52">PI()*(T29+U29*V29)*U29*V29*$AJ$9*ROUND(100/(100+Y29),2)</f>
        <v>87.22104215126258</v>
      </c>
      <c r="AK29" s="59">
        <f t="shared" ref="AK29:AK40" si="53">PI()*(Z29+AB29)*AB29*1.1*$AK$9</f>
        <v>103.80525844215082</v>
      </c>
      <c r="AL29" s="268">
        <f t="shared" ref="AL29:AL40" si="54">SUM(AE29:AK29)</f>
        <v>303.77623925940134</v>
      </c>
      <c r="AM29" s="265">
        <f t="shared" ref="AM29:AM40" si="55">ROUND(AE29*1.015,2)</f>
        <v>0</v>
      </c>
      <c r="AN29" s="326">
        <f t="shared" ref="AN29:AN40" si="56">ROUND(AF29*1.015,2)</f>
        <v>26.4</v>
      </c>
      <c r="AO29" s="326">
        <f t="shared" ref="AO29:AO40" si="57">ROUND(AG29*1.032,2)</f>
        <v>17.8</v>
      </c>
      <c r="AP29" s="265">
        <f t="shared" ref="AP29:AP40" si="58">ROUND(AH29*1.032,2)</f>
        <v>0</v>
      </c>
      <c r="AQ29" s="326">
        <f t="shared" ref="AQ29:AQ40" si="59">ROUND(AI29*1.032,2)</f>
        <v>71.72</v>
      </c>
      <c r="AR29" s="326">
        <f t="shared" ref="AR29:AR40" si="60">ROUND(AJ29*1.03,2)</f>
        <v>89.84</v>
      </c>
      <c r="AS29" s="326">
        <f t="shared" ref="AS29:AS40" si="61">ROUND(AK29*1.032,2)</f>
        <v>107.13</v>
      </c>
    </row>
    <row r="30" spans="1:45" s="207" customFormat="1" outlineLevel="2" x14ac:dyDescent="0.25">
      <c r="A30" s="318"/>
      <c r="B30" s="357" t="str">
        <f t="shared" si="20"/>
        <v>Кабель ВБШв 2*2,5ок (N) - 1 ГОСТ 31996-2012</v>
      </c>
      <c r="C30" s="391">
        <v>2</v>
      </c>
      <c r="D30" s="200" t="s">
        <v>40</v>
      </c>
      <c r="E30" s="273">
        <v>2.5</v>
      </c>
      <c r="F30" s="275" t="str">
        <f t="shared" si="21"/>
        <v>ок</v>
      </c>
      <c r="G30" s="277">
        <v>1</v>
      </c>
      <c r="H30" s="37" t="s">
        <v>40</v>
      </c>
      <c r="I30" s="256">
        <v>1.76</v>
      </c>
      <c r="J30" s="61">
        <v>2.4300000000000002</v>
      </c>
      <c r="K30" s="61">
        <f t="shared" ref="K30:K36" si="62">I30</f>
        <v>1.76</v>
      </c>
      <c r="L30" s="61">
        <f t="shared" si="1"/>
        <v>0.71000000000000008</v>
      </c>
      <c r="M30" s="61">
        <f t="shared" si="22"/>
        <v>0.9</v>
      </c>
      <c r="N30" s="61">
        <f t="shared" si="2"/>
        <v>3.18</v>
      </c>
      <c r="O30" s="61">
        <f t="shared" si="3"/>
        <v>3.56</v>
      </c>
      <c r="P30" s="61">
        <f t="shared" si="4"/>
        <v>7.12</v>
      </c>
      <c r="Q30" s="61">
        <f t="shared" si="23"/>
        <v>0</v>
      </c>
      <c r="R30" s="61">
        <f t="shared" si="5"/>
        <v>0.5</v>
      </c>
      <c r="S30" s="61">
        <f t="shared" si="24"/>
        <v>1.4</v>
      </c>
      <c r="T30" s="61">
        <f t="shared" si="6"/>
        <v>9.92</v>
      </c>
      <c r="U30" s="201">
        <f t="shared" si="25"/>
        <v>2</v>
      </c>
      <c r="V30" s="203">
        <f t="shared" si="26"/>
        <v>0.25</v>
      </c>
      <c r="W30" s="37" t="s">
        <v>40</v>
      </c>
      <c r="X30" s="202">
        <f t="shared" si="44"/>
        <v>15</v>
      </c>
      <c r="Y30" s="201">
        <f t="shared" si="8"/>
        <v>35</v>
      </c>
      <c r="Z30" s="61">
        <f t="shared" si="45"/>
        <v>10.92</v>
      </c>
      <c r="AA30" s="271">
        <f t="shared" si="46"/>
        <v>1.43</v>
      </c>
      <c r="AB30" s="271">
        <f t="shared" si="47"/>
        <v>1.8</v>
      </c>
      <c r="AC30" s="271">
        <f t="shared" si="48"/>
        <v>13.78</v>
      </c>
      <c r="AD30" s="271">
        <f t="shared" si="49"/>
        <v>14.52</v>
      </c>
      <c r="AE30" s="61">
        <v>0</v>
      </c>
      <c r="AF30" s="271">
        <f t="shared" si="32"/>
        <v>43.558853889930042</v>
      </c>
      <c r="AG30" s="61">
        <f t="shared" si="50"/>
        <v>20.297300587985966</v>
      </c>
      <c r="AH30" s="15">
        <f t="shared" si="51"/>
        <v>0</v>
      </c>
      <c r="AI30" s="271">
        <f t="shared" si="16"/>
        <v>80.332786099001595</v>
      </c>
      <c r="AJ30" s="169">
        <f t="shared" si="52"/>
        <v>94.474351269870695</v>
      </c>
      <c r="AK30" s="169">
        <f t="shared" si="53"/>
        <v>110.77205431075153</v>
      </c>
      <c r="AL30" s="269">
        <f t="shared" si="54"/>
        <v>349.43534615753981</v>
      </c>
      <c r="AM30" s="265">
        <f t="shared" si="55"/>
        <v>0</v>
      </c>
      <c r="AN30" s="326">
        <f t="shared" si="56"/>
        <v>44.21</v>
      </c>
      <c r="AO30" s="326">
        <f t="shared" si="57"/>
        <v>20.95</v>
      </c>
      <c r="AP30" s="265">
        <f t="shared" si="58"/>
        <v>0</v>
      </c>
      <c r="AQ30" s="326">
        <f t="shared" si="59"/>
        <v>82.9</v>
      </c>
      <c r="AR30" s="326">
        <f t="shared" si="60"/>
        <v>97.31</v>
      </c>
      <c r="AS30" s="326">
        <f t="shared" si="61"/>
        <v>114.32</v>
      </c>
    </row>
    <row r="31" spans="1:45" s="207" customFormat="1" outlineLevel="2" x14ac:dyDescent="0.25">
      <c r="A31" s="318"/>
      <c r="B31" s="357" t="str">
        <f t="shared" si="20"/>
        <v>Кабель ВБШв 2*4ок (N) - 1 ГОСТ 31996-2012</v>
      </c>
      <c r="C31" s="391">
        <v>2</v>
      </c>
      <c r="D31" s="200" t="s">
        <v>40</v>
      </c>
      <c r="E31" s="273">
        <v>4</v>
      </c>
      <c r="F31" s="275" t="str">
        <f t="shared" si="21"/>
        <v>ок</v>
      </c>
      <c r="G31" s="277">
        <v>1</v>
      </c>
      <c r="H31" s="37" t="s">
        <v>40</v>
      </c>
      <c r="I31" s="256">
        <v>2.23</v>
      </c>
      <c r="J31" s="61">
        <v>3.91</v>
      </c>
      <c r="K31" s="61">
        <f t="shared" si="62"/>
        <v>2.23</v>
      </c>
      <c r="L31" s="61">
        <f t="shared" si="1"/>
        <v>0.89000000000000012</v>
      </c>
      <c r="M31" s="61">
        <f t="shared" si="22"/>
        <v>1.1000000000000001</v>
      </c>
      <c r="N31" s="61">
        <f t="shared" si="2"/>
        <v>4.01</v>
      </c>
      <c r="O31" s="61">
        <f t="shared" si="3"/>
        <v>4.43</v>
      </c>
      <c r="P31" s="61">
        <f t="shared" si="4"/>
        <v>8.86</v>
      </c>
      <c r="Q31" s="61">
        <f t="shared" si="23"/>
        <v>0</v>
      </c>
      <c r="R31" s="61">
        <f t="shared" si="5"/>
        <v>0.5</v>
      </c>
      <c r="S31" s="61">
        <f t="shared" si="24"/>
        <v>1.4</v>
      </c>
      <c r="T31" s="61">
        <f t="shared" si="6"/>
        <v>11.66</v>
      </c>
      <c r="U31" s="201">
        <f t="shared" si="25"/>
        <v>2</v>
      </c>
      <c r="V31" s="203">
        <f t="shared" si="26"/>
        <v>0.25</v>
      </c>
      <c r="W31" s="37" t="s">
        <v>40</v>
      </c>
      <c r="X31" s="202">
        <f t="shared" si="44"/>
        <v>20</v>
      </c>
      <c r="Y31" s="201">
        <f t="shared" si="8"/>
        <v>35</v>
      </c>
      <c r="Z31" s="61">
        <f t="shared" si="45"/>
        <v>12.66</v>
      </c>
      <c r="AA31" s="271">
        <f t="shared" si="46"/>
        <v>1.43</v>
      </c>
      <c r="AB31" s="271">
        <f t="shared" si="47"/>
        <v>1.8</v>
      </c>
      <c r="AC31" s="271">
        <f t="shared" si="48"/>
        <v>15.52</v>
      </c>
      <c r="AD31" s="271">
        <f t="shared" si="49"/>
        <v>16.260000000000002</v>
      </c>
      <c r="AE31" s="61">
        <v>0</v>
      </c>
      <c r="AF31" s="271">
        <f t="shared" si="32"/>
        <v>69.929566280098484</v>
      </c>
      <c r="AG31" s="61">
        <f t="shared" si="50"/>
        <v>31.056396012444687</v>
      </c>
      <c r="AH31" s="15">
        <f t="shared" si="51"/>
        <v>0</v>
      </c>
      <c r="AI31" s="271">
        <f t="shared" si="16"/>
        <v>106.33358079383335</v>
      </c>
      <c r="AJ31" s="169">
        <f t="shared" si="52"/>
        <v>110.25029860284333</v>
      </c>
      <c r="AK31" s="169">
        <f t="shared" si="53"/>
        <v>125.92483532495812</v>
      </c>
      <c r="AL31" s="269">
        <f t="shared" si="54"/>
        <v>443.49467701417797</v>
      </c>
      <c r="AM31" s="265">
        <f t="shared" si="55"/>
        <v>0</v>
      </c>
      <c r="AN31" s="326">
        <f t="shared" si="56"/>
        <v>70.98</v>
      </c>
      <c r="AO31" s="326">
        <f t="shared" si="57"/>
        <v>32.049999999999997</v>
      </c>
      <c r="AP31" s="265">
        <f t="shared" si="58"/>
        <v>0</v>
      </c>
      <c r="AQ31" s="326">
        <f t="shared" si="59"/>
        <v>109.74</v>
      </c>
      <c r="AR31" s="326">
        <f t="shared" si="60"/>
        <v>113.56</v>
      </c>
      <c r="AS31" s="326">
        <f t="shared" si="61"/>
        <v>129.94999999999999</v>
      </c>
    </row>
    <row r="32" spans="1:45" s="207" customFormat="1" outlineLevel="2" x14ac:dyDescent="0.25">
      <c r="A32" s="318"/>
      <c r="B32" s="357" t="str">
        <f t="shared" si="20"/>
        <v>Кабель ВБШв 2*6ок (N) - 1 ГОСТ 31996-2012</v>
      </c>
      <c r="C32" s="391">
        <v>2</v>
      </c>
      <c r="D32" s="200" t="s">
        <v>40</v>
      </c>
      <c r="E32" s="273">
        <v>6</v>
      </c>
      <c r="F32" s="275" t="str">
        <f t="shared" si="21"/>
        <v>ок</v>
      </c>
      <c r="G32" s="277">
        <v>1</v>
      </c>
      <c r="H32" s="37" t="s">
        <v>40</v>
      </c>
      <c r="I32" s="256">
        <v>2.69</v>
      </c>
      <c r="J32" s="61">
        <v>5.68</v>
      </c>
      <c r="K32" s="61">
        <f t="shared" si="62"/>
        <v>2.69</v>
      </c>
      <c r="L32" s="61">
        <f t="shared" si="1"/>
        <v>0.89000000000000012</v>
      </c>
      <c r="M32" s="61">
        <f t="shared" si="22"/>
        <v>1.1000000000000001</v>
      </c>
      <c r="N32" s="61">
        <f t="shared" si="2"/>
        <v>4.4700000000000006</v>
      </c>
      <c r="O32" s="61">
        <f t="shared" si="3"/>
        <v>4.8900000000000006</v>
      </c>
      <c r="P32" s="61">
        <f t="shared" si="4"/>
        <v>9.7800000000000011</v>
      </c>
      <c r="Q32" s="61">
        <f t="shared" si="23"/>
        <v>0</v>
      </c>
      <c r="R32" s="61">
        <f t="shared" si="5"/>
        <v>0.5</v>
      </c>
      <c r="S32" s="61">
        <f t="shared" si="24"/>
        <v>1.4</v>
      </c>
      <c r="T32" s="61">
        <f t="shared" si="6"/>
        <v>12.580000000000002</v>
      </c>
      <c r="U32" s="201">
        <f t="shared" si="25"/>
        <v>2</v>
      </c>
      <c r="V32" s="203">
        <f t="shared" si="26"/>
        <v>0.25</v>
      </c>
      <c r="W32" s="37" t="s">
        <v>40</v>
      </c>
      <c r="X32" s="202">
        <f t="shared" si="44"/>
        <v>20</v>
      </c>
      <c r="Y32" s="201">
        <f t="shared" si="8"/>
        <v>35</v>
      </c>
      <c r="Z32" s="61">
        <f t="shared" si="45"/>
        <v>13.580000000000002</v>
      </c>
      <c r="AA32" s="271">
        <f t="shared" si="46"/>
        <v>1.43</v>
      </c>
      <c r="AB32" s="271">
        <f t="shared" si="47"/>
        <v>1.8</v>
      </c>
      <c r="AC32" s="271">
        <f t="shared" si="48"/>
        <v>16.440000000000001</v>
      </c>
      <c r="AD32" s="271">
        <f t="shared" si="49"/>
        <v>17.180000000000003</v>
      </c>
      <c r="AE32" s="61">
        <v>0</v>
      </c>
      <c r="AF32" s="271">
        <f t="shared" si="32"/>
        <v>101.75497889750864</v>
      </c>
      <c r="AG32" s="61">
        <f t="shared" si="50"/>
        <v>35.346468734884496</v>
      </c>
      <c r="AH32" s="15">
        <f t="shared" si="51"/>
        <v>0</v>
      </c>
      <c r="AI32" s="271">
        <f t="shared" si="16"/>
        <v>121.42654588391559</v>
      </c>
      <c r="AJ32" s="169">
        <f t="shared" si="52"/>
        <v>118.59160408924271</v>
      </c>
      <c r="AK32" s="169">
        <f t="shared" si="53"/>
        <v>133.93665057384896</v>
      </c>
      <c r="AL32" s="269">
        <f t="shared" si="54"/>
        <v>511.05624817940037</v>
      </c>
      <c r="AM32" s="265">
        <f t="shared" si="55"/>
        <v>0</v>
      </c>
      <c r="AN32" s="326">
        <f t="shared" si="56"/>
        <v>103.28</v>
      </c>
      <c r="AO32" s="326">
        <f t="shared" si="57"/>
        <v>36.479999999999997</v>
      </c>
      <c r="AP32" s="265">
        <f t="shared" si="58"/>
        <v>0</v>
      </c>
      <c r="AQ32" s="326">
        <f t="shared" si="59"/>
        <v>125.31</v>
      </c>
      <c r="AR32" s="326">
        <f t="shared" si="60"/>
        <v>122.15</v>
      </c>
      <c r="AS32" s="326">
        <f t="shared" si="61"/>
        <v>138.22</v>
      </c>
    </row>
    <row r="33" spans="1:45" s="207" customFormat="1" outlineLevel="2" x14ac:dyDescent="0.25">
      <c r="A33" s="318"/>
      <c r="B33" s="357" t="str">
        <f t="shared" si="20"/>
        <v>Кабель ВБШв 2*10ок (N) - 1 ГОСТ 31996-2012</v>
      </c>
      <c r="C33" s="391">
        <v>2</v>
      </c>
      <c r="D33" s="200" t="s">
        <v>40</v>
      </c>
      <c r="E33" s="273">
        <v>10</v>
      </c>
      <c r="F33" s="275" t="str">
        <f t="shared" si="21"/>
        <v>ок</v>
      </c>
      <c r="G33" s="277">
        <v>1</v>
      </c>
      <c r="H33" s="37" t="s">
        <v>40</v>
      </c>
      <c r="I33" s="256">
        <v>3.46</v>
      </c>
      <c r="J33" s="61">
        <v>9.4</v>
      </c>
      <c r="K33" s="61">
        <f t="shared" si="62"/>
        <v>3.46</v>
      </c>
      <c r="L33" s="61">
        <f t="shared" si="1"/>
        <v>0.89000000000000012</v>
      </c>
      <c r="M33" s="61">
        <f t="shared" si="22"/>
        <v>1.1000000000000001</v>
      </c>
      <c r="N33" s="61">
        <f t="shared" si="2"/>
        <v>5.24</v>
      </c>
      <c r="O33" s="61">
        <f t="shared" si="3"/>
        <v>5.66</v>
      </c>
      <c r="P33" s="61">
        <f t="shared" si="4"/>
        <v>11.32</v>
      </c>
      <c r="Q33" s="61">
        <f t="shared" si="23"/>
        <v>0</v>
      </c>
      <c r="R33" s="61">
        <f t="shared" si="5"/>
        <v>0.5</v>
      </c>
      <c r="S33" s="61">
        <f t="shared" si="24"/>
        <v>1.4</v>
      </c>
      <c r="T33" s="61">
        <f t="shared" si="6"/>
        <v>14.120000000000001</v>
      </c>
      <c r="U33" s="201">
        <f t="shared" si="25"/>
        <v>2</v>
      </c>
      <c r="V33" s="203">
        <f t="shared" si="26"/>
        <v>0.25</v>
      </c>
      <c r="W33" s="37" t="s">
        <v>40</v>
      </c>
      <c r="X33" s="202">
        <f t="shared" si="44"/>
        <v>30</v>
      </c>
      <c r="Y33" s="201">
        <f t="shared" si="8"/>
        <v>35</v>
      </c>
      <c r="Z33" s="61">
        <f t="shared" si="45"/>
        <v>15.120000000000001</v>
      </c>
      <c r="AA33" s="271">
        <f t="shared" si="46"/>
        <v>1.43</v>
      </c>
      <c r="AB33" s="271">
        <f t="shared" si="47"/>
        <v>1.8</v>
      </c>
      <c r="AC33" s="271">
        <f t="shared" si="48"/>
        <v>17.98</v>
      </c>
      <c r="AD33" s="271">
        <f t="shared" si="49"/>
        <v>18.720000000000002</v>
      </c>
      <c r="AE33" s="61">
        <v>0</v>
      </c>
      <c r="AF33" s="271">
        <f t="shared" si="32"/>
        <v>168.34619551545924</v>
      </c>
      <c r="AG33" s="61">
        <f t="shared" si="50"/>
        <v>42.527677422446786</v>
      </c>
      <c r="AH33" s="15">
        <f t="shared" si="51"/>
        <v>0</v>
      </c>
      <c r="AI33" s="271">
        <f t="shared" si="16"/>
        <v>148.77363869451668</v>
      </c>
      <c r="AJ33" s="169">
        <f t="shared" si="52"/>
        <v>132.55422414256327</v>
      </c>
      <c r="AK33" s="169">
        <f t="shared" si="53"/>
        <v>147.34773262090536</v>
      </c>
      <c r="AL33" s="269">
        <f t="shared" si="54"/>
        <v>639.54946839589138</v>
      </c>
      <c r="AM33" s="265">
        <f t="shared" si="55"/>
        <v>0</v>
      </c>
      <c r="AN33" s="326">
        <f t="shared" si="56"/>
        <v>170.87</v>
      </c>
      <c r="AO33" s="326">
        <f t="shared" si="57"/>
        <v>43.89</v>
      </c>
      <c r="AP33" s="265">
        <f t="shared" si="58"/>
        <v>0</v>
      </c>
      <c r="AQ33" s="326">
        <f t="shared" si="59"/>
        <v>153.53</v>
      </c>
      <c r="AR33" s="326">
        <f t="shared" si="60"/>
        <v>136.53</v>
      </c>
      <c r="AS33" s="326">
        <f t="shared" si="61"/>
        <v>152.06</v>
      </c>
    </row>
    <row r="34" spans="1:45" s="207" customFormat="1" outlineLevel="2" x14ac:dyDescent="0.25">
      <c r="A34" s="318"/>
      <c r="B34" s="357" t="str">
        <f t="shared" si="20"/>
        <v>Кабель ВБШв 2*16ок (N) - 1 ГОСТ 31996-2012</v>
      </c>
      <c r="C34" s="391">
        <v>2</v>
      </c>
      <c r="D34" s="200" t="s">
        <v>40</v>
      </c>
      <c r="E34" s="273">
        <v>16</v>
      </c>
      <c r="F34" s="275" t="str">
        <f t="shared" si="21"/>
        <v>ок</v>
      </c>
      <c r="G34" s="277">
        <v>1</v>
      </c>
      <c r="H34" s="37" t="s">
        <v>40</v>
      </c>
      <c r="I34" s="256">
        <v>4.41</v>
      </c>
      <c r="J34" s="61">
        <v>15.27</v>
      </c>
      <c r="K34" s="61">
        <f t="shared" si="62"/>
        <v>4.41</v>
      </c>
      <c r="L34" s="61">
        <f t="shared" si="1"/>
        <v>0.89000000000000012</v>
      </c>
      <c r="M34" s="61">
        <f t="shared" si="22"/>
        <v>1.1000000000000001</v>
      </c>
      <c r="N34" s="61">
        <f t="shared" si="2"/>
        <v>6.19</v>
      </c>
      <c r="O34" s="61">
        <f t="shared" si="3"/>
        <v>6.61</v>
      </c>
      <c r="P34" s="61">
        <f t="shared" si="4"/>
        <v>13.22</v>
      </c>
      <c r="Q34" s="61">
        <f t="shared" si="23"/>
        <v>0</v>
      </c>
      <c r="R34" s="61">
        <f t="shared" si="5"/>
        <v>0.5</v>
      </c>
      <c r="S34" s="61">
        <f t="shared" si="24"/>
        <v>1.4</v>
      </c>
      <c r="T34" s="61">
        <f t="shared" si="6"/>
        <v>16.02</v>
      </c>
      <c r="U34" s="201">
        <f t="shared" si="25"/>
        <v>2</v>
      </c>
      <c r="V34" s="203">
        <f t="shared" si="26"/>
        <v>0.25</v>
      </c>
      <c r="W34" s="37" t="s">
        <v>40</v>
      </c>
      <c r="X34" s="202">
        <f t="shared" si="44"/>
        <v>30</v>
      </c>
      <c r="Y34" s="201">
        <f t="shared" si="8"/>
        <v>35</v>
      </c>
      <c r="Z34" s="61">
        <f t="shared" si="45"/>
        <v>17.02</v>
      </c>
      <c r="AA34" s="271">
        <f t="shared" si="46"/>
        <v>1.43</v>
      </c>
      <c r="AB34" s="271">
        <f t="shared" si="47"/>
        <v>1.8</v>
      </c>
      <c r="AC34" s="271">
        <f t="shared" si="48"/>
        <v>19.88</v>
      </c>
      <c r="AD34" s="271">
        <f t="shared" si="49"/>
        <v>20.62</v>
      </c>
      <c r="AE34" s="61">
        <v>0</v>
      </c>
      <c r="AF34" s="271">
        <f t="shared" si="32"/>
        <v>273.48171046511766</v>
      </c>
      <c r="AG34" s="61">
        <f t="shared" si="50"/>
        <v>51.38761021878986</v>
      </c>
      <c r="AH34" s="15">
        <f t="shared" si="51"/>
        <v>0</v>
      </c>
      <c r="AI34" s="271">
        <f t="shared" si="16"/>
        <v>186.10691207308363</v>
      </c>
      <c r="AJ34" s="169">
        <f t="shared" si="52"/>
        <v>149.78083329925755</v>
      </c>
      <c r="AK34" s="169">
        <f t="shared" si="53"/>
        <v>163.89387280883207</v>
      </c>
      <c r="AL34" s="269">
        <f t="shared" si="54"/>
        <v>824.65093886508078</v>
      </c>
      <c r="AM34" s="265">
        <f t="shared" si="55"/>
        <v>0</v>
      </c>
      <c r="AN34" s="326">
        <f t="shared" si="56"/>
        <v>277.58</v>
      </c>
      <c r="AO34" s="326">
        <f t="shared" si="57"/>
        <v>53.03</v>
      </c>
      <c r="AP34" s="265">
        <f t="shared" si="58"/>
        <v>0</v>
      </c>
      <c r="AQ34" s="326">
        <f t="shared" si="59"/>
        <v>192.06</v>
      </c>
      <c r="AR34" s="326">
        <f t="shared" si="60"/>
        <v>154.27000000000001</v>
      </c>
      <c r="AS34" s="326">
        <f t="shared" si="61"/>
        <v>169.14</v>
      </c>
    </row>
    <row r="35" spans="1:45" s="377" customFormat="1" outlineLevel="2" x14ac:dyDescent="0.25">
      <c r="A35" s="360"/>
      <c r="B35" s="361" t="str">
        <f t="shared" si="20"/>
        <v>Кабель ВБШв 2*25ок (N) - 1 ГОСТ 31996-2012</v>
      </c>
      <c r="C35" s="393">
        <v>2</v>
      </c>
      <c r="D35" s="362" t="s">
        <v>40</v>
      </c>
      <c r="E35" s="363">
        <v>25</v>
      </c>
      <c r="F35" s="364" t="str">
        <f t="shared" si="21"/>
        <v>ок</v>
      </c>
      <c r="G35" s="365">
        <v>1</v>
      </c>
      <c r="H35" s="366" t="s">
        <v>40</v>
      </c>
      <c r="I35" s="367">
        <v>5.54</v>
      </c>
      <c r="J35" s="368">
        <v>24.11</v>
      </c>
      <c r="K35" s="368">
        <f t="shared" si="62"/>
        <v>5.54</v>
      </c>
      <c r="L35" s="368">
        <f t="shared" si="1"/>
        <v>1.07</v>
      </c>
      <c r="M35" s="368">
        <f t="shared" si="22"/>
        <v>1.3</v>
      </c>
      <c r="N35" s="368">
        <f t="shared" si="2"/>
        <v>7.68</v>
      </c>
      <c r="O35" s="368">
        <f t="shared" si="3"/>
        <v>8.14</v>
      </c>
      <c r="P35" s="368">
        <f t="shared" si="4"/>
        <v>16.28</v>
      </c>
      <c r="Q35" s="61">
        <f t="shared" si="23"/>
        <v>0</v>
      </c>
      <c r="R35" s="368">
        <f t="shared" si="5"/>
        <v>0.5</v>
      </c>
      <c r="S35" s="61">
        <f t="shared" si="24"/>
        <v>1.4</v>
      </c>
      <c r="T35" s="368">
        <f t="shared" si="6"/>
        <v>19.080000000000002</v>
      </c>
      <c r="U35" s="369">
        <f t="shared" si="25"/>
        <v>2</v>
      </c>
      <c r="V35" s="370">
        <f t="shared" si="26"/>
        <v>0.25</v>
      </c>
      <c r="W35" s="366" t="s">
        <v>40</v>
      </c>
      <c r="X35" s="371">
        <f t="shared" si="44"/>
        <v>30</v>
      </c>
      <c r="Y35" s="369">
        <f t="shared" si="8"/>
        <v>35</v>
      </c>
      <c r="Z35" s="368">
        <f t="shared" si="45"/>
        <v>20.080000000000002</v>
      </c>
      <c r="AA35" s="372">
        <f t="shared" si="46"/>
        <v>1.5999999999999999</v>
      </c>
      <c r="AB35" s="372">
        <f t="shared" si="47"/>
        <v>2</v>
      </c>
      <c r="AC35" s="372">
        <f t="shared" si="48"/>
        <v>23.28</v>
      </c>
      <c r="AD35" s="372">
        <f t="shared" si="49"/>
        <v>24.080000000000002</v>
      </c>
      <c r="AE35" s="368">
        <v>0</v>
      </c>
      <c r="AF35" s="372">
        <f t="shared" si="32"/>
        <v>431.5892691271232</v>
      </c>
      <c r="AG35" s="368">
        <f t="shared" si="50"/>
        <v>75.389973612519299</v>
      </c>
      <c r="AH35" s="373">
        <f t="shared" si="51"/>
        <v>0</v>
      </c>
      <c r="AI35" s="372">
        <f t="shared" si="16"/>
        <v>254.57745271917523</v>
      </c>
      <c r="AJ35" s="374">
        <f t="shared" si="52"/>
        <v>177.52474067793361</v>
      </c>
      <c r="AK35" s="374">
        <f t="shared" si="53"/>
        <v>213.64840663708893</v>
      </c>
      <c r="AL35" s="375">
        <f t="shared" si="54"/>
        <v>1152.7298427738403</v>
      </c>
      <c r="AM35" s="376">
        <f t="shared" si="55"/>
        <v>0</v>
      </c>
      <c r="AN35" s="376">
        <f t="shared" si="56"/>
        <v>438.06</v>
      </c>
      <c r="AO35" s="376">
        <f t="shared" si="57"/>
        <v>77.8</v>
      </c>
      <c r="AP35" s="376">
        <f t="shared" si="58"/>
        <v>0</v>
      </c>
      <c r="AQ35" s="376">
        <f t="shared" si="59"/>
        <v>262.72000000000003</v>
      </c>
      <c r="AR35" s="376">
        <f t="shared" si="60"/>
        <v>182.85</v>
      </c>
      <c r="AS35" s="376">
        <f t="shared" si="61"/>
        <v>220.49</v>
      </c>
    </row>
    <row r="36" spans="1:45" s="377" customFormat="1" outlineLevel="2" x14ac:dyDescent="0.25">
      <c r="A36" s="360"/>
      <c r="B36" s="361" t="str">
        <f t="shared" si="20"/>
        <v>Кабель ВБШв 2*35ок (N) - 1 ГОСТ 31996-2012</v>
      </c>
      <c r="C36" s="393">
        <v>2</v>
      </c>
      <c r="D36" s="362" t="s">
        <v>40</v>
      </c>
      <c r="E36" s="363">
        <v>35</v>
      </c>
      <c r="F36" s="364" t="str">
        <f t="shared" si="21"/>
        <v>ок</v>
      </c>
      <c r="G36" s="365">
        <v>1</v>
      </c>
      <c r="H36" s="366" t="s">
        <v>40</v>
      </c>
      <c r="I36" s="367">
        <v>6.51</v>
      </c>
      <c r="J36" s="368">
        <v>33.29</v>
      </c>
      <c r="K36" s="368">
        <f t="shared" si="62"/>
        <v>6.51</v>
      </c>
      <c r="L36" s="368">
        <f t="shared" si="1"/>
        <v>1.07</v>
      </c>
      <c r="M36" s="368">
        <f t="shared" si="22"/>
        <v>1.3</v>
      </c>
      <c r="N36" s="368">
        <f t="shared" si="2"/>
        <v>8.65</v>
      </c>
      <c r="O36" s="368">
        <f t="shared" si="3"/>
        <v>9.11</v>
      </c>
      <c r="P36" s="368">
        <f t="shared" si="4"/>
        <v>18.22</v>
      </c>
      <c r="Q36" s="61">
        <f t="shared" si="23"/>
        <v>0</v>
      </c>
      <c r="R36" s="368">
        <f t="shared" si="5"/>
        <v>0.5</v>
      </c>
      <c r="S36" s="61">
        <f t="shared" si="24"/>
        <v>1.4</v>
      </c>
      <c r="T36" s="368">
        <f t="shared" si="6"/>
        <v>21.02</v>
      </c>
      <c r="U36" s="369">
        <f t="shared" si="25"/>
        <v>2</v>
      </c>
      <c r="V36" s="370">
        <f t="shared" si="26"/>
        <v>0.25</v>
      </c>
      <c r="W36" s="366" t="s">
        <v>40</v>
      </c>
      <c r="X36" s="371">
        <f t="shared" si="44"/>
        <v>40</v>
      </c>
      <c r="Y36" s="369">
        <f t="shared" si="8"/>
        <v>35</v>
      </c>
      <c r="Z36" s="368">
        <f t="shared" si="45"/>
        <v>22.02</v>
      </c>
      <c r="AA36" s="372">
        <f t="shared" si="46"/>
        <v>1.5999999999999999</v>
      </c>
      <c r="AB36" s="372">
        <f t="shared" si="47"/>
        <v>2</v>
      </c>
      <c r="AC36" s="372">
        <f t="shared" si="48"/>
        <v>25.22</v>
      </c>
      <c r="AD36" s="372">
        <f t="shared" si="49"/>
        <v>26.02</v>
      </c>
      <c r="AE36" s="368">
        <v>0</v>
      </c>
      <c r="AF36" s="372">
        <f t="shared" si="32"/>
        <v>595.95447563940604</v>
      </c>
      <c r="AG36" s="368">
        <f t="shared" si="50"/>
        <v>86.08124180025959</v>
      </c>
      <c r="AH36" s="373">
        <f t="shared" si="51"/>
        <v>0</v>
      </c>
      <c r="AI36" s="372">
        <f t="shared" si="16"/>
        <v>303.3197339785188</v>
      </c>
      <c r="AJ36" s="374">
        <f t="shared" si="52"/>
        <v>195.11401529055829</v>
      </c>
      <c r="AK36" s="374">
        <f t="shared" si="53"/>
        <v>232.42005106081865</v>
      </c>
      <c r="AL36" s="375">
        <f t="shared" si="54"/>
        <v>1412.8895177695613</v>
      </c>
      <c r="AM36" s="376">
        <f t="shared" si="55"/>
        <v>0</v>
      </c>
      <c r="AN36" s="376">
        <f t="shared" si="56"/>
        <v>604.89</v>
      </c>
      <c r="AO36" s="376">
        <f t="shared" si="57"/>
        <v>88.84</v>
      </c>
      <c r="AP36" s="376">
        <f t="shared" si="58"/>
        <v>0</v>
      </c>
      <c r="AQ36" s="376">
        <f t="shared" si="59"/>
        <v>313.02999999999997</v>
      </c>
      <c r="AR36" s="376">
        <f t="shared" si="60"/>
        <v>200.97</v>
      </c>
      <c r="AS36" s="376">
        <f t="shared" si="61"/>
        <v>239.86</v>
      </c>
    </row>
    <row r="37" spans="1:45" s="207" customFormat="1" outlineLevel="2" x14ac:dyDescent="0.25">
      <c r="A37" s="318"/>
      <c r="B37" s="357" t="str">
        <f t="shared" si="20"/>
        <v>Кабель ВБШв 2*16мк (N) - 1 ГОСТ 31996-2012</v>
      </c>
      <c r="C37" s="391">
        <v>2</v>
      </c>
      <c r="D37" s="200" t="s">
        <v>40</v>
      </c>
      <c r="E37" s="273">
        <v>16</v>
      </c>
      <c r="F37" s="275" t="str">
        <f t="shared" si="21"/>
        <v>мк</v>
      </c>
      <c r="G37" s="277">
        <v>7</v>
      </c>
      <c r="H37" s="37" t="s">
        <v>40</v>
      </c>
      <c r="I37" s="256">
        <v>1.76</v>
      </c>
      <c r="J37" s="61">
        <v>15.24</v>
      </c>
      <c r="K37" s="61">
        <v>4.6399999999999997</v>
      </c>
      <c r="L37" s="61">
        <f t="shared" si="1"/>
        <v>0.89000000000000012</v>
      </c>
      <c r="M37" s="61">
        <f t="shared" si="22"/>
        <v>1.1000000000000001</v>
      </c>
      <c r="N37" s="61">
        <f t="shared" si="2"/>
        <v>6.42</v>
      </c>
      <c r="O37" s="61">
        <f t="shared" si="3"/>
        <v>6.84</v>
      </c>
      <c r="P37" s="61">
        <f t="shared" si="4"/>
        <v>13.68</v>
      </c>
      <c r="Q37" s="61">
        <f t="shared" si="23"/>
        <v>0</v>
      </c>
      <c r="R37" s="61">
        <f t="shared" si="5"/>
        <v>0.5</v>
      </c>
      <c r="S37" s="61">
        <f t="shared" si="24"/>
        <v>1.4</v>
      </c>
      <c r="T37" s="61">
        <f t="shared" si="6"/>
        <v>16.48</v>
      </c>
      <c r="U37" s="201">
        <f t="shared" si="25"/>
        <v>2</v>
      </c>
      <c r="V37" s="203">
        <f t="shared" si="26"/>
        <v>0.25</v>
      </c>
      <c r="W37" s="37" t="s">
        <v>40</v>
      </c>
      <c r="X37" s="202">
        <f t="shared" si="44"/>
        <v>30</v>
      </c>
      <c r="Y37" s="201">
        <f t="shared" si="8"/>
        <v>35</v>
      </c>
      <c r="Z37" s="61">
        <f t="shared" si="45"/>
        <v>17.48</v>
      </c>
      <c r="AA37" s="271">
        <f t="shared" si="46"/>
        <v>1.43</v>
      </c>
      <c r="AB37" s="271">
        <f t="shared" si="47"/>
        <v>1.8</v>
      </c>
      <c r="AC37" s="271">
        <f t="shared" si="48"/>
        <v>20.34</v>
      </c>
      <c r="AD37" s="271">
        <f t="shared" si="49"/>
        <v>21.080000000000002</v>
      </c>
      <c r="AE37" s="61">
        <v>0</v>
      </c>
      <c r="AF37" s="271">
        <f t="shared" si="32"/>
        <v>272.86397040000003</v>
      </c>
      <c r="AG37" s="61">
        <f t="shared" si="50"/>
        <v>58.885911238010749</v>
      </c>
      <c r="AH37" s="15">
        <f t="shared" si="51"/>
        <v>0</v>
      </c>
      <c r="AI37" s="271">
        <f t="shared" si="16"/>
        <v>195.74233382127622</v>
      </c>
      <c r="AJ37" s="169">
        <f t="shared" si="52"/>
        <v>153.95148604245722</v>
      </c>
      <c r="AK37" s="169">
        <f t="shared" si="53"/>
        <v>167.8997804332775</v>
      </c>
      <c r="AL37" s="269">
        <f t="shared" si="54"/>
        <v>849.3434819350216</v>
      </c>
      <c r="AM37" s="265">
        <f t="shared" si="55"/>
        <v>0</v>
      </c>
      <c r="AN37" s="326">
        <f t="shared" si="56"/>
        <v>276.95999999999998</v>
      </c>
      <c r="AO37" s="326">
        <f t="shared" si="57"/>
        <v>60.77</v>
      </c>
      <c r="AP37" s="265">
        <f t="shared" si="58"/>
        <v>0</v>
      </c>
      <c r="AQ37" s="326">
        <f t="shared" si="59"/>
        <v>202.01</v>
      </c>
      <c r="AR37" s="326">
        <f t="shared" si="60"/>
        <v>158.57</v>
      </c>
      <c r="AS37" s="326">
        <f t="shared" si="61"/>
        <v>173.27</v>
      </c>
    </row>
    <row r="38" spans="1:45" s="207" customFormat="1" outlineLevel="2" x14ac:dyDescent="0.25">
      <c r="A38" s="318"/>
      <c r="B38" s="357" t="str">
        <f t="shared" si="20"/>
        <v>Кабель ВБШв 2*25мк (N) - 1 ГОСТ 31996-2012</v>
      </c>
      <c r="C38" s="391">
        <v>2</v>
      </c>
      <c r="D38" s="200" t="s">
        <v>40</v>
      </c>
      <c r="E38" s="273">
        <v>25</v>
      </c>
      <c r="F38" s="275" t="str">
        <f t="shared" si="21"/>
        <v>мк</v>
      </c>
      <c r="G38" s="277">
        <v>7</v>
      </c>
      <c r="H38" s="37" t="s">
        <v>40</v>
      </c>
      <c r="I38" s="256">
        <v>2.19</v>
      </c>
      <c r="J38" s="61">
        <v>24.1</v>
      </c>
      <c r="K38" s="61">
        <v>5.84</v>
      </c>
      <c r="L38" s="61">
        <f t="shared" si="1"/>
        <v>1.07</v>
      </c>
      <c r="M38" s="61">
        <f t="shared" si="22"/>
        <v>1.3</v>
      </c>
      <c r="N38" s="61">
        <f t="shared" si="2"/>
        <v>7.98</v>
      </c>
      <c r="O38" s="61">
        <f t="shared" si="3"/>
        <v>8.44</v>
      </c>
      <c r="P38" s="61">
        <f t="shared" si="4"/>
        <v>16.88</v>
      </c>
      <c r="Q38" s="61">
        <f t="shared" si="23"/>
        <v>0</v>
      </c>
      <c r="R38" s="61">
        <f t="shared" si="5"/>
        <v>0.5</v>
      </c>
      <c r="S38" s="61">
        <f t="shared" si="24"/>
        <v>1.4</v>
      </c>
      <c r="T38" s="61">
        <f t="shared" si="6"/>
        <v>19.68</v>
      </c>
      <c r="U38" s="201">
        <f t="shared" si="25"/>
        <v>2</v>
      </c>
      <c r="V38" s="203">
        <f t="shared" si="26"/>
        <v>0.25</v>
      </c>
      <c r="W38" s="37" t="s">
        <v>40</v>
      </c>
      <c r="X38" s="202">
        <f t="shared" si="44"/>
        <v>30</v>
      </c>
      <c r="Y38" s="201">
        <f t="shared" si="8"/>
        <v>35</v>
      </c>
      <c r="Z38" s="61">
        <f t="shared" si="45"/>
        <v>20.68</v>
      </c>
      <c r="AA38" s="271">
        <f t="shared" si="46"/>
        <v>1.5999999999999999</v>
      </c>
      <c r="AB38" s="271">
        <f t="shared" si="47"/>
        <v>2</v>
      </c>
      <c r="AC38" s="271">
        <f t="shared" si="48"/>
        <v>23.88</v>
      </c>
      <c r="AD38" s="271">
        <f t="shared" si="49"/>
        <v>24.68</v>
      </c>
      <c r="AE38" s="61">
        <v>0</v>
      </c>
      <c r="AF38" s="271">
        <f t="shared" si="32"/>
        <v>431.49748599999998</v>
      </c>
      <c r="AG38" s="61">
        <f t="shared" si="50"/>
        <v>86.566206542796266</v>
      </c>
      <c r="AH38" s="15">
        <f t="shared" si="51"/>
        <v>0</v>
      </c>
      <c r="AI38" s="271">
        <f t="shared" si="16"/>
        <v>269.21036298106566</v>
      </c>
      <c r="AJ38" s="169">
        <f t="shared" si="52"/>
        <v>182.96472251688968</v>
      </c>
      <c r="AK38" s="169">
        <f t="shared" si="53"/>
        <v>219.45406986092286</v>
      </c>
      <c r="AL38" s="269">
        <f t="shared" si="54"/>
        <v>1189.6928479016744</v>
      </c>
      <c r="AM38" s="265">
        <f t="shared" si="55"/>
        <v>0</v>
      </c>
      <c r="AN38" s="326">
        <f t="shared" si="56"/>
        <v>437.97</v>
      </c>
      <c r="AO38" s="326">
        <f t="shared" si="57"/>
        <v>89.34</v>
      </c>
      <c r="AP38" s="265">
        <f t="shared" si="58"/>
        <v>0</v>
      </c>
      <c r="AQ38" s="326">
        <f t="shared" si="59"/>
        <v>277.83</v>
      </c>
      <c r="AR38" s="326">
        <f t="shared" si="60"/>
        <v>188.45</v>
      </c>
      <c r="AS38" s="326">
        <f t="shared" si="61"/>
        <v>226.48</v>
      </c>
    </row>
    <row r="39" spans="1:45" s="207" customFormat="1" outlineLevel="2" x14ac:dyDescent="0.25">
      <c r="A39" s="318"/>
      <c r="B39" s="357" t="str">
        <f t="shared" si="20"/>
        <v>Кабель ВБШв 2*35мк (N) - 1 ГОСТ 31996-2012</v>
      </c>
      <c r="C39" s="390">
        <v>2</v>
      </c>
      <c r="D39" s="200" t="s">
        <v>40</v>
      </c>
      <c r="E39" s="273">
        <v>35</v>
      </c>
      <c r="F39" s="275" t="str">
        <f t="shared" si="21"/>
        <v>мк</v>
      </c>
      <c r="G39" s="277">
        <v>7</v>
      </c>
      <c r="H39" s="37" t="s">
        <v>40</v>
      </c>
      <c r="I39" s="256">
        <v>2.5499999999999998</v>
      </c>
      <c r="J39" s="61">
        <v>33.44</v>
      </c>
      <c r="K39" s="61">
        <v>6.95</v>
      </c>
      <c r="L39" s="61">
        <f t="shared" si="1"/>
        <v>1.07</v>
      </c>
      <c r="M39" s="61">
        <f t="shared" si="22"/>
        <v>1.3</v>
      </c>
      <c r="N39" s="61">
        <f t="shared" si="2"/>
        <v>9.09</v>
      </c>
      <c r="O39" s="61">
        <f t="shared" si="3"/>
        <v>9.5500000000000007</v>
      </c>
      <c r="P39" s="61">
        <f t="shared" si="4"/>
        <v>19.100000000000001</v>
      </c>
      <c r="Q39" s="61">
        <f t="shared" si="23"/>
        <v>0</v>
      </c>
      <c r="R39" s="61">
        <f t="shared" si="5"/>
        <v>0.5</v>
      </c>
      <c r="S39" s="61">
        <f t="shared" si="24"/>
        <v>1.4</v>
      </c>
      <c r="T39" s="61">
        <f t="shared" si="6"/>
        <v>21.900000000000002</v>
      </c>
      <c r="U39" s="201">
        <f t="shared" si="25"/>
        <v>2</v>
      </c>
      <c r="V39" s="203">
        <f t="shared" si="26"/>
        <v>0.25</v>
      </c>
      <c r="W39" s="37" t="s">
        <v>40</v>
      </c>
      <c r="X39" s="202">
        <f t="shared" si="44"/>
        <v>40</v>
      </c>
      <c r="Y39" s="201">
        <f t="shared" si="8"/>
        <v>35</v>
      </c>
      <c r="Z39" s="61">
        <f t="shared" si="45"/>
        <v>22.900000000000002</v>
      </c>
      <c r="AA39" s="271">
        <f t="shared" si="46"/>
        <v>1.5999999999999999</v>
      </c>
      <c r="AB39" s="271">
        <f t="shared" si="47"/>
        <v>2</v>
      </c>
      <c r="AC39" s="271">
        <f t="shared" si="48"/>
        <v>26.1</v>
      </c>
      <c r="AD39" s="271">
        <f t="shared" si="49"/>
        <v>26.900000000000002</v>
      </c>
      <c r="AE39" s="61">
        <v>0</v>
      </c>
      <c r="AF39" s="271">
        <f t="shared" si="32"/>
        <v>598.72514239999998</v>
      </c>
      <c r="AG39" s="61">
        <f t="shared" si="50"/>
        <v>100.02397814818899</v>
      </c>
      <c r="AH39" s="15">
        <f t="shared" si="51"/>
        <v>0</v>
      </c>
      <c r="AI39" s="271">
        <f t="shared" si="16"/>
        <v>326.79396561355412</v>
      </c>
      <c r="AJ39" s="169">
        <f t="shared" si="52"/>
        <v>203.09265532102719</v>
      </c>
      <c r="AK39" s="169">
        <f t="shared" si="53"/>
        <v>240.93502378910841</v>
      </c>
      <c r="AL39" s="269">
        <f t="shared" si="54"/>
        <v>1469.5707652718788</v>
      </c>
      <c r="AM39" s="265">
        <f t="shared" si="55"/>
        <v>0</v>
      </c>
      <c r="AN39" s="326">
        <f t="shared" si="56"/>
        <v>607.71</v>
      </c>
      <c r="AO39" s="326">
        <f t="shared" si="57"/>
        <v>103.22</v>
      </c>
      <c r="AP39" s="265">
        <f t="shared" si="58"/>
        <v>0</v>
      </c>
      <c r="AQ39" s="326">
        <f t="shared" si="59"/>
        <v>337.25</v>
      </c>
      <c r="AR39" s="326">
        <f t="shared" si="60"/>
        <v>209.19</v>
      </c>
      <c r="AS39" s="326">
        <f t="shared" si="61"/>
        <v>248.64</v>
      </c>
    </row>
    <row r="40" spans="1:45" s="207" customFormat="1" outlineLevel="2" x14ac:dyDescent="0.25">
      <c r="A40" s="318"/>
      <c r="B40" s="357" t="str">
        <f t="shared" si="20"/>
        <v>Кабель ВБШв 2*50мк (N) - 1 ГОСТ 31996-2012</v>
      </c>
      <c r="C40" s="390">
        <v>2</v>
      </c>
      <c r="D40" s="200" t="s">
        <v>40</v>
      </c>
      <c r="E40" s="273">
        <v>50</v>
      </c>
      <c r="F40" s="275" t="str">
        <f t="shared" si="21"/>
        <v>мк</v>
      </c>
      <c r="G40" s="277">
        <v>7</v>
      </c>
      <c r="H40" s="37" t="s">
        <v>40</v>
      </c>
      <c r="I40" s="256">
        <v>3</v>
      </c>
      <c r="J40" s="61">
        <v>45.28</v>
      </c>
      <c r="K40" s="61">
        <v>8</v>
      </c>
      <c r="L40" s="61">
        <f t="shared" si="1"/>
        <v>1.25</v>
      </c>
      <c r="M40" s="61">
        <f t="shared" si="22"/>
        <v>1.5</v>
      </c>
      <c r="N40" s="61">
        <f t="shared" si="2"/>
        <v>10.5</v>
      </c>
      <c r="O40" s="61">
        <f t="shared" si="3"/>
        <v>11</v>
      </c>
      <c r="P40" s="61">
        <f t="shared" si="4"/>
        <v>22</v>
      </c>
      <c r="Q40" s="61">
        <f t="shared" si="23"/>
        <v>0</v>
      </c>
      <c r="R40" s="61">
        <f t="shared" si="5"/>
        <v>0.5</v>
      </c>
      <c r="S40" s="61">
        <f t="shared" si="24"/>
        <v>1.4</v>
      </c>
      <c r="T40" s="61">
        <f t="shared" si="6"/>
        <v>24.8</v>
      </c>
      <c r="U40" s="201">
        <f t="shared" si="25"/>
        <v>2</v>
      </c>
      <c r="V40" s="203">
        <f t="shared" si="26"/>
        <v>0.25</v>
      </c>
      <c r="W40" s="37" t="s">
        <v>40</v>
      </c>
      <c r="X40" s="202">
        <f t="shared" si="44"/>
        <v>40</v>
      </c>
      <c r="Y40" s="201">
        <f t="shared" si="8"/>
        <v>35</v>
      </c>
      <c r="Z40" s="61">
        <f t="shared" si="45"/>
        <v>25.8</v>
      </c>
      <c r="AA40" s="271">
        <f t="shared" si="46"/>
        <v>1.5999999999999999</v>
      </c>
      <c r="AB40" s="271">
        <f t="shared" si="47"/>
        <v>2</v>
      </c>
      <c r="AC40" s="271">
        <f t="shared" si="48"/>
        <v>29</v>
      </c>
      <c r="AD40" s="271">
        <f t="shared" si="49"/>
        <v>29.8</v>
      </c>
      <c r="AE40" s="61">
        <v>0</v>
      </c>
      <c r="AF40" s="271">
        <f t="shared" si="32"/>
        <v>810.71394880000003</v>
      </c>
      <c r="AG40" s="61">
        <f t="shared" si="50"/>
        <v>132.89899194514618</v>
      </c>
      <c r="AH40" s="15">
        <f t="shared" si="51"/>
        <v>0</v>
      </c>
      <c r="AI40" s="271">
        <f t="shared" si="16"/>
        <v>410.17890322329777</v>
      </c>
      <c r="AJ40" s="263">
        <f t="shared" si="52"/>
        <v>229.38590087598163</v>
      </c>
      <c r="AK40" s="263">
        <f t="shared" si="53"/>
        <v>268.99572937097241</v>
      </c>
      <c r="AL40" s="176">
        <f t="shared" si="54"/>
        <v>1852.1734742153981</v>
      </c>
      <c r="AM40" s="265">
        <f t="shared" si="55"/>
        <v>0</v>
      </c>
      <c r="AN40" s="326">
        <f t="shared" si="56"/>
        <v>822.87</v>
      </c>
      <c r="AO40" s="326">
        <f t="shared" si="57"/>
        <v>137.15</v>
      </c>
      <c r="AP40" s="265">
        <f t="shared" si="58"/>
        <v>0</v>
      </c>
      <c r="AQ40" s="326">
        <f t="shared" si="59"/>
        <v>423.3</v>
      </c>
      <c r="AR40" s="326">
        <f t="shared" si="60"/>
        <v>236.27</v>
      </c>
      <c r="AS40" s="326">
        <f t="shared" si="61"/>
        <v>277.60000000000002</v>
      </c>
    </row>
    <row r="41" spans="1:45" s="207" customFormat="1" outlineLevel="1" x14ac:dyDescent="0.25">
      <c r="A41" s="359">
        <v>2</v>
      </c>
      <c r="B41" s="272"/>
      <c r="C41" s="392"/>
      <c r="D41" s="193"/>
      <c r="E41" s="53"/>
      <c r="F41" s="275"/>
      <c r="G41" s="278"/>
      <c r="H41" s="194"/>
      <c r="I41" s="193"/>
      <c r="J41" s="194"/>
      <c r="K41" s="194"/>
      <c r="L41" s="194"/>
      <c r="M41" s="61"/>
      <c r="N41" s="194"/>
      <c r="O41" s="194"/>
      <c r="P41" s="194"/>
      <c r="Q41" s="61" t="str">
        <f t="shared" si="23"/>
        <v/>
      </c>
      <c r="R41" s="194"/>
      <c r="S41" s="61" t="str">
        <f t="shared" si="24"/>
        <v/>
      </c>
      <c r="T41" s="194"/>
      <c r="U41" s="196"/>
      <c r="V41" s="203"/>
      <c r="W41" s="194"/>
      <c r="X41" s="194"/>
      <c r="Y41" s="194"/>
      <c r="Z41" s="194"/>
      <c r="AA41" s="194"/>
      <c r="AB41" s="194"/>
      <c r="AC41" s="194"/>
      <c r="AD41" s="194"/>
      <c r="AE41" s="194"/>
      <c r="AF41" s="188"/>
      <c r="AG41" s="188"/>
      <c r="AH41" s="194"/>
      <c r="AI41" s="188"/>
      <c r="AJ41" s="194"/>
      <c r="AK41" s="194"/>
      <c r="AL41" s="194"/>
    </row>
    <row r="42" spans="1:45" s="207" customFormat="1" outlineLevel="2" x14ac:dyDescent="0.25">
      <c r="A42" s="318"/>
      <c r="B42" s="357" t="str">
        <f t="shared" si="20"/>
        <v>Кабель ВБШв 3*1,5ок (N, PE) - 1 ГОСТ 31996-2012</v>
      </c>
      <c r="C42" s="390">
        <v>3</v>
      </c>
      <c r="D42" s="200" t="s">
        <v>40</v>
      </c>
      <c r="E42" s="273">
        <v>1.5</v>
      </c>
      <c r="F42" s="275" t="str">
        <f t="shared" si="21"/>
        <v>ок</v>
      </c>
      <c r="G42" s="277">
        <v>1</v>
      </c>
      <c r="H42" s="37" t="s">
        <v>40</v>
      </c>
      <c r="I42" s="256">
        <v>1.36</v>
      </c>
      <c r="J42" s="61">
        <v>1.45</v>
      </c>
      <c r="K42" s="61">
        <f>I42</f>
        <v>1.36</v>
      </c>
      <c r="L42" s="61">
        <f t="shared" si="1"/>
        <v>0.71000000000000008</v>
      </c>
      <c r="M42" s="61">
        <f t="shared" si="22"/>
        <v>0.9</v>
      </c>
      <c r="N42" s="61">
        <f t="shared" si="2"/>
        <v>2.7800000000000002</v>
      </c>
      <c r="O42" s="61">
        <f t="shared" si="3"/>
        <v>3.16</v>
      </c>
      <c r="P42" s="61">
        <f t="shared" si="4"/>
        <v>6.7939999999999996</v>
      </c>
      <c r="Q42" s="61">
        <f t="shared" si="23"/>
        <v>0</v>
      </c>
      <c r="R42" s="61">
        <f t="shared" si="5"/>
        <v>0.5</v>
      </c>
      <c r="S42" s="61">
        <f t="shared" si="24"/>
        <v>1.4</v>
      </c>
      <c r="T42" s="61">
        <f t="shared" si="6"/>
        <v>9.5939999999999994</v>
      </c>
      <c r="U42" s="201">
        <f t="shared" si="25"/>
        <v>2</v>
      </c>
      <c r="V42" s="203">
        <f t="shared" si="26"/>
        <v>0.25</v>
      </c>
      <c r="W42" s="37" t="s">
        <v>40</v>
      </c>
      <c r="X42" s="202">
        <f t="shared" si="7"/>
        <v>15</v>
      </c>
      <c r="Y42" s="201">
        <f t="shared" si="8"/>
        <v>35</v>
      </c>
      <c r="Z42" s="61">
        <f t="shared" si="27"/>
        <v>10.593999999999999</v>
      </c>
      <c r="AA42" s="61">
        <f t="shared" si="28"/>
        <v>1.43</v>
      </c>
      <c r="AB42" s="61">
        <f t="shared" si="29"/>
        <v>1.8</v>
      </c>
      <c r="AC42" s="61">
        <f t="shared" si="30"/>
        <v>13.453999999999999</v>
      </c>
      <c r="AD42" s="61">
        <f t="shared" si="31"/>
        <v>14.193999999999999</v>
      </c>
      <c r="AE42" s="61">
        <v>0</v>
      </c>
      <c r="AF42" s="271">
        <f t="shared" si="32"/>
        <v>39.013973473728669</v>
      </c>
      <c r="AG42" s="268">
        <f t="shared" ref="AG42:AG53" si="63">PI()*(IF(G42=1,I42,K42)+M42)*M42*$AG$9*C42*IF(C42&gt;1,1.007,1)*IF(G42=1,1,(IF(E42&gt;=4,1.1,1.07)))</f>
        <v>25.867612403485868</v>
      </c>
      <c r="AH42" s="38">
        <f t="shared" si="33"/>
        <v>0</v>
      </c>
      <c r="AI42" s="271">
        <f t="shared" si="16"/>
        <v>67.754967527930319</v>
      </c>
      <c r="AJ42" s="61">
        <f t="shared" si="34"/>
        <v>91.518627804037877</v>
      </c>
      <c r="AK42" s="61">
        <f t="shared" si="35"/>
        <v>107.93308499429673</v>
      </c>
      <c r="AL42" s="61">
        <f t="shared" si="36"/>
        <v>332.08826620347946</v>
      </c>
      <c r="AM42" s="265">
        <f t="shared" ref="AM42:AM53" si="64">ROUND(AE42*1.015,2)</f>
        <v>0</v>
      </c>
      <c r="AN42" s="326">
        <f t="shared" ref="AN42:AN53" si="65">ROUND(AF42*1.015,2)</f>
        <v>39.6</v>
      </c>
      <c r="AO42" s="326">
        <f t="shared" ref="AO42:AO53" si="66">ROUND(AG42*1.032,2)</f>
        <v>26.7</v>
      </c>
      <c r="AP42" s="265">
        <f t="shared" ref="AP42:AP53" si="67">ROUND(AH42*1.032,2)</f>
        <v>0</v>
      </c>
      <c r="AQ42" s="326">
        <f t="shared" ref="AQ42:AQ53" si="68">ROUND(AI42*1.032,2)</f>
        <v>69.92</v>
      </c>
      <c r="AR42" s="326">
        <f t="shared" ref="AR42:AR53" si="69">ROUND(AJ42*1.03,2)</f>
        <v>94.26</v>
      </c>
      <c r="AS42" s="326">
        <f t="shared" ref="AS42:AS53" si="70">ROUND(AK42*1.032,2)</f>
        <v>111.39</v>
      </c>
    </row>
    <row r="43" spans="1:45" s="207" customFormat="1" outlineLevel="2" x14ac:dyDescent="0.25">
      <c r="A43" s="318"/>
      <c r="B43" s="357" t="str">
        <f t="shared" si="20"/>
        <v>Кабель ВБШв 3*2,5ок (N, PE) - 1 ГОСТ 31996-2012</v>
      </c>
      <c r="C43" s="391">
        <v>3</v>
      </c>
      <c r="D43" s="200" t="s">
        <v>40</v>
      </c>
      <c r="E43" s="273">
        <v>2.5</v>
      </c>
      <c r="F43" s="275" t="str">
        <f t="shared" si="21"/>
        <v>ок</v>
      </c>
      <c r="G43" s="277">
        <v>1</v>
      </c>
      <c r="H43" s="37" t="s">
        <v>40</v>
      </c>
      <c r="I43" s="256">
        <v>1.76</v>
      </c>
      <c r="J43" s="61">
        <v>2.4300000000000002</v>
      </c>
      <c r="K43" s="61">
        <f t="shared" ref="K43:K49" si="71">I43</f>
        <v>1.76</v>
      </c>
      <c r="L43" s="61">
        <f t="shared" si="1"/>
        <v>0.71000000000000008</v>
      </c>
      <c r="M43" s="61">
        <f t="shared" si="22"/>
        <v>0.9</v>
      </c>
      <c r="N43" s="61">
        <f t="shared" si="2"/>
        <v>3.18</v>
      </c>
      <c r="O43" s="61">
        <f t="shared" si="3"/>
        <v>3.56</v>
      </c>
      <c r="P43" s="61">
        <f t="shared" si="4"/>
        <v>7.6539999999999999</v>
      </c>
      <c r="Q43" s="61">
        <f t="shared" si="23"/>
        <v>0</v>
      </c>
      <c r="R43" s="61">
        <f t="shared" si="5"/>
        <v>0.5</v>
      </c>
      <c r="S43" s="61">
        <f t="shared" si="24"/>
        <v>1.4</v>
      </c>
      <c r="T43" s="61">
        <f t="shared" si="6"/>
        <v>10.454000000000001</v>
      </c>
      <c r="U43" s="201">
        <f t="shared" si="25"/>
        <v>2</v>
      </c>
      <c r="V43" s="203">
        <f t="shared" si="26"/>
        <v>0.25</v>
      </c>
      <c r="W43" s="37" t="s">
        <v>40</v>
      </c>
      <c r="X43" s="202">
        <f t="shared" si="7"/>
        <v>20</v>
      </c>
      <c r="Y43" s="201">
        <f t="shared" si="8"/>
        <v>35</v>
      </c>
      <c r="Z43" s="61">
        <f t="shared" si="27"/>
        <v>11.454000000000001</v>
      </c>
      <c r="AA43" s="61">
        <f t="shared" si="28"/>
        <v>1.43</v>
      </c>
      <c r="AB43" s="61">
        <f t="shared" si="29"/>
        <v>1.8</v>
      </c>
      <c r="AC43" s="61">
        <f t="shared" si="30"/>
        <v>14.314</v>
      </c>
      <c r="AD43" s="61">
        <f t="shared" si="31"/>
        <v>15.054</v>
      </c>
      <c r="AE43" s="61">
        <v>0</v>
      </c>
      <c r="AF43" s="271">
        <f t="shared" si="32"/>
        <v>65.338280834895059</v>
      </c>
      <c r="AG43" s="268">
        <f t="shared" si="63"/>
        <v>30.445950881978952</v>
      </c>
      <c r="AH43" s="38">
        <f t="shared" si="33"/>
        <v>0</v>
      </c>
      <c r="AI43" s="271">
        <f t="shared" si="16"/>
        <v>77.707445508569023</v>
      </c>
      <c r="AJ43" s="61">
        <f t="shared" si="34"/>
        <v>99.315935106541602</v>
      </c>
      <c r="AK43" s="61">
        <f t="shared" si="35"/>
        <v>115.42239055304253</v>
      </c>
      <c r="AL43" s="61">
        <f t="shared" si="36"/>
        <v>388.23000288502715</v>
      </c>
      <c r="AM43" s="265">
        <f t="shared" si="64"/>
        <v>0</v>
      </c>
      <c r="AN43" s="326">
        <f t="shared" si="65"/>
        <v>66.319999999999993</v>
      </c>
      <c r="AO43" s="326">
        <f t="shared" si="66"/>
        <v>31.42</v>
      </c>
      <c r="AP43" s="265">
        <f t="shared" si="67"/>
        <v>0</v>
      </c>
      <c r="AQ43" s="326">
        <f t="shared" si="68"/>
        <v>80.19</v>
      </c>
      <c r="AR43" s="326">
        <f t="shared" si="69"/>
        <v>102.3</v>
      </c>
      <c r="AS43" s="326">
        <f t="shared" si="70"/>
        <v>119.12</v>
      </c>
    </row>
    <row r="44" spans="1:45" s="207" customFormat="1" outlineLevel="2" x14ac:dyDescent="0.25">
      <c r="A44" s="318"/>
      <c r="B44" s="357" t="str">
        <f t="shared" si="20"/>
        <v>Кабель ВБШв 3*4ок (N, PE) - 1 ГОСТ 31996-2012</v>
      </c>
      <c r="C44" s="391">
        <v>3</v>
      </c>
      <c r="D44" s="200" t="s">
        <v>40</v>
      </c>
      <c r="E44" s="273">
        <v>4</v>
      </c>
      <c r="F44" s="275" t="str">
        <f t="shared" si="21"/>
        <v>ок</v>
      </c>
      <c r="G44" s="277">
        <v>1</v>
      </c>
      <c r="H44" s="37" t="s">
        <v>40</v>
      </c>
      <c r="I44" s="256">
        <v>2.23</v>
      </c>
      <c r="J44" s="61">
        <v>3.91</v>
      </c>
      <c r="K44" s="61">
        <f t="shared" si="71"/>
        <v>2.23</v>
      </c>
      <c r="L44" s="61">
        <f t="shared" si="1"/>
        <v>0.89000000000000012</v>
      </c>
      <c r="M44" s="61">
        <f t="shared" si="22"/>
        <v>1.1000000000000001</v>
      </c>
      <c r="N44" s="61">
        <f t="shared" si="2"/>
        <v>4.01</v>
      </c>
      <c r="O44" s="61">
        <f t="shared" si="3"/>
        <v>4.43</v>
      </c>
      <c r="P44" s="61">
        <f t="shared" si="4"/>
        <v>9.5244999999999997</v>
      </c>
      <c r="Q44" s="61">
        <f t="shared" si="23"/>
        <v>0</v>
      </c>
      <c r="R44" s="61">
        <f t="shared" si="5"/>
        <v>0.5</v>
      </c>
      <c r="S44" s="61">
        <f t="shared" si="24"/>
        <v>1.4</v>
      </c>
      <c r="T44" s="61">
        <f t="shared" si="6"/>
        <v>12.3245</v>
      </c>
      <c r="U44" s="201">
        <f t="shared" si="25"/>
        <v>2</v>
      </c>
      <c r="V44" s="203">
        <f t="shared" si="26"/>
        <v>0.25</v>
      </c>
      <c r="W44" s="37" t="s">
        <v>40</v>
      </c>
      <c r="X44" s="202">
        <f t="shared" si="7"/>
        <v>20</v>
      </c>
      <c r="Y44" s="201">
        <f t="shared" si="8"/>
        <v>35</v>
      </c>
      <c r="Z44" s="61">
        <f t="shared" si="27"/>
        <v>13.3245</v>
      </c>
      <c r="AA44" s="61">
        <f t="shared" si="28"/>
        <v>1.43</v>
      </c>
      <c r="AB44" s="61">
        <f t="shared" si="29"/>
        <v>1.8</v>
      </c>
      <c r="AC44" s="61">
        <f t="shared" si="30"/>
        <v>16.1845</v>
      </c>
      <c r="AD44" s="61">
        <f t="shared" si="31"/>
        <v>16.924500000000002</v>
      </c>
      <c r="AE44" s="61">
        <v>0</v>
      </c>
      <c r="AF44" s="271">
        <f t="shared" si="32"/>
        <v>104.89434942014772</v>
      </c>
      <c r="AG44" s="268">
        <f t="shared" si="63"/>
        <v>46.584594018667026</v>
      </c>
      <c r="AH44" s="38">
        <f t="shared" si="33"/>
        <v>0</v>
      </c>
      <c r="AI44" s="271">
        <f t="shared" si="16"/>
        <v>101.26834467382457</v>
      </c>
      <c r="AJ44" s="61">
        <f t="shared" si="34"/>
        <v>116.2750784894872</v>
      </c>
      <c r="AK44" s="61">
        <f t="shared" si="35"/>
        <v>131.71163014331461</v>
      </c>
      <c r="AL44" s="61">
        <f t="shared" si="36"/>
        <v>500.73399674544112</v>
      </c>
      <c r="AM44" s="265">
        <f t="shared" si="64"/>
        <v>0</v>
      </c>
      <c r="AN44" s="326">
        <f t="shared" si="65"/>
        <v>106.47</v>
      </c>
      <c r="AO44" s="326">
        <f t="shared" si="66"/>
        <v>48.08</v>
      </c>
      <c r="AP44" s="265">
        <f t="shared" si="67"/>
        <v>0</v>
      </c>
      <c r="AQ44" s="326">
        <f t="shared" si="68"/>
        <v>104.51</v>
      </c>
      <c r="AR44" s="326">
        <f t="shared" si="69"/>
        <v>119.76</v>
      </c>
      <c r="AS44" s="326">
        <f t="shared" si="70"/>
        <v>135.93</v>
      </c>
    </row>
    <row r="45" spans="1:45" s="207" customFormat="1" outlineLevel="2" x14ac:dyDescent="0.25">
      <c r="A45" s="318"/>
      <c r="B45" s="357" t="str">
        <f t="shared" si="20"/>
        <v>Кабель ВБШв 3*6ок (N, PE) - 1 ГОСТ 31996-2012</v>
      </c>
      <c r="C45" s="391">
        <v>3</v>
      </c>
      <c r="D45" s="200" t="s">
        <v>40</v>
      </c>
      <c r="E45" s="273">
        <v>6</v>
      </c>
      <c r="F45" s="275" t="str">
        <f t="shared" si="21"/>
        <v>ок</v>
      </c>
      <c r="G45" s="277">
        <v>1</v>
      </c>
      <c r="H45" s="37" t="s">
        <v>40</v>
      </c>
      <c r="I45" s="256">
        <v>2.69</v>
      </c>
      <c r="J45" s="61">
        <v>5.68</v>
      </c>
      <c r="K45" s="61">
        <f t="shared" si="71"/>
        <v>2.69</v>
      </c>
      <c r="L45" s="61">
        <f t="shared" si="1"/>
        <v>0.89000000000000012</v>
      </c>
      <c r="M45" s="61">
        <f t="shared" si="22"/>
        <v>1.1000000000000001</v>
      </c>
      <c r="N45" s="61">
        <f t="shared" si="2"/>
        <v>4.4700000000000006</v>
      </c>
      <c r="O45" s="61">
        <f t="shared" si="3"/>
        <v>4.8900000000000006</v>
      </c>
      <c r="P45" s="61">
        <f t="shared" si="4"/>
        <v>10.513500000000001</v>
      </c>
      <c r="Q45" s="61">
        <f t="shared" si="23"/>
        <v>0</v>
      </c>
      <c r="R45" s="61">
        <f t="shared" si="5"/>
        <v>0.5</v>
      </c>
      <c r="S45" s="61">
        <f t="shared" si="24"/>
        <v>1.4</v>
      </c>
      <c r="T45" s="61">
        <f t="shared" si="6"/>
        <v>13.313500000000001</v>
      </c>
      <c r="U45" s="201">
        <f t="shared" si="25"/>
        <v>2</v>
      </c>
      <c r="V45" s="203">
        <f t="shared" si="26"/>
        <v>0.25</v>
      </c>
      <c r="W45" s="37" t="s">
        <v>40</v>
      </c>
      <c r="X45" s="202">
        <f t="shared" si="7"/>
        <v>30</v>
      </c>
      <c r="Y45" s="201">
        <f t="shared" si="8"/>
        <v>35</v>
      </c>
      <c r="Z45" s="61">
        <f t="shared" si="27"/>
        <v>14.313500000000001</v>
      </c>
      <c r="AA45" s="61">
        <f t="shared" si="28"/>
        <v>1.43</v>
      </c>
      <c r="AB45" s="61">
        <f t="shared" si="29"/>
        <v>1.8</v>
      </c>
      <c r="AC45" s="61">
        <f t="shared" si="30"/>
        <v>17.173500000000001</v>
      </c>
      <c r="AD45" s="61">
        <f t="shared" si="31"/>
        <v>17.913500000000003</v>
      </c>
      <c r="AE45" s="61">
        <v>0</v>
      </c>
      <c r="AF45" s="271">
        <f t="shared" si="32"/>
        <v>152.63246834626295</v>
      </c>
      <c r="AG45" s="268">
        <f t="shared" si="63"/>
        <v>53.019703102326744</v>
      </c>
      <c r="AH45" s="38">
        <f t="shared" si="33"/>
        <v>0</v>
      </c>
      <c r="AI45" s="271">
        <f t="shared" si="16"/>
        <v>114.78578633328611</v>
      </c>
      <c r="AJ45" s="61">
        <f t="shared" si="34"/>
        <v>125.24198188736649</v>
      </c>
      <c r="AK45" s="61">
        <f t="shared" si="35"/>
        <v>140.32433153587226</v>
      </c>
      <c r="AL45" s="61">
        <f t="shared" si="36"/>
        <v>586.00427120511449</v>
      </c>
      <c r="AM45" s="265">
        <f t="shared" si="64"/>
        <v>0</v>
      </c>
      <c r="AN45" s="326">
        <f t="shared" si="65"/>
        <v>154.91999999999999</v>
      </c>
      <c r="AO45" s="326">
        <f t="shared" si="66"/>
        <v>54.72</v>
      </c>
      <c r="AP45" s="265">
        <f t="shared" si="67"/>
        <v>0</v>
      </c>
      <c r="AQ45" s="326">
        <f t="shared" si="68"/>
        <v>118.46</v>
      </c>
      <c r="AR45" s="326">
        <f t="shared" si="69"/>
        <v>129</v>
      </c>
      <c r="AS45" s="326">
        <f t="shared" si="70"/>
        <v>144.81</v>
      </c>
    </row>
    <row r="46" spans="1:45" s="207" customFormat="1" outlineLevel="2" x14ac:dyDescent="0.25">
      <c r="A46" s="318"/>
      <c r="B46" s="357" t="str">
        <f t="shared" si="20"/>
        <v>Кабель ВБШв 3*10ок (N, PE) - 1 ГОСТ 31996-2012</v>
      </c>
      <c r="C46" s="391">
        <v>3</v>
      </c>
      <c r="D46" s="200" t="s">
        <v>40</v>
      </c>
      <c r="E46" s="273">
        <v>10</v>
      </c>
      <c r="F46" s="275" t="str">
        <f t="shared" si="21"/>
        <v>ок</v>
      </c>
      <c r="G46" s="277">
        <v>1</v>
      </c>
      <c r="H46" s="37" t="s">
        <v>40</v>
      </c>
      <c r="I46" s="256">
        <v>3.46</v>
      </c>
      <c r="J46" s="61">
        <v>9.4</v>
      </c>
      <c r="K46" s="61">
        <f t="shared" si="71"/>
        <v>3.46</v>
      </c>
      <c r="L46" s="61">
        <f t="shared" si="1"/>
        <v>0.89000000000000012</v>
      </c>
      <c r="M46" s="61">
        <f t="shared" si="22"/>
        <v>1.1000000000000001</v>
      </c>
      <c r="N46" s="61">
        <f t="shared" si="2"/>
        <v>5.24</v>
      </c>
      <c r="O46" s="61">
        <f t="shared" si="3"/>
        <v>5.66</v>
      </c>
      <c r="P46" s="61">
        <f t="shared" si="4"/>
        <v>12.169</v>
      </c>
      <c r="Q46" s="61">
        <f t="shared" si="23"/>
        <v>0</v>
      </c>
      <c r="R46" s="61">
        <f t="shared" si="5"/>
        <v>0.5</v>
      </c>
      <c r="S46" s="61">
        <f t="shared" si="24"/>
        <v>1.4</v>
      </c>
      <c r="T46" s="61">
        <f t="shared" si="6"/>
        <v>14.969000000000001</v>
      </c>
      <c r="U46" s="201">
        <f t="shared" si="25"/>
        <v>2</v>
      </c>
      <c r="V46" s="203">
        <f t="shared" si="26"/>
        <v>0.25</v>
      </c>
      <c r="W46" s="37" t="s">
        <v>40</v>
      </c>
      <c r="X46" s="202">
        <f t="shared" si="7"/>
        <v>30</v>
      </c>
      <c r="Y46" s="201">
        <f t="shared" si="8"/>
        <v>35</v>
      </c>
      <c r="Z46" s="61">
        <f t="shared" si="27"/>
        <v>15.969000000000001</v>
      </c>
      <c r="AA46" s="61">
        <f t="shared" si="28"/>
        <v>1.43</v>
      </c>
      <c r="AB46" s="61">
        <f t="shared" si="29"/>
        <v>1.8</v>
      </c>
      <c r="AC46" s="61">
        <f t="shared" si="30"/>
        <v>18.829000000000001</v>
      </c>
      <c r="AD46" s="61">
        <f t="shared" si="31"/>
        <v>19.569000000000003</v>
      </c>
      <c r="AE46" s="61">
        <v>0</v>
      </c>
      <c r="AF46" s="271">
        <f t="shared" si="32"/>
        <v>252.51929327318888</v>
      </c>
      <c r="AG46" s="268">
        <f t="shared" si="63"/>
        <v>63.791516133670179</v>
      </c>
      <c r="AH46" s="38">
        <f t="shared" si="33"/>
        <v>0</v>
      </c>
      <c r="AI46" s="271">
        <f t="shared" si="16"/>
        <v>139.05367639861694</v>
      </c>
      <c r="AJ46" s="61">
        <f t="shared" si="34"/>
        <v>140.25179844468616</v>
      </c>
      <c r="AK46" s="61">
        <f t="shared" si="35"/>
        <v>154.74124473645787</v>
      </c>
      <c r="AL46" s="61">
        <f t="shared" si="36"/>
        <v>750.35752898662008</v>
      </c>
      <c r="AM46" s="265">
        <f t="shared" si="64"/>
        <v>0</v>
      </c>
      <c r="AN46" s="326">
        <f t="shared" si="65"/>
        <v>256.31</v>
      </c>
      <c r="AO46" s="326">
        <f t="shared" si="66"/>
        <v>65.83</v>
      </c>
      <c r="AP46" s="265">
        <f t="shared" si="67"/>
        <v>0</v>
      </c>
      <c r="AQ46" s="326">
        <f t="shared" si="68"/>
        <v>143.5</v>
      </c>
      <c r="AR46" s="326">
        <f t="shared" si="69"/>
        <v>144.46</v>
      </c>
      <c r="AS46" s="326">
        <f t="shared" si="70"/>
        <v>159.69</v>
      </c>
    </row>
    <row r="47" spans="1:45" s="207" customFormat="1" outlineLevel="2" x14ac:dyDescent="0.25">
      <c r="A47" s="318"/>
      <c r="B47" s="357" t="str">
        <f t="shared" si="20"/>
        <v>Кабель ВБШв 3*16ок (N, PE) - 1 ГОСТ 31996-2012</v>
      </c>
      <c r="C47" s="391">
        <v>3</v>
      </c>
      <c r="D47" s="200" t="s">
        <v>40</v>
      </c>
      <c r="E47" s="273">
        <v>16</v>
      </c>
      <c r="F47" s="275" t="str">
        <f t="shared" si="21"/>
        <v>ок</v>
      </c>
      <c r="G47" s="277">
        <v>1</v>
      </c>
      <c r="H47" s="37" t="s">
        <v>40</v>
      </c>
      <c r="I47" s="256">
        <v>4.41</v>
      </c>
      <c r="J47" s="61">
        <v>15.27</v>
      </c>
      <c r="K47" s="61">
        <f t="shared" si="71"/>
        <v>4.41</v>
      </c>
      <c r="L47" s="61">
        <f t="shared" si="1"/>
        <v>0.89000000000000012</v>
      </c>
      <c r="M47" s="61">
        <f t="shared" si="22"/>
        <v>1.1000000000000001</v>
      </c>
      <c r="N47" s="61">
        <f t="shared" si="2"/>
        <v>6.19</v>
      </c>
      <c r="O47" s="61">
        <f t="shared" si="3"/>
        <v>6.61</v>
      </c>
      <c r="P47" s="61">
        <f t="shared" si="4"/>
        <v>14.211500000000001</v>
      </c>
      <c r="Q47" s="61">
        <f t="shared" si="23"/>
        <v>0</v>
      </c>
      <c r="R47" s="61">
        <f t="shared" si="5"/>
        <v>0.5</v>
      </c>
      <c r="S47" s="61">
        <f t="shared" si="24"/>
        <v>1.4</v>
      </c>
      <c r="T47" s="61">
        <f t="shared" si="6"/>
        <v>17.011500000000002</v>
      </c>
      <c r="U47" s="201">
        <f t="shared" si="25"/>
        <v>2</v>
      </c>
      <c r="V47" s="203">
        <f t="shared" si="26"/>
        <v>0.25</v>
      </c>
      <c r="W47" s="37" t="s">
        <v>40</v>
      </c>
      <c r="X47" s="202">
        <f t="shared" si="7"/>
        <v>30</v>
      </c>
      <c r="Y47" s="201">
        <f t="shared" si="8"/>
        <v>35</v>
      </c>
      <c r="Z47" s="61">
        <f t="shared" si="27"/>
        <v>18.011500000000002</v>
      </c>
      <c r="AA47" s="61">
        <f t="shared" si="28"/>
        <v>1.43</v>
      </c>
      <c r="AB47" s="61">
        <f t="shared" si="29"/>
        <v>1.8</v>
      </c>
      <c r="AC47" s="61">
        <f t="shared" si="30"/>
        <v>20.871500000000001</v>
      </c>
      <c r="AD47" s="61">
        <f t="shared" si="31"/>
        <v>21.611500000000003</v>
      </c>
      <c r="AE47" s="61">
        <v>0</v>
      </c>
      <c r="AF47" s="271">
        <f t="shared" si="32"/>
        <v>410.22256569767649</v>
      </c>
      <c r="AG47" s="268">
        <f t="shared" si="63"/>
        <v>77.081415328184789</v>
      </c>
      <c r="AH47" s="38">
        <f t="shared" si="33"/>
        <v>0</v>
      </c>
      <c r="AI47" s="271">
        <f t="shared" si="16"/>
        <v>171.82551475786443</v>
      </c>
      <c r="AJ47" s="61">
        <f t="shared" si="34"/>
        <v>158.77040328813248</v>
      </c>
      <c r="AK47" s="61">
        <f t="shared" si="35"/>
        <v>172.52834543847914</v>
      </c>
      <c r="AL47" s="61">
        <f t="shared" si="36"/>
        <v>990.42824451033732</v>
      </c>
      <c r="AM47" s="265">
        <f t="shared" si="64"/>
        <v>0</v>
      </c>
      <c r="AN47" s="326">
        <f t="shared" si="65"/>
        <v>416.38</v>
      </c>
      <c r="AO47" s="326">
        <f t="shared" si="66"/>
        <v>79.55</v>
      </c>
      <c r="AP47" s="265">
        <f t="shared" si="67"/>
        <v>0</v>
      </c>
      <c r="AQ47" s="326">
        <f t="shared" si="68"/>
        <v>177.32</v>
      </c>
      <c r="AR47" s="326">
        <f t="shared" si="69"/>
        <v>163.53</v>
      </c>
      <c r="AS47" s="326">
        <f t="shared" si="70"/>
        <v>178.05</v>
      </c>
    </row>
    <row r="48" spans="1:45" s="377" customFormat="1" outlineLevel="2" x14ac:dyDescent="0.25">
      <c r="A48" s="360"/>
      <c r="B48" s="361" t="str">
        <f t="shared" si="20"/>
        <v>Кабель ВБШв 3*25ок (N, PE) - 1 ГОСТ 31996-2012</v>
      </c>
      <c r="C48" s="393">
        <v>3</v>
      </c>
      <c r="D48" s="362" t="s">
        <v>40</v>
      </c>
      <c r="E48" s="363">
        <v>25</v>
      </c>
      <c r="F48" s="364" t="str">
        <f t="shared" si="21"/>
        <v>ок</v>
      </c>
      <c r="G48" s="365">
        <v>1</v>
      </c>
      <c r="H48" s="366" t="s">
        <v>40</v>
      </c>
      <c r="I48" s="367">
        <v>5.54</v>
      </c>
      <c r="J48" s="368">
        <v>24.11</v>
      </c>
      <c r="K48" s="368">
        <f t="shared" si="71"/>
        <v>5.54</v>
      </c>
      <c r="L48" s="368">
        <f t="shared" si="1"/>
        <v>1.07</v>
      </c>
      <c r="M48" s="368">
        <f t="shared" si="22"/>
        <v>1.3</v>
      </c>
      <c r="N48" s="368">
        <f t="shared" si="2"/>
        <v>7.68</v>
      </c>
      <c r="O48" s="368">
        <f t="shared" si="3"/>
        <v>8.14</v>
      </c>
      <c r="P48" s="368">
        <f t="shared" si="4"/>
        <v>17.501000000000001</v>
      </c>
      <c r="Q48" s="61">
        <f t="shared" si="23"/>
        <v>0</v>
      </c>
      <c r="R48" s="368">
        <f t="shared" si="5"/>
        <v>0.5</v>
      </c>
      <c r="S48" s="61">
        <f t="shared" si="24"/>
        <v>1.4</v>
      </c>
      <c r="T48" s="368">
        <f t="shared" si="6"/>
        <v>20.301000000000002</v>
      </c>
      <c r="U48" s="369">
        <f t="shared" si="25"/>
        <v>2</v>
      </c>
      <c r="V48" s="370">
        <f t="shared" si="26"/>
        <v>0.25</v>
      </c>
      <c r="W48" s="366" t="s">
        <v>40</v>
      </c>
      <c r="X48" s="371">
        <f t="shared" si="7"/>
        <v>30</v>
      </c>
      <c r="Y48" s="369">
        <f t="shared" si="8"/>
        <v>35</v>
      </c>
      <c r="Z48" s="368">
        <f t="shared" si="27"/>
        <v>21.301000000000002</v>
      </c>
      <c r="AA48" s="368">
        <f t="shared" si="28"/>
        <v>1.5999999999999999</v>
      </c>
      <c r="AB48" s="368">
        <f t="shared" si="29"/>
        <v>2</v>
      </c>
      <c r="AC48" s="368">
        <f t="shared" si="30"/>
        <v>24.501000000000001</v>
      </c>
      <c r="AD48" s="368">
        <f t="shared" si="31"/>
        <v>25.301000000000002</v>
      </c>
      <c r="AE48" s="368">
        <v>0</v>
      </c>
      <c r="AF48" s="372">
        <f t="shared" si="32"/>
        <v>647.38390369068475</v>
      </c>
      <c r="AG48" s="378">
        <f t="shared" si="63"/>
        <v>113.08496041877895</v>
      </c>
      <c r="AH48" s="379">
        <f t="shared" si="33"/>
        <v>0</v>
      </c>
      <c r="AI48" s="372">
        <f t="shared" si="16"/>
        <v>231.17929059091463</v>
      </c>
      <c r="AJ48" s="368">
        <f t="shared" si="34"/>
        <v>188.59510372020924</v>
      </c>
      <c r="AK48" s="368">
        <f t="shared" si="35"/>
        <v>225.46293129759096</v>
      </c>
      <c r="AL48" s="368">
        <f t="shared" si="36"/>
        <v>1405.7061897181786</v>
      </c>
      <c r="AM48" s="376">
        <f t="shared" si="64"/>
        <v>0</v>
      </c>
      <c r="AN48" s="376">
        <f t="shared" si="65"/>
        <v>657.09</v>
      </c>
      <c r="AO48" s="376">
        <f t="shared" si="66"/>
        <v>116.7</v>
      </c>
      <c r="AP48" s="376">
        <f t="shared" si="67"/>
        <v>0</v>
      </c>
      <c r="AQ48" s="376">
        <f t="shared" si="68"/>
        <v>238.58</v>
      </c>
      <c r="AR48" s="376">
        <f t="shared" si="69"/>
        <v>194.25</v>
      </c>
      <c r="AS48" s="376">
        <f t="shared" si="70"/>
        <v>232.68</v>
      </c>
    </row>
    <row r="49" spans="1:45" s="377" customFormat="1" outlineLevel="2" x14ac:dyDescent="0.25">
      <c r="A49" s="360"/>
      <c r="B49" s="361" t="str">
        <f t="shared" si="20"/>
        <v>Кабель ВБШв 3*35ок (N, PE) - 1 ГОСТ 31996-2012</v>
      </c>
      <c r="C49" s="393">
        <v>3</v>
      </c>
      <c r="D49" s="362" t="s">
        <v>40</v>
      </c>
      <c r="E49" s="363">
        <v>35</v>
      </c>
      <c r="F49" s="364" t="str">
        <f t="shared" si="21"/>
        <v>ок</v>
      </c>
      <c r="G49" s="365">
        <v>1</v>
      </c>
      <c r="H49" s="366" t="s">
        <v>40</v>
      </c>
      <c r="I49" s="367">
        <v>6.51</v>
      </c>
      <c r="J49" s="368">
        <v>33.29</v>
      </c>
      <c r="K49" s="368">
        <f t="shared" si="71"/>
        <v>6.51</v>
      </c>
      <c r="L49" s="368">
        <f t="shared" si="1"/>
        <v>1.07</v>
      </c>
      <c r="M49" s="368">
        <f t="shared" si="22"/>
        <v>1.3</v>
      </c>
      <c r="N49" s="368">
        <f t="shared" si="2"/>
        <v>8.65</v>
      </c>
      <c r="O49" s="368">
        <f t="shared" si="3"/>
        <v>9.11</v>
      </c>
      <c r="P49" s="368">
        <f t="shared" si="4"/>
        <v>19.586499999999997</v>
      </c>
      <c r="Q49" s="61">
        <f t="shared" si="23"/>
        <v>0</v>
      </c>
      <c r="R49" s="368">
        <f t="shared" si="5"/>
        <v>0.5</v>
      </c>
      <c r="S49" s="61">
        <f t="shared" si="24"/>
        <v>1.4</v>
      </c>
      <c r="T49" s="368">
        <f t="shared" si="6"/>
        <v>22.386499999999998</v>
      </c>
      <c r="U49" s="369">
        <f t="shared" si="25"/>
        <v>2</v>
      </c>
      <c r="V49" s="370">
        <f t="shared" si="26"/>
        <v>0.25</v>
      </c>
      <c r="W49" s="366" t="s">
        <v>40</v>
      </c>
      <c r="X49" s="371">
        <f t="shared" si="7"/>
        <v>40</v>
      </c>
      <c r="Y49" s="369">
        <f t="shared" si="8"/>
        <v>35</v>
      </c>
      <c r="Z49" s="368">
        <f t="shared" si="27"/>
        <v>23.386499999999998</v>
      </c>
      <c r="AA49" s="368">
        <f t="shared" si="28"/>
        <v>1.5999999999999999</v>
      </c>
      <c r="AB49" s="368">
        <f t="shared" si="29"/>
        <v>2</v>
      </c>
      <c r="AC49" s="368">
        <f t="shared" si="30"/>
        <v>26.586499999999997</v>
      </c>
      <c r="AD49" s="368">
        <f t="shared" si="31"/>
        <v>27.386499999999998</v>
      </c>
      <c r="AE49" s="368">
        <v>0</v>
      </c>
      <c r="AF49" s="372">
        <f t="shared" si="32"/>
        <v>893.93171345910901</v>
      </c>
      <c r="AG49" s="378">
        <f t="shared" si="63"/>
        <v>129.12186270038941</v>
      </c>
      <c r="AH49" s="379">
        <f t="shared" si="33"/>
        <v>0</v>
      </c>
      <c r="AI49" s="372">
        <f t="shared" si="16"/>
        <v>273.01016567269085</v>
      </c>
      <c r="AJ49" s="368">
        <f t="shared" si="34"/>
        <v>207.50357392878072</v>
      </c>
      <c r="AK49" s="368">
        <f t="shared" si="35"/>
        <v>245.64244905310042</v>
      </c>
      <c r="AL49" s="368">
        <f t="shared" si="36"/>
        <v>1749.2097648140705</v>
      </c>
      <c r="AM49" s="376">
        <f t="shared" si="64"/>
        <v>0</v>
      </c>
      <c r="AN49" s="376">
        <f t="shared" si="65"/>
        <v>907.34</v>
      </c>
      <c r="AO49" s="376">
        <f t="shared" si="66"/>
        <v>133.25</v>
      </c>
      <c r="AP49" s="376">
        <f t="shared" si="67"/>
        <v>0</v>
      </c>
      <c r="AQ49" s="376">
        <f t="shared" si="68"/>
        <v>281.75</v>
      </c>
      <c r="AR49" s="376">
        <f t="shared" si="69"/>
        <v>213.73</v>
      </c>
      <c r="AS49" s="376">
        <f t="shared" si="70"/>
        <v>253.5</v>
      </c>
    </row>
    <row r="50" spans="1:45" s="207" customFormat="1" outlineLevel="2" x14ac:dyDescent="0.25">
      <c r="A50" s="318"/>
      <c r="B50" s="357" t="str">
        <f t="shared" si="20"/>
        <v>Кабель ВБШв 3*16мк (N, PE) - 1 ГОСТ 31996-2012</v>
      </c>
      <c r="C50" s="391">
        <v>3</v>
      </c>
      <c r="D50" s="200" t="s">
        <v>40</v>
      </c>
      <c r="E50" s="273">
        <v>16</v>
      </c>
      <c r="F50" s="275" t="str">
        <f t="shared" si="21"/>
        <v>мк</v>
      </c>
      <c r="G50" s="277">
        <v>7</v>
      </c>
      <c r="H50" s="37" t="s">
        <v>40</v>
      </c>
      <c r="I50" s="256">
        <v>1.76</v>
      </c>
      <c r="J50" s="61">
        <v>15.24</v>
      </c>
      <c r="K50" s="61">
        <v>4.6399999999999997</v>
      </c>
      <c r="L50" s="61">
        <f t="shared" si="1"/>
        <v>0.89000000000000012</v>
      </c>
      <c r="M50" s="61">
        <f t="shared" si="22"/>
        <v>1.1000000000000001</v>
      </c>
      <c r="N50" s="61">
        <f t="shared" si="2"/>
        <v>6.42</v>
      </c>
      <c r="O50" s="61">
        <f t="shared" si="3"/>
        <v>6.84</v>
      </c>
      <c r="P50" s="61">
        <f t="shared" si="4"/>
        <v>14.706</v>
      </c>
      <c r="Q50" s="61">
        <f t="shared" si="23"/>
        <v>0</v>
      </c>
      <c r="R50" s="61">
        <f t="shared" si="5"/>
        <v>0.5</v>
      </c>
      <c r="S50" s="61">
        <f t="shared" si="24"/>
        <v>1.4</v>
      </c>
      <c r="T50" s="61">
        <f t="shared" si="6"/>
        <v>17.506</v>
      </c>
      <c r="U50" s="201">
        <f t="shared" si="25"/>
        <v>2</v>
      </c>
      <c r="V50" s="203">
        <f t="shared" si="26"/>
        <v>0.25</v>
      </c>
      <c r="W50" s="37" t="s">
        <v>40</v>
      </c>
      <c r="X50" s="202">
        <f t="shared" si="7"/>
        <v>30</v>
      </c>
      <c r="Y50" s="201">
        <f t="shared" si="8"/>
        <v>35</v>
      </c>
      <c r="Z50" s="61">
        <f t="shared" si="27"/>
        <v>18.506</v>
      </c>
      <c r="AA50" s="61">
        <f t="shared" si="28"/>
        <v>1.43</v>
      </c>
      <c r="AB50" s="61">
        <f t="shared" si="29"/>
        <v>1.8</v>
      </c>
      <c r="AC50" s="61">
        <f t="shared" si="30"/>
        <v>21.366</v>
      </c>
      <c r="AD50" s="61">
        <f t="shared" si="31"/>
        <v>22.106000000000002</v>
      </c>
      <c r="AE50" s="61">
        <v>0</v>
      </c>
      <c r="AF50" s="271">
        <f t="shared" si="32"/>
        <v>409.29595560000001</v>
      </c>
      <c r="AG50" s="268">
        <f t="shared" si="63"/>
        <v>88.328866857016124</v>
      </c>
      <c r="AH50" s="38">
        <f t="shared" si="33"/>
        <v>0</v>
      </c>
      <c r="AI50" s="271">
        <f t="shared" si="16"/>
        <v>180.22995479615915</v>
      </c>
      <c r="AJ50" s="61">
        <f t="shared" si="34"/>
        <v>163.25385498707215</v>
      </c>
      <c r="AK50" s="61">
        <f t="shared" si="35"/>
        <v>176.83469613475791</v>
      </c>
      <c r="AL50" s="61">
        <f t="shared" si="36"/>
        <v>1017.9433283750053</v>
      </c>
      <c r="AM50" s="265">
        <f t="shared" si="64"/>
        <v>0</v>
      </c>
      <c r="AN50" s="326">
        <f t="shared" si="65"/>
        <v>415.44</v>
      </c>
      <c r="AO50" s="326">
        <f t="shared" si="66"/>
        <v>91.16</v>
      </c>
      <c r="AP50" s="265">
        <f t="shared" si="67"/>
        <v>0</v>
      </c>
      <c r="AQ50" s="326">
        <f t="shared" si="68"/>
        <v>186</v>
      </c>
      <c r="AR50" s="326">
        <f t="shared" si="69"/>
        <v>168.15</v>
      </c>
      <c r="AS50" s="326">
        <f t="shared" si="70"/>
        <v>182.49</v>
      </c>
    </row>
    <row r="51" spans="1:45" s="207" customFormat="1" outlineLevel="2" x14ac:dyDescent="0.25">
      <c r="A51" s="318"/>
      <c r="B51" s="357" t="str">
        <f t="shared" si="20"/>
        <v>Кабель ВБШв 3*25мк (N, PE) - 1 ГОСТ 31996-2012</v>
      </c>
      <c r="C51" s="391">
        <v>3</v>
      </c>
      <c r="D51" s="200" t="s">
        <v>40</v>
      </c>
      <c r="E51" s="273">
        <v>25</v>
      </c>
      <c r="F51" s="275" t="str">
        <f t="shared" si="21"/>
        <v>мк</v>
      </c>
      <c r="G51" s="277">
        <v>7</v>
      </c>
      <c r="H51" s="37" t="s">
        <v>40</v>
      </c>
      <c r="I51" s="256">
        <v>2.19</v>
      </c>
      <c r="J51" s="61">
        <v>24.1</v>
      </c>
      <c r="K51" s="61">
        <v>5.84</v>
      </c>
      <c r="L51" s="61">
        <f t="shared" si="1"/>
        <v>1.07</v>
      </c>
      <c r="M51" s="61">
        <f t="shared" si="22"/>
        <v>1.3</v>
      </c>
      <c r="N51" s="61">
        <f t="shared" si="2"/>
        <v>7.98</v>
      </c>
      <c r="O51" s="61">
        <f t="shared" si="3"/>
        <v>8.44</v>
      </c>
      <c r="P51" s="61">
        <f t="shared" si="4"/>
        <v>18.145999999999997</v>
      </c>
      <c r="Q51" s="61">
        <f t="shared" si="23"/>
        <v>0</v>
      </c>
      <c r="R51" s="61">
        <f t="shared" si="5"/>
        <v>0.5</v>
      </c>
      <c r="S51" s="61">
        <f t="shared" si="24"/>
        <v>1.4</v>
      </c>
      <c r="T51" s="61">
        <f t="shared" si="6"/>
        <v>20.945999999999998</v>
      </c>
      <c r="U51" s="201">
        <f t="shared" si="25"/>
        <v>2</v>
      </c>
      <c r="V51" s="203">
        <f t="shared" si="26"/>
        <v>0.25</v>
      </c>
      <c r="W51" s="37" t="s">
        <v>40</v>
      </c>
      <c r="X51" s="202">
        <f t="shared" si="7"/>
        <v>30</v>
      </c>
      <c r="Y51" s="201">
        <f t="shared" si="8"/>
        <v>35</v>
      </c>
      <c r="Z51" s="61">
        <f t="shared" si="27"/>
        <v>21.945999999999998</v>
      </c>
      <c r="AA51" s="61">
        <f t="shared" si="28"/>
        <v>1.5999999999999999</v>
      </c>
      <c r="AB51" s="61">
        <f t="shared" si="29"/>
        <v>2</v>
      </c>
      <c r="AC51" s="61">
        <f t="shared" si="30"/>
        <v>25.145999999999997</v>
      </c>
      <c r="AD51" s="61">
        <f t="shared" si="31"/>
        <v>25.945999999999998</v>
      </c>
      <c r="AE51" s="61">
        <v>0</v>
      </c>
      <c r="AF51" s="271">
        <f t="shared" si="32"/>
        <v>647.24622899999997</v>
      </c>
      <c r="AG51" s="268">
        <f t="shared" si="63"/>
        <v>129.84930981419441</v>
      </c>
      <c r="AH51" s="38">
        <f t="shared" si="33"/>
        <v>0</v>
      </c>
      <c r="AI51" s="271">
        <f t="shared" si="16"/>
        <v>243.76843844257127</v>
      </c>
      <c r="AJ51" s="61">
        <f t="shared" si="34"/>
        <v>194.44308419708702</v>
      </c>
      <c r="AK51" s="61">
        <f t="shared" si="35"/>
        <v>231.70401926321247</v>
      </c>
      <c r="AL51" s="61">
        <f t="shared" si="36"/>
        <v>1447.0110807170652</v>
      </c>
      <c r="AM51" s="265">
        <f t="shared" si="64"/>
        <v>0</v>
      </c>
      <c r="AN51" s="326">
        <f t="shared" si="65"/>
        <v>656.95</v>
      </c>
      <c r="AO51" s="326">
        <f t="shared" si="66"/>
        <v>134</v>
      </c>
      <c r="AP51" s="265">
        <f t="shared" si="67"/>
        <v>0</v>
      </c>
      <c r="AQ51" s="326">
        <f t="shared" si="68"/>
        <v>251.57</v>
      </c>
      <c r="AR51" s="326">
        <f t="shared" si="69"/>
        <v>200.28</v>
      </c>
      <c r="AS51" s="326">
        <f t="shared" si="70"/>
        <v>239.12</v>
      </c>
    </row>
    <row r="52" spans="1:45" s="207" customFormat="1" outlineLevel="2" x14ac:dyDescent="0.25">
      <c r="A52" s="318"/>
      <c r="B52" s="357" t="str">
        <f t="shared" si="20"/>
        <v>Кабель ВБШв 3*35мк (N, PE) - 1 ГОСТ 31996-2012</v>
      </c>
      <c r="C52" s="390">
        <v>3</v>
      </c>
      <c r="D52" s="200" t="s">
        <v>40</v>
      </c>
      <c r="E52" s="273">
        <v>35</v>
      </c>
      <c r="F52" s="275" t="str">
        <f t="shared" si="21"/>
        <v>мк</v>
      </c>
      <c r="G52" s="277">
        <v>7</v>
      </c>
      <c r="H52" s="37" t="s">
        <v>40</v>
      </c>
      <c r="I52" s="256">
        <v>2.5499999999999998</v>
      </c>
      <c r="J52" s="61">
        <v>33.44</v>
      </c>
      <c r="K52" s="61">
        <v>6.95</v>
      </c>
      <c r="L52" s="61">
        <f t="shared" si="1"/>
        <v>1.07</v>
      </c>
      <c r="M52" s="61">
        <f t="shared" si="22"/>
        <v>1.3</v>
      </c>
      <c r="N52" s="61">
        <f t="shared" si="2"/>
        <v>9.09</v>
      </c>
      <c r="O52" s="61">
        <f t="shared" si="3"/>
        <v>9.5500000000000007</v>
      </c>
      <c r="P52" s="61">
        <f t="shared" si="4"/>
        <v>20.532500000000002</v>
      </c>
      <c r="Q52" s="61">
        <f t="shared" si="23"/>
        <v>0</v>
      </c>
      <c r="R52" s="61">
        <f t="shared" si="5"/>
        <v>0.5</v>
      </c>
      <c r="S52" s="61">
        <f t="shared" si="24"/>
        <v>1.4</v>
      </c>
      <c r="T52" s="61">
        <f t="shared" si="6"/>
        <v>23.332500000000003</v>
      </c>
      <c r="U52" s="201">
        <f t="shared" si="25"/>
        <v>2</v>
      </c>
      <c r="V52" s="203">
        <f t="shared" si="26"/>
        <v>0.25</v>
      </c>
      <c r="W52" s="37" t="s">
        <v>40</v>
      </c>
      <c r="X52" s="202">
        <f t="shared" si="7"/>
        <v>40</v>
      </c>
      <c r="Y52" s="201">
        <f t="shared" si="8"/>
        <v>35</v>
      </c>
      <c r="Z52" s="61">
        <f t="shared" si="27"/>
        <v>24.332500000000003</v>
      </c>
      <c r="AA52" s="61">
        <f t="shared" si="28"/>
        <v>1.5999999999999999</v>
      </c>
      <c r="AB52" s="61">
        <f t="shared" si="29"/>
        <v>2</v>
      </c>
      <c r="AC52" s="61">
        <f t="shared" si="30"/>
        <v>27.532500000000002</v>
      </c>
      <c r="AD52" s="61">
        <f t="shared" si="31"/>
        <v>28.332500000000003</v>
      </c>
      <c r="AE52" s="61">
        <v>0</v>
      </c>
      <c r="AF52" s="271">
        <f t="shared" si="32"/>
        <v>898.08771360000003</v>
      </c>
      <c r="AG52" s="268">
        <f t="shared" si="63"/>
        <v>150.03596722228349</v>
      </c>
      <c r="AH52" s="38">
        <f t="shared" si="33"/>
        <v>0</v>
      </c>
      <c r="AI52" s="271">
        <f t="shared" si="16"/>
        <v>293.05985000925403</v>
      </c>
      <c r="AJ52" s="61">
        <f t="shared" si="34"/>
        <v>216.08061196153486</v>
      </c>
      <c r="AK52" s="61">
        <f t="shared" si="35"/>
        <v>254.79604473601196</v>
      </c>
      <c r="AL52" s="61">
        <f t="shared" si="36"/>
        <v>1812.0601875290843</v>
      </c>
      <c r="AM52" s="265">
        <f t="shared" si="64"/>
        <v>0</v>
      </c>
      <c r="AN52" s="326">
        <f t="shared" si="65"/>
        <v>911.56</v>
      </c>
      <c r="AO52" s="326">
        <f t="shared" si="66"/>
        <v>154.84</v>
      </c>
      <c r="AP52" s="265">
        <f t="shared" si="67"/>
        <v>0</v>
      </c>
      <c r="AQ52" s="326">
        <f t="shared" si="68"/>
        <v>302.44</v>
      </c>
      <c r="AR52" s="326">
        <f t="shared" si="69"/>
        <v>222.56</v>
      </c>
      <c r="AS52" s="326">
        <f t="shared" si="70"/>
        <v>262.95</v>
      </c>
    </row>
    <row r="53" spans="1:45" s="207" customFormat="1" outlineLevel="2" x14ac:dyDescent="0.25">
      <c r="A53" s="318"/>
      <c r="B53" s="357" t="str">
        <f t="shared" si="20"/>
        <v>Кабель ВБШв 3*50мк (N, PE) - 1 ГОСТ 31996-2012</v>
      </c>
      <c r="C53" s="390">
        <v>3</v>
      </c>
      <c r="D53" s="200" t="s">
        <v>40</v>
      </c>
      <c r="E53" s="273">
        <v>50</v>
      </c>
      <c r="F53" s="275" t="str">
        <f t="shared" si="21"/>
        <v>мк</v>
      </c>
      <c r="G53" s="277">
        <v>7</v>
      </c>
      <c r="H53" s="37" t="s">
        <v>40</v>
      </c>
      <c r="I53" s="256">
        <v>3</v>
      </c>
      <c r="J53" s="61">
        <v>45.28</v>
      </c>
      <c r="K53" s="61">
        <v>8</v>
      </c>
      <c r="L53" s="61">
        <f t="shared" si="1"/>
        <v>1.25</v>
      </c>
      <c r="M53" s="61">
        <f t="shared" si="22"/>
        <v>1.5</v>
      </c>
      <c r="N53" s="61">
        <f t="shared" si="2"/>
        <v>10.5</v>
      </c>
      <c r="O53" s="61">
        <f t="shared" si="3"/>
        <v>11</v>
      </c>
      <c r="P53" s="61">
        <f t="shared" si="4"/>
        <v>23.65</v>
      </c>
      <c r="Q53" s="61">
        <f t="shared" si="23"/>
        <v>0</v>
      </c>
      <c r="R53" s="61">
        <f t="shared" si="5"/>
        <v>0.5</v>
      </c>
      <c r="S53" s="61">
        <f t="shared" si="24"/>
        <v>1.4</v>
      </c>
      <c r="T53" s="61">
        <f t="shared" si="6"/>
        <v>26.45</v>
      </c>
      <c r="U53" s="201">
        <f t="shared" si="25"/>
        <v>2</v>
      </c>
      <c r="V53" s="203">
        <f t="shared" si="26"/>
        <v>0.25</v>
      </c>
      <c r="W53" s="37" t="s">
        <v>40</v>
      </c>
      <c r="X53" s="202">
        <f t="shared" si="7"/>
        <v>40</v>
      </c>
      <c r="Y53" s="201">
        <f t="shared" si="8"/>
        <v>35</v>
      </c>
      <c r="Z53" s="61">
        <f t="shared" si="27"/>
        <v>27.45</v>
      </c>
      <c r="AA53" s="61">
        <f t="shared" si="28"/>
        <v>1.5999999999999999</v>
      </c>
      <c r="AB53" s="61">
        <f t="shared" si="29"/>
        <v>2</v>
      </c>
      <c r="AC53" s="61">
        <f t="shared" si="30"/>
        <v>30.65</v>
      </c>
      <c r="AD53" s="61">
        <f t="shared" si="31"/>
        <v>31.45</v>
      </c>
      <c r="AE53" s="61">
        <v>0</v>
      </c>
      <c r="AF53" s="271">
        <f t="shared" si="32"/>
        <v>1216.0709231999999</v>
      </c>
      <c r="AG53" s="61">
        <f t="shared" si="63"/>
        <v>199.34848791771927</v>
      </c>
      <c r="AH53" s="38">
        <f t="shared" si="33"/>
        <v>0</v>
      </c>
      <c r="AI53" s="271">
        <f t="shared" si="16"/>
        <v>363.88064000977425</v>
      </c>
      <c r="AJ53" s="61">
        <f t="shared" si="34"/>
        <v>244.34585093311088</v>
      </c>
      <c r="AK53" s="61">
        <f t="shared" si="35"/>
        <v>284.96130323651579</v>
      </c>
      <c r="AL53" s="61">
        <f t="shared" si="36"/>
        <v>2308.6072052971199</v>
      </c>
      <c r="AM53" s="265">
        <f t="shared" si="64"/>
        <v>0</v>
      </c>
      <c r="AN53" s="326">
        <f t="shared" si="65"/>
        <v>1234.31</v>
      </c>
      <c r="AO53" s="326">
        <f t="shared" si="66"/>
        <v>205.73</v>
      </c>
      <c r="AP53" s="265">
        <f t="shared" si="67"/>
        <v>0</v>
      </c>
      <c r="AQ53" s="326">
        <f t="shared" si="68"/>
        <v>375.52</v>
      </c>
      <c r="AR53" s="326">
        <f t="shared" si="69"/>
        <v>251.68</v>
      </c>
      <c r="AS53" s="326">
        <f t="shared" si="70"/>
        <v>294.08</v>
      </c>
    </row>
    <row r="54" spans="1:45" s="207" customFormat="1" outlineLevel="1" x14ac:dyDescent="0.25">
      <c r="A54" s="359">
        <v>3</v>
      </c>
      <c r="B54" s="272"/>
      <c r="C54" s="392"/>
      <c r="D54" s="193"/>
      <c r="E54" s="53"/>
      <c r="F54" s="275"/>
      <c r="G54" s="278"/>
      <c r="H54" s="194"/>
      <c r="I54" s="193"/>
      <c r="J54" s="194"/>
      <c r="K54" s="194"/>
      <c r="L54" s="194"/>
      <c r="M54" s="61"/>
      <c r="N54" s="194"/>
      <c r="O54" s="194"/>
      <c r="P54" s="194"/>
      <c r="Q54" s="61" t="str">
        <f t="shared" si="23"/>
        <v/>
      </c>
      <c r="R54" s="194"/>
      <c r="S54" s="61" t="str">
        <f t="shared" si="24"/>
        <v/>
      </c>
      <c r="T54" s="194"/>
      <c r="U54" s="196"/>
      <c r="V54" s="203"/>
      <c r="W54" s="194"/>
      <c r="X54" s="239"/>
      <c r="Y54" s="198"/>
      <c r="Z54" s="194"/>
      <c r="AA54" s="194"/>
      <c r="AB54" s="194"/>
      <c r="AC54" s="194"/>
      <c r="AD54" s="194"/>
      <c r="AE54" s="194"/>
      <c r="AF54" s="188"/>
      <c r="AG54" s="188"/>
      <c r="AH54" s="194"/>
      <c r="AI54" s="188"/>
      <c r="AJ54" s="194"/>
      <c r="AK54" s="194"/>
      <c r="AL54" s="194"/>
    </row>
    <row r="55" spans="1:45" s="207" customFormat="1" outlineLevel="2" x14ac:dyDescent="0.25">
      <c r="A55" s="318"/>
      <c r="B55" s="357" t="str">
        <f t="shared" si="20"/>
        <v>Кабель ВБШв 4*1,5ок (N) - 1 ГОСТ 31996-2012</v>
      </c>
      <c r="C55" s="390">
        <v>4</v>
      </c>
      <c r="D55" s="200" t="s">
        <v>40</v>
      </c>
      <c r="E55" s="273">
        <v>1.5</v>
      </c>
      <c r="F55" s="275" t="str">
        <f t="shared" si="21"/>
        <v>ок</v>
      </c>
      <c r="G55" s="277">
        <v>1</v>
      </c>
      <c r="H55" s="37" t="s">
        <v>40</v>
      </c>
      <c r="I55" s="256">
        <v>1.36</v>
      </c>
      <c r="J55" s="61">
        <v>1.45</v>
      </c>
      <c r="K55" s="61">
        <f>I55</f>
        <v>1.36</v>
      </c>
      <c r="L55" s="61">
        <f t="shared" si="1"/>
        <v>0.71000000000000008</v>
      </c>
      <c r="M55" s="61">
        <f t="shared" si="22"/>
        <v>0.9</v>
      </c>
      <c r="N55" s="61">
        <f t="shared" si="2"/>
        <v>2.7800000000000002</v>
      </c>
      <c r="O55" s="61">
        <f t="shared" si="3"/>
        <v>3.16</v>
      </c>
      <c r="P55" s="61">
        <f t="shared" si="4"/>
        <v>7.6156000000000006</v>
      </c>
      <c r="Q55" s="61">
        <f t="shared" si="23"/>
        <v>0</v>
      </c>
      <c r="R55" s="61">
        <f t="shared" si="5"/>
        <v>0.5</v>
      </c>
      <c r="S55" s="61">
        <f t="shared" si="24"/>
        <v>1.4</v>
      </c>
      <c r="T55" s="61">
        <f t="shared" si="6"/>
        <v>10.415600000000001</v>
      </c>
      <c r="U55" s="201">
        <f t="shared" si="25"/>
        <v>2</v>
      </c>
      <c r="V55" s="203">
        <f t="shared" si="26"/>
        <v>0.25</v>
      </c>
      <c r="W55" s="37" t="s">
        <v>40</v>
      </c>
      <c r="X55" s="202">
        <f t="shared" si="7"/>
        <v>20</v>
      </c>
      <c r="Y55" s="201">
        <f t="shared" si="8"/>
        <v>35</v>
      </c>
      <c r="Z55" s="61">
        <f t="shared" si="27"/>
        <v>11.415600000000001</v>
      </c>
      <c r="AA55" s="61">
        <f t="shared" si="28"/>
        <v>1.43</v>
      </c>
      <c r="AB55" s="61">
        <f t="shared" si="29"/>
        <v>1.8</v>
      </c>
      <c r="AC55" s="61">
        <f t="shared" si="30"/>
        <v>14.275600000000001</v>
      </c>
      <c r="AD55" s="61">
        <f t="shared" si="31"/>
        <v>15.015600000000001</v>
      </c>
      <c r="AE55" s="61">
        <v>0</v>
      </c>
      <c r="AF55" s="271">
        <f t="shared" si="32"/>
        <v>52.018631298304896</v>
      </c>
      <c r="AG55" s="268">
        <f t="shared" ref="AG55:AG66" si="72">PI()*(IF(G55=1,I55,K55)+M55)*M55*$AG$9*C55*IF(C55&gt;1,1.007,1)*IF(G55=1,1,(IF(E55&gt;=4,1.1,1.07)))</f>
        <v>34.490149871314493</v>
      </c>
      <c r="AH55" s="38">
        <f t="shared" si="33"/>
        <v>0</v>
      </c>
      <c r="AI55" s="271">
        <f t="shared" si="16"/>
        <v>72.449301543303434</v>
      </c>
      <c r="AJ55" s="61">
        <f t="shared" si="34"/>
        <v>98.967776268848425</v>
      </c>
      <c r="AK55" s="61">
        <f t="shared" si="35"/>
        <v>115.08798435134972</v>
      </c>
      <c r="AL55" s="61">
        <f t="shared" si="36"/>
        <v>373.01384333312092</v>
      </c>
      <c r="AM55" s="265">
        <f t="shared" ref="AM55:AM66" si="73">ROUND(AE55*1.015,2)</f>
        <v>0</v>
      </c>
      <c r="AN55" s="326">
        <f t="shared" ref="AN55:AN66" si="74">ROUND(AF55*1.015,2)</f>
        <v>52.8</v>
      </c>
      <c r="AO55" s="326">
        <f t="shared" ref="AO55:AO66" si="75">ROUND(AG55*1.032,2)</f>
        <v>35.590000000000003</v>
      </c>
      <c r="AP55" s="326">
        <f t="shared" ref="AP55:AP66" si="76">ROUND(AH55*1.032,2)</f>
        <v>0</v>
      </c>
      <c r="AQ55" s="326">
        <f t="shared" ref="AQ55:AQ66" si="77">ROUND(AI55*1.032,2)</f>
        <v>74.77</v>
      </c>
      <c r="AR55" s="326">
        <f t="shared" ref="AR55:AR66" si="78">ROUND(AJ55*1.03,2)</f>
        <v>101.94</v>
      </c>
      <c r="AS55" s="326">
        <f t="shared" ref="AS55:AS66" si="79">ROUND(AK55*1.032,2)</f>
        <v>118.77</v>
      </c>
    </row>
    <row r="56" spans="1:45" s="207" customFormat="1" outlineLevel="2" x14ac:dyDescent="0.25">
      <c r="A56" s="318"/>
      <c r="B56" s="357" t="str">
        <f t="shared" si="20"/>
        <v>Кабель ВБШв 4*2,5ок (N) - 1 ГОСТ 31996-2012</v>
      </c>
      <c r="C56" s="391">
        <v>4</v>
      </c>
      <c r="D56" s="200" t="s">
        <v>40</v>
      </c>
      <c r="E56" s="273">
        <v>2.5</v>
      </c>
      <c r="F56" s="275" t="str">
        <f t="shared" si="21"/>
        <v>ок</v>
      </c>
      <c r="G56" s="277">
        <v>1</v>
      </c>
      <c r="H56" s="37" t="s">
        <v>40</v>
      </c>
      <c r="I56" s="256">
        <v>1.76</v>
      </c>
      <c r="J56" s="61">
        <v>2.4300000000000002</v>
      </c>
      <c r="K56" s="61">
        <f t="shared" ref="K56:K62" si="80">I56</f>
        <v>1.76</v>
      </c>
      <c r="L56" s="61">
        <f t="shared" si="1"/>
        <v>0.71000000000000008</v>
      </c>
      <c r="M56" s="61">
        <f t="shared" si="22"/>
        <v>0.9</v>
      </c>
      <c r="N56" s="61">
        <f t="shared" si="2"/>
        <v>3.18</v>
      </c>
      <c r="O56" s="61">
        <f t="shared" si="3"/>
        <v>3.56</v>
      </c>
      <c r="P56" s="61">
        <f t="shared" si="4"/>
        <v>8.579600000000001</v>
      </c>
      <c r="Q56" s="61">
        <f t="shared" si="23"/>
        <v>0</v>
      </c>
      <c r="R56" s="61">
        <f t="shared" si="5"/>
        <v>0.5</v>
      </c>
      <c r="S56" s="61">
        <f t="shared" si="24"/>
        <v>1.4</v>
      </c>
      <c r="T56" s="61">
        <f t="shared" si="6"/>
        <v>11.3796</v>
      </c>
      <c r="U56" s="201">
        <f t="shared" si="25"/>
        <v>2</v>
      </c>
      <c r="V56" s="203">
        <f t="shared" si="26"/>
        <v>0.25</v>
      </c>
      <c r="W56" s="37" t="s">
        <v>40</v>
      </c>
      <c r="X56" s="202">
        <f t="shared" si="7"/>
        <v>20</v>
      </c>
      <c r="Y56" s="201">
        <f t="shared" si="8"/>
        <v>35</v>
      </c>
      <c r="Z56" s="61">
        <f t="shared" si="27"/>
        <v>12.3796</v>
      </c>
      <c r="AA56" s="61">
        <f t="shared" si="28"/>
        <v>1.43</v>
      </c>
      <c r="AB56" s="61">
        <f t="shared" si="29"/>
        <v>1.8</v>
      </c>
      <c r="AC56" s="61">
        <f t="shared" si="30"/>
        <v>15.239599999999999</v>
      </c>
      <c r="AD56" s="61">
        <f t="shared" si="31"/>
        <v>15.9796</v>
      </c>
      <c r="AE56" s="61">
        <v>0</v>
      </c>
      <c r="AF56" s="271">
        <f t="shared" si="32"/>
        <v>87.117707779860083</v>
      </c>
      <c r="AG56" s="268">
        <f t="shared" si="72"/>
        <v>40.594601175971931</v>
      </c>
      <c r="AH56" s="38">
        <f t="shared" si="33"/>
        <v>0</v>
      </c>
      <c r="AI56" s="271">
        <f t="shared" si="16"/>
        <v>82.943992882479307</v>
      </c>
      <c r="AJ56" s="61">
        <f t="shared" si="34"/>
        <v>107.70801375677119</v>
      </c>
      <c r="AK56" s="61">
        <f t="shared" si="35"/>
        <v>123.48297337301358</v>
      </c>
      <c r="AL56" s="61">
        <f t="shared" si="36"/>
        <v>441.84728896809611</v>
      </c>
      <c r="AM56" s="265">
        <f t="shared" si="73"/>
        <v>0</v>
      </c>
      <c r="AN56" s="326">
        <f t="shared" si="74"/>
        <v>88.42</v>
      </c>
      <c r="AO56" s="326">
        <f t="shared" si="75"/>
        <v>41.89</v>
      </c>
      <c r="AP56" s="326">
        <f t="shared" si="76"/>
        <v>0</v>
      </c>
      <c r="AQ56" s="326">
        <f t="shared" si="77"/>
        <v>85.6</v>
      </c>
      <c r="AR56" s="326">
        <f t="shared" si="78"/>
        <v>110.94</v>
      </c>
      <c r="AS56" s="326">
        <f t="shared" si="79"/>
        <v>127.43</v>
      </c>
    </row>
    <row r="57" spans="1:45" s="207" customFormat="1" outlineLevel="2" x14ac:dyDescent="0.25">
      <c r="A57" s="318"/>
      <c r="B57" s="357" t="str">
        <f t="shared" si="20"/>
        <v>Кабель ВБШв 4*4ок (N) - 1 ГОСТ 31996-2012</v>
      </c>
      <c r="C57" s="391">
        <v>4</v>
      </c>
      <c r="D57" s="200" t="s">
        <v>40</v>
      </c>
      <c r="E57" s="273">
        <v>4</v>
      </c>
      <c r="F57" s="275" t="str">
        <f t="shared" si="21"/>
        <v>ок</v>
      </c>
      <c r="G57" s="277">
        <v>1</v>
      </c>
      <c r="H57" s="37" t="s">
        <v>40</v>
      </c>
      <c r="I57" s="256">
        <v>2.23</v>
      </c>
      <c r="J57" s="61">
        <v>3.91</v>
      </c>
      <c r="K57" s="61">
        <f t="shared" si="80"/>
        <v>2.23</v>
      </c>
      <c r="L57" s="61">
        <f t="shared" si="1"/>
        <v>0.89000000000000012</v>
      </c>
      <c r="M57" s="61">
        <f t="shared" si="22"/>
        <v>1.1000000000000001</v>
      </c>
      <c r="N57" s="61">
        <f t="shared" si="2"/>
        <v>4.01</v>
      </c>
      <c r="O57" s="61">
        <f t="shared" si="3"/>
        <v>4.43</v>
      </c>
      <c r="P57" s="61">
        <f t="shared" si="4"/>
        <v>10.676299999999999</v>
      </c>
      <c r="Q57" s="61">
        <f t="shared" si="23"/>
        <v>0</v>
      </c>
      <c r="R57" s="61">
        <f t="shared" si="5"/>
        <v>0.5</v>
      </c>
      <c r="S57" s="61">
        <f t="shared" si="24"/>
        <v>1.4</v>
      </c>
      <c r="T57" s="61">
        <f t="shared" si="6"/>
        <v>13.476299999999998</v>
      </c>
      <c r="U57" s="201">
        <f t="shared" si="25"/>
        <v>2</v>
      </c>
      <c r="V57" s="203">
        <f t="shared" si="26"/>
        <v>0.25</v>
      </c>
      <c r="W57" s="37" t="s">
        <v>40</v>
      </c>
      <c r="X57" s="202">
        <f t="shared" si="7"/>
        <v>30</v>
      </c>
      <c r="Y57" s="201">
        <f t="shared" si="8"/>
        <v>35</v>
      </c>
      <c r="Z57" s="61">
        <f t="shared" si="27"/>
        <v>14.476299999999998</v>
      </c>
      <c r="AA57" s="61">
        <f t="shared" si="28"/>
        <v>1.43</v>
      </c>
      <c r="AB57" s="61">
        <f t="shared" si="29"/>
        <v>1.8</v>
      </c>
      <c r="AC57" s="61">
        <f t="shared" si="30"/>
        <v>17.336299999999998</v>
      </c>
      <c r="AD57" s="61">
        <f t="shared" si="31"/>
        <v>18.0763</v>
      </c>
      <c r="AE57" s="61">
        <v>0</v>
      </c>
      <c r="AF57" s="271">
        <f t="shared" si="32"/>
        <v>139.85913256019697</v>
      </c>
      <c r="AG57" s="268">
        <f t="shared" si="72"/>
        <v>62.112792024889373</v>
      </c>
      <c r="AH57" s="38">
        <f t="shared" si="33"/>
        <v>0</v>
      </c>
      <c r="AI57" s="271">
        <f t="shared" si="16"/>
        <v>107.64385386880376</v>
      </c>
      <c r="AJ57" s="61">
        <f t="shared" si="34"/>
        <v>126.71803029300322</v>
      </c>
      <c r="AK57" s="61">
        <f t="shared" si="35"/>
        <v>141.74207449513247</v>
      </c>
      <c r="AL57" s="61">
        <f t="shared" si="36"/>
        <v>578.07588324202584</v>
      </c>
      <c r="AM57" s="265">
        <f t="shared" si="73"/>
        <v>0</v>
      </c>
      <c r="AN57" s="326">
        <f t="shared" si="74"/>
        <v>141.96</v>
      </c>
      <c r="AO57" s="326">
        <f t="shared" si="75"/>
        <v>64.099999999999994</v>
      </c>
      <c r="AP57" s="326">
        <f t="shared" si="76"/>
        <v>0</v>
      </c>
      <c r="AQ57" s="326">
        <f t="shared" si="77"/>
        <v>111.09</v>
      </c>
      <c r="AR57" s="326">
        <f t="shared" si="78"/>
        <v>130.52000000000001</v>
      </c>
      <c r="AS57" s="326">
        <f t="shared" si="79"/>
        <v>146.28</v>
      </c>
    </row>
    <row r="58" spans="1:45" s="207" customFormat="1" outlineLevel="2" x14ac:dyDescent="0.25">
      <c r="A58" s="318"/>
      <c r="B58" s="357" t="str">
        <f t="shared" si="20"/>
        <v>Кабель ВБШв 4*6ок (N) - 1 ГОСТ 31996-2012</v>
      </c>
      <c r="C58" s="391">
        <v>4</v>
      </c>
      <c r="D58" s="200" t="s">
        <v>40</v>
      </c>
      <c r="E58" s="273">
        <v>6</v>
      </c>
      <c r="F58" s="275" t="str">
        <f t="shared" si="21"/>
        <v>ок</v>
      </c>
      <c r="G58" s="277">
        <v>1</v>
      </c>
      <c r="H58" s="37" t="s">
        <v>40</v>
      </c>
      <c r="I58" s="256">
        <v>2.69</v>
      </c>
      <c r="J58" s="61">
        <v>5.68</v>
      </c>
      <c r="K58" s="61">
        <f t="shared" si="80"/>
        <v>2.69</v>
      </c>
      <c r="L58" s="61">
        <f t="shared" si="1"/>
        <v>0.89000000000000012</v>
      </c>
      <c r="M58" s="61">
        <f t="shared" si="22"/>
        <v>1.1000000000000001</v>
      </c>
      <c r="N58" s="61">
        <f t="shared" si="2"/>
        <v>4.4700000000000006</v>
      </c>
      <c r="O58" s="61">
        <f t="shared" si="3"/>
        <v>4.8900000000000006</v>
      </c>
      <c r="P58" s="61">
        <f t="shared" si="4"/>
        <v>11.784900000000002</v>
      </c>
      <c r="Q58" s="61">
        <f t="shared" si="23"/>
        <v>0</v>
      </c>
      <c r="R58" s="61">
        <f t="shared" si="5"/>
        <v>0.5</v>
      </c>
      <c r="S58" s="61">
        <f t="shared" si="24"/>
        <v>1.4</v>
      </c>
      <c r="T58" s="61">
        <f t="shared" si="6"/>
        <v>14.584900000000001</v>
      </c>
      <c r="U58" s="201">
        <f t="shared" si="25"/>
        <v>2</v>
      </c>
      <c r="V58" s="203">
        <f t="shared" si="26"/>
        <v>0.25</v>
      </c>
      <c r="W58" s="37" t="s">
        <v>40</v>
      </c>
      <c r="X58" s="202">
        <f t="shared" si="7"/>
        <v>30</v>
      </c>
      <c r="Y58" s="201">
        <f t="shared" si="8"/>
        <v>35</v>
      </c>
      <c r="Z58" s="61">
        <f t="shared" si="27"/>
        <v>15.584900000000001</v>
      </c>
      <c r="AA58" s="61">
        <f t="shared" si="28"/>
        <v>1.43</v>
      </c>
      <c r="AB58" s="61">
        <f t="shared" si="29"/>
        <v>1.8</v>
      </c>
      <c r="AC58" s="61">
        <f t="shared" si="30"/>
        <v>18.444900000000001</v>
      </c>
      <c r="AD58" s="61">
        <f t="shared" si="31"/>
        <v>19.184900000000003</v>
      </c>
      <c r="AE58" s="61">
        <v>0</v>
      </c>
      <c r="AF58" s="271">
        <f t="shared" si="32"/>
        <v>203.50995779501727</v>
      </c>
      <c r="AG58" s="268">
        <f t="shared" si="72"/>
        <v>70.692937469768992</v>
      </c>
      <c r="AH58" s="38">
        <f t="shared" si="33"/>
        <v>0</v>
      </c>
      <c r="AI58" s="271">
        <f t="shared" si="16"/>
        <v>121.74116157882241</v>
      </c>
      <c r="AJ58" s="61">
        <f t="shared" si="34"/>
        <v>136.76930340411445</v>
      </c>
      <c r="AK58" s="61">
        <f t="shared" si="35"/>
        <v>151.39631187004593</v>
      </c>
      <c r="AL58" s="61">
        <f t="shared" si="36"/>
        <v>684.10967211776904</v>
      </c>
      <c r="AM58" s="265">
        <f t="shared" si="73"/>
        <v>0</v>
      </c>
      <c r="AN58" s="326">
        <f t="shared" si="74"/>
        <v>206.56</v>
      </c>
      <c r="AO58" s="326">
        <f t="shared" si="75"/>
        <v>72.959999999999994</v>
      </c>
      <c r="AP58" s="326">
        <f t="shared" si="76"/>
        <v>0</v>
      </c>
      <c r="AQ58" s="326">
        <f t="shared" si="77"/>
        <v>125.64</v>
      </c>
      <c r="AR58" s="326">
        <f t="shared" si="78"/>
        <v>140.87</v>
      </c>
      <c r="AS58" s="326">
        <f t="shared" si="79"/>
        <v>156.24</v>
      </c>
    </row>
    <row r="59" spans="1:45" s="207" customFormat="1" outlineLevel="2" x14ac:dyDescent="0.25">
      <c r="A59" s="318"/>
      <c r="B59" s="357" t="str">
        <f t="shared" si="20"/>
        <v>Кабель ВБШв 4*10ок (N) - 1 ГОСТ 31996-2012</v>
      </c>
      <c r="C59" s="391">
        <v>4</v>
      </c>
      <c r="D59" s="200" t="s">
        <v>40</v>
      </c>
      <c r="E59" s="273">
        <v>10</v>
      </c>
      <c r="F59" s="275" t="str">
        <f t="shared" si="21"/>
        <v>ок</v>
      </c>
      <c r="G59" s="277">
        <v>1</v>
      </c>
      <c r="H59" s="37" t="s">
        <v>40</v>
      </c>
      <c r="I59" s="256">
        <v>3.46</v>
      </c>
      <c r="J59" s="61">
        <v>9.4</v>
      </c>
      <c r="K59" s="61">
        <f t="shared" si="80"/>
        <v>3.46</v>
      </c>
      <c r="L59" s="61">
        <f t="shared" si="1"/>
        <v>0.89000000000000012</v>
      </c>
      <c r="M59" s="61">
        <f t="shared" si="22"/>
        <v>1.1000000000000001</v>
      </c>
      <c r="N59" s="61">
        <f t="shared" si="2"/>
        <v>5.24</v>
      </c>
      <c r="O59" s="61">
        <f t="shared" si="3"/>
        <v>5.66</v>
      </c>
      <c r="P59" s="61">
        <f t="shared" si="4"/>
        <v>13.640600000000001</v>
      </c>
      <c r="Q59" s="61">
        <f t="shared" si="23"/>
        <v>0</v>
      </c>
      <c r="R59" s="61">
        <f t="shared" si="5"/>
        <v>0.5</v>
      </c>
      <c r="S59" s="61">
        <f t="shared" si="24"/>
        <v>1.4</v>
      </c>
      <c r="T59" s="61">
        <f t="shared" si="6"/>
        <v>16.4406</v>
      </c>
      <c r="U59" s="201">
        <f t="shared" si="25"/>
        <v>2</v>
      </c>
      <c r="V59" s="203">
        <f t="shared" si="26"/>
        <v>0.25</v>
      </c>
      <c r="W59" s="37" t="s">
        <v>40</v>
      </c>
      <c r="X59" s="202">
        <f t="shared" si="7"/>
        <v>30</v>
      </c>
      <c r="Y59" s="201">
        <f t="shared" si="8"/>
        <v>35</v>
      </c>
      <c r="Z59" s="61">
        <f t="shared" si="27"/>
        <v>17.4406</v>
      </c>
      <c r="AA59" s="61">
        <f t="shared" si="28"/>
        <v>1.43</v>
      </c>
      <c r="AB59" s="61">
        <f t="shared" si="29"/>
        <v>1.8</v>
      </c>
      <c r="AC59" s="61">
        <f t="shared" si="30"/>
        <v>20.300599999999999</v>
      </c>
      <c r="AD59" s="61">
        <f t="shared" si="31"/>
        <v>21.040600000000001</v>
      </c>
      <c r="AE59" s="61">
        <v>0</v>
      </c>
      <c r="AF59" s="271">
        <f t="shared" si="32"/>
        <v>336.69239103091849</v>
      </c>
      <c r="AG59" s="268">
        <f t="shared" si="72"/>
        <v>85.055354844893571</v>
      </c>
      <c r="AH59" s="38">
        <f t="shared" si="33"/>
        <v>0</v>
      </c>
      <c r="AI59" s="271">
        <f t="shared" si="16"/>
        <v>146.94510779553011</v>
      </c>
      <c r="AJ59" s="61">
        <f t="shared" si="34"/>
        <v>153.5942605683658</v>
      </c>
      <c r="AK59" s="61">
        <f t="shared" si="35"/>
        <v>167.5566657367489</v>
      </c>
      <c r="AL59" s="61">
        <f t="shared" si="36"/>
        <v>889.84377997645686</v>
      </c>
      <c r="AM59" s="265">
        <f t="shared" si="73"/>
        <v>0</v>
      </c>
      <c r="AN59" s="326">
        <f t="shared" si="74"/>
        <v>341.74</v>
      </c>
      <c r="AO59" s="326">
        <f t="shared" si="75"/>
        <v>87.78</v>
      </c>
      <c r="AP59" s="326">
        <f t="shared" si="76"/>
        <v>0</v>
      </c>
      <c r="AQ59" s="326">
        <f t="shared" si="77"/>
        <v>151.65</v>
      </c>
      <c r="AR59" s="326">
        <f t="shared" si="78"/>
        <v>158.19999999999999</v>
      </c>
      <c r="AS59" s="326">
        <f t="shared" si="79"/>
        <v>172.92</v>
      </c>
    </row>
    <row r="60" spans="1:45" s="207" customFormat="1" outlineLevel="2" x14ac:dyDescent="0.25">
      <c r="A60" s="318"/>
      <c r="B60" s="357" t="str">
        <f t="shared" si="20"/>
        <v>Кабель ВБШв 4*16ок (N) - 1 ГОСТ 31996-2012</v>
      </c>
      <c r="C60" s="391">
        <v>4</v>
      </c>
      <c r="D60" s="200" t="s">
        <v>40</v>
      </c>
      <c r="E60" s="273">
        <v>16</v>
      </c>
      <c r="F60" s="275" t="str">
        <f t="shared" si="21"/>
        <v>ок</v>
      </c>
      <c r="G60" s="277">
        <v>1</v>
      </c>
      <c r="H60" s="37" t="s">
        <v>40</v>
      </c>
      <c r="I60" s="256">
        <v>4.41</v>
      </c>
      <c r="J60" s="61">
        <v>15.27</v>
      </c>
      <c r="K60" s="61">
        <f t="shared" si="80"/>
        <v>4.41</v>
      </c>
      <c r="L60" s="61">
        <f t="shared" si="1"/>
        <v>0.89000000000000012</v>
      </c>
      <c r="M60" s="61">
        <f t="shared" si="22"/>
        <v>1.1000000000000001</v>
      </c>
      <c r="N60" s="61">
        <f t="shared" si="2"/>
        <v>6.19</v>
      </c>
      <c r="O60" s="61">
        <f t="shared" si="3"/>
        <v>6.61</v>
      </c>
      <c r="P60" s="61">
        <f t="shared" si="4"/>
        <v>15.930100000000001</v>
      </c>
      <c r="Q60" s="61">
        <f t="shared" si="23"/>
        <v>0</v>
      </c>
      <c r="R60" s="61">
        <f t="shared" si="5"/>
        <v>0.5</v>
      </c>
      <c r="S60" s="61">
        <f t="shared" si="24"/>
        <v>1.4</v>
      </c>
      <c r="T60" s="61">
        <f t="shared" si="6"/>
        <v>18.7301</v>
      </c>
      <c r="U60" s="201">
        <f t="shared" si="25"/>
        <v>2</v>
      </c>
      <c r="V60" s="203">
        <f t="shared" si="26"/>
        <v>0.25</v>
      </c>
      <c r="W60" s="37" t="s">
        <v>40</v>
      </c>
      <c r="X60" s="202">
        <f t="shared" si="7"/>
        <v>30</v>
      </c>
      <c r="Y60" s="201">
        <f t="shared" si="8"/>
        <v>35</v>
      </c>
      <c r="Z60" s="61">
        <f t="shared" si="27"/>
        <v>19.7301</v>
      </c>
      <c r="AA60" s="61">
        <f t="shared" si="28"/>
        <v>1.43</v>
      </c>
      <c r="AB60" s="61">
        <f t="shared" si="29"/>
        <v>1.8</v>
      </c>
      <c r="AC60" s="61">
        <f t="shared" si="30"/>
        <v>22.5901</v>
      </c>
      <c r="AD60" s="61">
        <f t="shared" si="31"/>
        <v>23.330100000000002</v>
      </c>
      <c r="AE60" s="61">
        <v>0</v>
      </c>
      <c r="AF60" s="271">
        <f t="shared" si="32"/>
        <v>546.96342093023532</v>
      </c>
      <c r="AG60" s="268">
        <f t="shared" si="72"/>
        <v>102.77522043757972</v>
      </c>
      <c r="AH60" s="38">
        <f t="shared" si="33"/>
        <v>0</v>
      </c>
      <c r="AI60" s="271">
        <f t="shared" si="16"/>
        <v>180.81214504580328</v>
      </c>
      <c r="AJ60" s="61">
        <f t="shared" si="34"/>
        <v>174.35232460218239</v>
      </c>
      <c r="AK60" s="61">
        <f t="shared" si="35"/>
        <v>187.49476466320058</v>
      </c>
      <c r="AL60" s="61">
        <f t="shared" si="36"/>
        <v>1192.3978756790013</v>
      </c>
      <c r="AM60" s="265">
        <f t="shared" si="73"/>
        <v>0</v>
      </c>
      <c r="AN60" s="326">
        <f t="shared" si="74"/>
        <v>555.16999999999996</v>
      </c>
      <c r="AO60" s="326">
        <f t="shared" si="75"/>
        <v>106.06</v>
      </c>
      <c r="AP60" s="326">
        <f t="shared" si="76"/>
        <v>0</v>
      </c>
      <c r="AQ60" s="326">
        <f t="shared" si="77"/>
        <v>186.6</v>
      </c>
      <c r="AR60" s="326">
        <f t="shared" si="78"/>
        <v>179.58</v>
      </c>
      <c r="AS60" s="326">
        <f t="shared" si="79"/>
        <v>193.49</v>
      </c>
    </row>
    <row r="61" spans="1:45" s="377" customFormat="1" outlineLevel="2" x14ac:dyDescent="0.25">
      <c r="A61" s="360"/>
      <c r="B61" s="361" t="str">
        <f t="shared" si="20"/>
        <v>Кабель ВБШв 4*25ок (N) - 1 ГОСТ 31996-2012</v>
      </c>
      <c r="C61" s="393">
        <v>4</v>
      </c>
      <c r="D61" s="362" t="s">
        <v>40</v>
      </c>
      <c r="E61" s="363">
        <v>25</v>
      </c>
      <c r="F61" s="364" t="str">
        <f t="shared" si="21"/>
        <v>ок</v>
      </c>
      <c r="G61" s="365">
        <v>1</v>
      </c>
      <c r="H61" s="366" t="s">
        <v>40</v>
      </c>
      <c r="I61" s="367">
        <v>5.54</v>
      </c>
      <c r="J61" s="368">
        <v>24.11</v>
      </c>
      <c r="K61" s="368">
        <f t="shared" si="80"/>
        <v>5.54</v>
      </c>
      <c r="L61" s="368">
        <f t="shared" si="1"/>
        <v>1.07</v>
      </c>
      <c r="M61" s="368">
        <f t="shared" si="22"/>
        <v>1.3</v>
      </c>
      <c r="N61" s="368">
        <f t="shared" si="2"/>
        <v>7.68</v>
      </c>
      <c r="O61" s="368">
        <f t="shared" si="3"/>
        <v>8.14</v>
      </c>
      <c r="P61" s="368">
        <f t="shared" si="4"/>
        <v>19.617400000000004</v>
      </c>
      <c r="Q61" s="61">
        <f t="shared" si="23"/>
        <v>3.4</v>
      </c>
      <c r="R61" s="368">
        <f t="shared" si="5"/>
        <v>0.5</v>
      </c>
      <c r="S61" s="61">
        <f t="shared" si="24"/>
        <v>1.4</v>
      </c>
      <c r="T61" s="368">
        <f t="shared" si="6"/>
        <v>22.417400000000004</v>
      </c>
      <c r="U61" s="369">
        <f t="shared" si="25"/>
        <v>2</v>
      </c>
      <c r="V61" s="370">
        <f t="shared" si="26"/>
        <v>0.25</v>
      </c>
      <c r="W61" s="366" t="s">
        <v>40</v>
      </c>
      <c r="X61" s="371">
        <f t="shared" si="7"/>
        <v>40</v>
      </c>
      <c r="Y61" s="369">
        <f t="shared" si="8"/>
        <v>35</v>
      </c>
      <c r="Z61" s="368">
        <f t="shared" si="27"/>
        <v>23.417400000000004</v>
      </c>
      <c r="AA61" s="368">
        <f t="shared" si="28"/>
        <v>1.5999999999999999</v>
      </c>
      <c r="AB61" s="368">
        <f t="shared" si="29"/>
        <v>2</v>
      </c>
      <c r="AC61" s="368">
        <f t="shared" si="30"/>
        <v>26.617400000000004</v>
      </c>
      <c r="AD61" s="368">
        <f t="shared" si="31"/>
        <v>27.417400000000004</v>
      </c>
      <c r="AE61" s="368">
        <v>0</v>
      </c>
      <c r="AF61" s="372">
        <f t="shared" si="32"/>
        <v>863.1785382542464</v>
      </c>
      <c r="AG61" s="378">
        <f t="shared" si="72"/>
        <v>150.7799472250386</v>
      </c>
      <c r="AH61" s="379">
        <f t="shared" si="33"/>
        <v>12.710883876424299</v>
      </c>
      <c r="AI61" s="372">
        <f t="shared" si="16"/>
        <v>241.79119161040833</v>
      </c>
      <c r="AJ61" s="368">
        <f t="shared" si="34"/>
        <v>207.78373299348704</v>
      </c>
      <c r="AK61" s="368">
        <f t="shared" si="35"/>
        <v>245.94144070912796</v>
      </c>
      <c r="AL61" s="368">
        <f t="shared" si="36"/>
        <v>1722.1857346687325</v>
      </c>
      <c r="AM61" s="376">
        <f t="shared" si="73"/>
        <v>0</v>
      </c>
      <c r="AN61" s="376">
        <f t="shared" si="74"/>
        <v>876.13</v>
      </c>
      <c r="AO61" s="376">
        <f t="shared" si="75"/>
        <v>155.6</v>
      </c>
      <c r="AP61" s="376">
        <f t="shared" si="76"/>
        <v>13.12</v>
      </c>
      <c r="AQ61" s="376">
        <f t="shared" si="77"/>
        <v>249.53</v>
      </c>
      <c r="AR61" s="376">
        <f t="shared" si="78"/>
        <v>214.02</v>
      </c>
      <c r="AS61" s="376">
        <f t="shared" si="79"/>
        <v>253.81</v>
      </c>
    </row>
    <row r="62" spans="1:45" s="377" customFormat="1" outlineLevel="2" x14ac:dyDescent="0.25">
      <c r="A62" s="360"/>
      <c r="B62" s="361" t="str">
        <f t="shared" si="20"/>
        <v>Кабель ВБШв 4*35ок (N) - 1 ГОСТ 31996-2012</v>
      </c>
      <c r="C62" s="393">
        <v>4</v>
      </c>
      <c r="D62" s="362" t="s">
        <v>40</v>
      </c>
      <c r="E62" s="363">
        <v>35</v>
      </c>
      <c r="F62" s="364" t="str">
        <f t="shared" si="21"/>
        <v>ок</v>
      </c>
      <c r="G62" s="365">
        <v>1</v>
      </c>
      <c r="H62" s="366" t="s">
        <v>40</v>
      </c>
      <c r="I62" s="367">
        <v>6.51</v>
      </c>
      <c r="J62" s="368">
        <v>33.29</v>
      </c>
      <c r="K62" s="368">
        <f t="shared" si="80"/>
        <v>6.51</v>
      </c>
      <c r="L62" s="368">
        <f t="shared" si="1"/>
        <v>1.07</v>
      </c>
      <c r="M62" s="368">
        <f t="shared" si="22"/>
        <v>1.3</v>
      </c>
      <c r="N62" s="368">
        <f t="shared" si="2"/>
        <v>8.65</v>
      </c>
      <c r="O62" s="368">
        <f t="shared" si="3"/>
        <v>9.11</v>
      </c>
      <c r="P62" s="368">
        <f t="shared" si="4"/>
        <v>21.955100000000002</v>
      </c>
      <c r="Q62" s="61">
        <f t="shared" si="23"/>
        <v>3.8</v>
      </c>
      <c r="R62" s="368">
        <f t="shared" si="5"/>
        <v>0.5</v>
      </c>
      <c r="S62" s="61">
        <f t="shared" si="24"/>
        <v>1.4</v>
      </c>
      <c r="T62" s="368">
        <f t="shared" si="6"/>
        <v>24.755100000000002</v>
      </c>
      <c r="U62" s="369">
        <f t="shared" si="25"/>
        <v>2</v>
      </c>
      <c r="V62" s="370">
        <f t="shared" si="26"/>
        <v>0.25</v>
      </c>
      <c r="W62" s="366" t="s">
        <v>40</v>
      </c>
      <c r="X62" s="371">
        <f t="shared" si="7"/>
        <v>40</v>
      </c>
      <c r="Y62" s="369">
        <f t="shared" si="8"/>
        <v>35</v>
      </c>
      <c r="Z62" s="368">
        <f t="shared" si="27"/>
        <v>25.755100000000002</v>
      </c>
      <c r="AA62" s="368">
        <f t="shared" si="28"/>
        <v>1.5999999999999999</v>
      </c>
      <c r="AB62" s="368">
        <f t="shared" si="29"/>
        <v>2</v>
      </c>
      <c r="AC62" s="368">
        <f t="shared" si="30"/>
        <v>28.955100000000002</v>
      </c>
      <c r="AD62" s="368">
        <f t="shared" si="31"/>
        <v>29.755100000000002</v>
      </c>
      <c r="AE62" s="368">
        <v>0</v>
      </c>
      <c r="AF62" s="372">
        <f t="shared" si="32"/>
        <v>1191.9089512788121</v>
      </c>
      <c r="AG62" s="378">
        <f t="shared" si="72"/>
        <v>172.16248360051918</v>
      </c>
      <c r="AH62" s="379">
        <f t="shared" si="33"/>
        <v>15.877609271242813</v>
      </c>
      <c r="AI62" s="372">
        <f t="shared" si="16"/>
        <v>284.5639032686986</v>
      </c>
      <c r="AJ62" s="368">
        <f t="shared" si="34"/>
        <v>228.97880890169975</v>
      </c>
      <c r="AK62" s="368">
        <f t="shared" si="35"/>
        <v>268.56127223972226</v>
      </c>
      <c r="AL62" s="368">
        <f t="shared" si="36"/>
        <v>2162.0530285606947</v>
      </c>
      <c r="AM62" s="376">
        <f t="shared" si="73"/>
        <v>0</v>
      </c>
      <c r="AN62" s="376">
        <f t="shared" si="74"/>
        <v>1209.79</v>
      </c>
      <c r="AO62" s="376">
        <f t="shared" si="75"/>
        <v>177.67</v>
      </c>
      <c r="AP62" s="376">
        <f t="shared" si="76"/>
        <v>16.39</v>
      </c>
      <c r="AQ62" s="376">
        <f t="shared" si="77"/>
        <v>293.67</v>
      </c>
      <c r="AR62" s="376">
        <f t="shared" si="78"/>
        <v>235.85</v>
      </c>
      <c r="AS62" s="376">
        <f t="shared" si="79"/>
        <v>277.16000000000003</v>
      </c>
    </row>
    <row r="63" spans="1:45" s="207" customFormat="1" outlineLevel="2" x14ac:dyDescent="0.25">
      <c r="A63" s="318"/>
      <c r="B63" s="357" t="str">
        <f t="shared" si="20"/>
        <v>Кабель ВБШв 4*16мк (N) - 1 ГОСТ 31996-2012</v>
      </c>
      <c r="C63" s="391">
        <v>4</v>
      </c>
      <c r="D63" s="200" t="s">
        <v>40</v>
      </c>
      <c r="E63" s="273">
        <v>16</v>
      </c>
      <c r="F63" s="275" t="str">
        <f t="shared" si="21"/>
        <v>мк</v>
      </c>
      <c r="G63" s="277">
        <v>7</v>
      </c>
      <c r="H63" s="37" t="s">
        <v>40</v>
      </c>
      <c r="I63" s="256">
        <v>1.76</v>
      </c>
      <c r="J63" s="61">
        <v>15.24</v>
      </c>
      <c r="K63" s="61">
        <v>4.6399999999999997</v>
      </c>
      <c r="L63" s="61">
        <f t="shared" si="1"/>
        <v>0.89000000000000012</v>
      </c>
      <c r="M63" s="61">
        <f t="shared" si="22"/>
        <v>1.1000000000000001</v>
      </c>
      <c r="N63" s="61">
        <f t="shared" si="2"/>
        <v>6.42</v>
      </c>
      <c r="O63" s="61">
        <f t="shared" si="3"/>
        <v>6.84</v>
      </c>
      <c r="P63" s="61">
        <f t="shared" si="4"/>
        <v>16.484400000000001</v>
      </c>
      <c r="Q63" s="61">
        <f t="shared" si="23"/>
        <v>0</v>
      </c>
      <c r="R63" s="61">
        <f t="shared" si="5"/>
        <v>0.5</v>
      </c>
      <c r="S63" s="61">
        <f t="shared" si="24"/>
        <v>1.4</v>
      </c>
      <c r="T63" s="61">
        <f t="shared" si="6"/>
        <v>19.284400000000002</v>
      </c>
      <c r="U63" s="201">
        <f t="shared" si="25"/>
        <v>2</v>
      </c>
      <c r="V63" s="203">
        <f t="shared" si="26"/>
        <v>0.25</v>
      </c>
      <c r="W63" s="37" t="s">
        <v>40</v>
      </c>
      <c r="X63" s="202">
        <f t="shared" si="7"/>
        <v>30</v>
      </c>
      <c r="Y63" s="201">
        <f t="shared" si="8"/>
        <v>35</v>
      </c>
      <c r="Z63" s="61">
        <f t="shared" si="27"/>
        <v>20.284400000000002</v>
      </c>
      <c r="AA63" s="61">
        <f t="shared" si="28"/>
        <v>1.5999999999999999</v>
      </c>
      <c r="AB63" s="61">
        <f t="shared" si="29"/>
        <v>2</v>
      </c>
      <c r="AC63" s="61">
        <f t="shared" si="30"/>
        <v>23.484400000000001</v>
      </c>
      <c r="AD63" s="61">
        <f t="shared" si="31"/>
        <v>24.284400000000002</v>
      </c>
      <c r="AE63" s="61">
        <v>0</v>
      </c>
      <c r="AF63" s="271">
        <f t="shared" si="32"/>
        <v>545.72794080000006</v>
      </c>
      <c r="AG63" s="268">
        <f t="shared" si="72"/>
        <v>117.7718224760215</v>
      </c>
      <c r="AH63" s="38">
        <f t="shared" si="33"/>
        <v>0</v>
      </c>
      <c r="AI63" s="271">
        <f t="shared" si="16"/>
        <v>189.47182665599752</v>
      </c>
      <c r="AJ63" s="61">
        <f t="shared" si="34"/>
        <v>179.37796115773799</v>
      </c>
      <c r="AK63" s="61">
        <f t="shared" si="35"/>
        <v>215.62620257534169</v>
      </c>
      <c r="AL63" s="61">
        <f t="shared" si="36"/>
        <v>1247.9757536650986</v>
      </c>
      <c r="AM63" s="265">
        <f t="shared" si="73"/>
        <v>0</v>
      </c>
      <c r="AN63" s="326">
        <f t="shared" si="74"/>
        <v>553.91</v>
      </c>
      <c r="AO63" s="326">
        <f t="shared" si="75"/>
        <v>121.54</v>
      </c>
      <c r="AP63" s="326">
        <f t="shared" si="76"/>
        <v>0</v>
      </c>
      <c r="AQ63" s="326">
        <f t="shared" si="77"/>
        <v>195.53</v>
      </c>
      <c r="AR63" s="326">
        <f t="shared" si="78"/>
        <v>184.76</v>
      </c>
      <c r="AS63" s="326">
        <f t="shared" si="79"/>
        <v>222.53</v>
      </c>
    </row>
    <row r="64" spans="1:45" s="207" customFormat="1" outlineLevel="2" x14ac:dyDescent="0.25">
      <c r="A64" s="318"/>
      <c r="B64" s="357" t="str">
        <f t="shared" si="20"/>
        <v>Кабель ВБШв 4*25мк (N) - 1 ГОСТ 31996-2012</v>
      </c>
      <c r="C64" s="391">
        <v>4</v>
      </c>
      <c r="D64" s="200" t="s">
        <v>40</v>
      </c>
      <c r="E64" s="273">
        <v>25</v>
      </c>
      <c r="F64" s="275" t="str">
        <f t="shared" si="21"/>
        <v>мк</v>
      </c>
      <c r="G64" s="277">
        <v>7</v>
      </c>
      <c r="H64" s="37" t="s">
        <v>40</v>
      </c>
      <c r="I64" s="256">
        <v>2.19</v>
      </c>
      <c r="J64" s="61">
        <v>24.1</v>
      </c>
      <c r="K64" s="61">
        <v>5.84</v>
      </c>
      <c r="L64" s="61">
        <f t="shared" si="1"/>
        <v>1.07</v>
      </c>
      <c r="M64" s="61">
        <f t="shared" si="22"/>
        <v>1.3</v>
      </c>
      <c r="N64" s="61">
        <f t="shared" si="2"/>
        <v>7.98</v>
      </c>
      <c r="O64" s="61">
        <f t="shared" si="3"/>
        <v>8.44</v>
      </c>
      <c r="P64" s="61">
        <f t="shared" si="4"/>
        <v>20.340399999999999</v>
      </c>
      <c r="Q64" s="61">
        <f t="shared" si="23"/>
        <v>3.5</v>
      </c>
      <c r="R64" s="61">
        <f t="shared" si="5"/>
        <v>0.5</v>
      </c>
      <c r="S64" s="61">
        <f t="shared" si="24"/>
        <v>1.4</v>
      </c>
      <c r="T64" s="61">
        <f t="shared" si="6"/>
        <v>23.1404</v>
      </c>
      <c r="U64" s="201">
        <f t="shared" si="25"/>
        <v>2</v>
      </c>
      <c r="V64" s="203">
        <f t="shared" si="26"/>
        <v>0.25</v>
      </c>
      <c r="W64" s="37" t="s">
        <v>40</v>
      </c>
      <c r="X64" s="202">
        <f t="shared" si="7"/>
        <v>40</v>
      </c>
      <c r="Y64" s="201">
        <f t="shared" si="8"/>
        <v>35</v>
      </c>
      <c r="Z64" s="61">
        <f t="shared" si="27"/>
        <v>24.1404</v>
      </c>
      <c r="AA64" s="61">
        <f t="shared" si="28"/>
        <v>1.5999999999999999</v>
      </c>
      <c r="AB64" s="61">
        <f t="shared" si="29"/>
        <v>2</v>
      </c>
      <c r="AC64" s="61">
        <f t="shared" si="30"/>
        <v>27.340399999999999</v>
      </c>
      <c r="AD64" s="61">
        <f t="shared" si="31"/>
        <v>28.1404</v>
      </c>
      <c r="AE64" s="61">
        <v>0</v>
      </c>
      <c r="AF64" s="271">
        <f t="shared" si="32"/>
        <v>862.99497199999996</v>
      </c>
      <c r="AG64" s="268">
        <f t="shared" si="72"/>
        <v>173.13241308559253</v>
      </c>
      <c r="AH64" s="38">
        <f t="shared" si="33"/>
        <v>13.469578502266236</v>
      </c>
      <c r="AI64" s="271">
        <f t="shared" si="16"/>
        <v>254.678969878804</v>
      </c>
      <c r="AJ64" s="61">
        <f t="shared" si="34"/>
        <v>214.33891110942906</v>
      </c>
      <c r="AK64" s="61">
        <f t="shared" si="35"/>
        <v>252.93726489384778</v>
      </c>
      <c r="AL64" s="61">
        <f t="shared" si="36"/>
        <v>1771.5521094699398</v>
      </c>
      <c r="AM64" s="265">
        <f t="shared" si="73"/>
        <v>0</v>
      </c>
      <c r="AN64" s="326">
        <f t="shared" si="74"/>
        <v>875.94</v>
      </c>
      <c r="AO64" s="326">
        <f t="shared" si="75"/>
        <v>178.67</v>
      </c>
      <c r="AP64" s="326">
        <f t="shared" si="76"/>
        <v>13.9</v>
      </c>
      <c r="AQ64" s="326">
        <f t="shared" si="77"/>
        <v>262.83</v>
      </c>
      <c r="AR64" s="326">
        <f t="shared" si="78"/>
        <v>220.77</v>
      </c>
      <c r="AS64" s="326">
        <f t="shared" si="79"/>
        <v>261.02999999999997</v>
      </c>
    </row>
    <row r="65" spans="1:45" s="207" customFormat="1" outlineLevel="2" x14ac:dyDescent="0.25">
      <c r="A65" s="318"/>
      <c r="B65" s="357" t="str">
        <f t="shared" si="20"/>
        <v>Кабель ВБШв 4*35мк (N) - 1 ГОСТ 31996-2012</v>
      </c>
      <c r="C65" s="390">
        <v>4</v>
      </c>
      <c r="D65" s="200" t="s">
        <v>40</v>
      </c>
      <c r="E65" s="273">
        <v>35</v>
      </c>
      <c r="F65" s="275" t="str">
        <f t="shared" si="21"/>
        <v>мк</v>
      </c>
      <c r="G65" s="277">
        <v>7</v>
      </c>
      <c r="H65" s="37" t="s">
        <v>40</v>
      </c>
      <c r="I65" s="256">
        <v>2.5499999999999998</v>
      </c>
      <c r="J65" s="61">
        <v>33.44</v>
      </c>
      <c r="K65" s="61">
        <v>6.95</v>
      </c>
      <c r="L65" s="61">
        <f t="shared" si="1"/>
        <v>1.07</v>
      </c>
      <c r="M65" s="61">
        <f t="shared" si="22"/>
        <v>1.3</v>
      </c>
      <c r="N65" s="61">
        <f t="shared" si="2"/>
        <v>9.09</v>
      </c>
      <c r="O65" s="61">
        <f t="shared" si="3"/>
        <v>9.5500000000000007</v>
      </c>
      <c r="P65" s="61">
        <f t="shared" si="4"/>
        <v>23.015500000000003</v>
      </c>
      <c r="Q65" s="61">
        <f t="shared" si="23"/>
        <v>4</v>
      </c>
      <c r="R65" s="61">
        <f t="shared" si="5"/>
        <v>0.5</v>
      </c>
      <c r="S65" s="61">
        <f t="shared" si="24"/>
        <v>1.4</v>
      </c>
      <c r="T65" s="61">
        <f t="shared" si="6"/>
        <v>25.815500000000004</v>
      </c>
      <c r="U65" s="201">
        <f t="shared" si="25"/>
        <v>2</v>
      </c>
      <c r="V65" s="203">
        <f t="shared" si="26"/>
        <v>0.25</v>
      </c>
      <c r="W65" s="37" t="s">
        <v>40</v>
      </c>
      <c r="X65" s="202">
        <f t="shared" si="7"/>
        <v>40</v>
      </c>
      <c r="Y65" s="201">
        <f t="shared" si="8"/>
        <v>35</v>
      </c>
      <c r="Z65" s="61">
        <f t="shared" si="27"/>
        <v>26.815500000000004</v>
      </c>
      <c r="AA65" s="61">
        <f t="shared" si="28"/>
        <v>1.5999999999999999</v>
      </c>
      <c r="AB65" s="61">
        <f t="shared" si="29"/>
        <v>2</v>
      </c>
      <c r="AC65" s="61">
        <f t="shared" si="30"/>
        <v>30.015500000000003</v>
      </c>
      <c r="AD65" s="61">
        <f t="shared" si="31"/>
        <v>30.815500000000004</v>
      </c>
      <c r="AE65" s="61">
        <v>0</v>
      </c>
      <c r="AF65" s="271">
        <f t="shared" si="32"/>
        <v>1197.4502848</v>
      </c>
      <c r="AG65" s="268">
        <f t="shared" si="72"/>
        <v>200.04795629637798</v>
      </c>
      <c r="AH65" s="38">
        <f t="shared" si="33"/>
        <v>17.592918860102841</v>
      </c>
      <c r="AI65" s="271">
        <f t="shared" si="16"/>
        <v>305.01815471414591</v>
      </c>
      <c r="AJ65" s="61">
        <f t="shared" si="34"/>
        <v>238.59307013841482</v>
      </c>
      <c r="AK65" s="61">
        <f t="shared" si="35"/>
        <v>278.82181437731145</v>
      </c>
      <c r="AL65" s="61">
        <f t="shared" si="36"/>
        <v>2237.5241991863527</v>
      </c>
      <c r="AM65" s="265">
        <f t="shared" si="73"/>
        <v>0</v>
      </c>
      <c r="AN65" s="326">
        <f t="shared" si="74"/>
        <v>1215.4100000000001</v>
      </c>
      <c r="AO65" s="326">
        <f t="shared" si="75"/>
        <v>206.45</v>
      </c>
      <c r="AP65" s="326">
        <f t="shared" si="76"/>
        <v>18.16</v>
      </c>
      <c r="AQ65" s="326">
        <f t="shared" si="77"/>
        <v>314.77999999999997</v>
      </c>
      <c r="AR65" s="326">
        <f t="shared" si="78"/>
        <v>245.75</v>
      </c>
      <c r="AS65" s="326">
        <f t="shared" si="79"/>
        <v>287.74</v>
      </c>
    </row>
    <row r="66" spans="1:45" s="207" customFormat="1" outlineLevel="2" x14ac:dyDescent="0.25">
      <c r="A66" s="318"/>
      <c r="B66" s="357" t="str">
        <f t="shared" si="20"/>
        <v>Кабель ВБШв 4*50мк (N) - 1 ГОСТ 31996-2012</v>
      </c>
      <c r="C66" s="390">
        <v>4</v>
      </c>
      <c r="D66" s="200" t="s">
        <v>40</v>
      </c>
      <c r="E66" s="273">
        <v>50</v>
      </c>
      <c r="F66" s="275" t="str">
        <f t="shared" si="21"/>
        <v>мк</v>
      </c>
      <c r="G66" s="277">
        <v>7</v>
      </c>
      <c r="H66" s="37" t="s">
        <v>40</v>
      </c>
      <c r="I66" s="256">
        <v>3</v>
      </c>
      <c r="J66" s="61">
        <v>45.28</v>
      </c>
      <c r="K66" s="61">
        <v>8</v>
      </c>
      <c r="L66" s="61">
        <f t="shared" si="1"/>
        <v>1.25</v>
      </c>
      <c r="M66" s="61">
        <f t="shared" si="22"/>
        <v>1.5</v>
      </c>
      <c r="N66" s="61">
        <f t="shared" si="2"/>
        <v>10.5</v>
      </c>
      <c r="O66" s="61">
        <f t="shared" si="3"/>
        <v>11</v>
      </c>
      <c r="P66" s="61">
        <f t="shared" si="4"/>
        <v>26.51</v>
      </c>
      <c r="Q66" s="61">
        <f t="shared" si="23"/>
        <v>4.5999999999999996</v>
      </c>
      <c r="R66" s="61">
        <f t="shared" si="5"/>
        <v>0.6</v>
      </c>
      <c r="S66" s="61">
        <f t="shared" si="24"/>
        <v>1.6</v>
      </c>
      <c r="T66" s="61">
        <f t="shared" si="6"/>
        <v>29.71</v>
      </c>
      <c r="U66" s="201">
        <f t="shared" si="25"/>
        <v>2</v>
      </c>
      <c r="V66" s="203">
        <f t="shared" si="26"/>
        <v>0.25</v>
      </c>
      <c r="W66" s="37" t="s">
        <v>40</v>
      </c>
      <c r="X66" s="202">
        <f t="shared" si="7"/>
        <v>40</v>
      </c>
      <c r="Y66" s="201">
        <f t="shared" si="8"/>
        <v>35</v>
      </c>
      <c r="Z66" s="61">
        <f t="shared" si="27"/>
        <v>30.71</v>
      </c>
      <c r="AA66" s="61">
        <f t="shared" si="28"/>
        <v>1.77</v>
      </c>
      <c r="AB66" s="61">
        <f t="shared" si="29"/>
        <v>2.2000000000000002</v>
      </c>
      <c r="AC66" s="61">
        <f t="shared" si="30"/>
        <v>34.25</v>
      </c>
      <c r="AD66" s="61">
        <f t="shared" si="31"/>
        <v>35.11</v>
      </c>
      <c r="AE66" s="61">
        <v>0</v>
      </c>
      <c r="AF66" s="271">
        <f t="shared" si="32"/>
        <v>1621.4278976000001</v>
      </c>
      <c r="AG66" s="61">
        <f t="shared" si="72"/>
        <v>265.79798389029236</v>
      </c>
      <c r="AH66" s="38">
        <f t="shared" si="33"/>
        <v>23.266635192486003</v>
      </c>
      <c r="AI66" s="271">
        <f t="shared" si="16"/>
        <v>403.03044276159812</v>
      </c>
      <c r="AJ66" s="61">
        <f t="shared" si="34"/>
        <v>273.90308559143892</v>
      </c>
      <c r="AK66" s="61">
        <f t="shared" si="35"/>
        <v>350.28469061002073</v>
      </c>
      <c r="AL66" s="61">
        <f t="shared" si="36"/>
        <v>2937.7107356458364</v>
      </c>
      <c r="AM66" s="265">
        <f t="shared" si="73"/>
        <v>0</v>
      </c>
      <c r="AN66" s="326">
        <f t="shared" si="74"/>
        <v>1645.75</v>
      </c>
      <c r="AO66" s="326">
        <f t="shared" si="75"/>
        <v>274.3</v>
      </c>
      <c r="AP66" s="326">
        <f t="shared" si="76"/>
        <v>24.01</v>
      </c>
      <c r="AQ66" s="326">
        <f t="shared" si="77"/>
        <v>415.93</v>
      </c>
      <c r="AR66" s="326">
        <f t="shared" si="78"/>
        <v>282.12</v>
      </c>
      <c r="AS66" s="326">
        <f t="shared" si="79"/>
        <v>361.49</v>
      </c>
    </row>
    <row r="67" spans="1:45" s="207" customFormat="1" outlineLevel="1" x14ac:dyDescent="0.25">
      <c r="A67" s="359">
        <v>4</v>
      </c>
      <c r="B67" s="272"/>
      <c r="C67" s="392"/>
      <c r="D67" s="193"/>
      <c r="E67" s="53"/>
      <c r="F67" s="275"/>
      <c r="G67" s="238"/>
      <c r="H67" s="194"/>
      <c r="I67" s="193"/>
      <c r="J67" s="194"/>
      <c r="K67" s="194"/>
      <c r="L67" s="194"/>
      <c r="M67" s="61"/>
      <c r="N67" s="194"/>
      <c r="O67" s="194"/>
      <c r="P67" s="194"/>
      <c r="Q67" s="61" t="str">
        <f t="shared" si="23"/>
        <v/>
      </c>
      <c r="R67" s="194"/>
      <c r="S67" s="61" t="str">
        <f t="shared" si="24"/>
        <v/>
      </c>
      <c r="T67" s="194"/>
      <c r="U67" s="196"/>
      <c r="V67" s="203"/>
      <c r="W67" s="194"/>
      <c r="X67" s="194"/>
      <c r="Y67" s="194"/>
      <c r="Z67" s="194"/>
      <c r="AA67" s="194"/>
      <c r="AB67" s="194"/>
      <c r="AC67" s="194"/>
      <c r="AD67" s="194"/>
      <c r="AE67" s="194"/>
      <c r="AF67" s="188"/>
      <c r="AG67" s="188"/>
      <c r="AH67" s="194"/>
      <c r="AI67" s="188"/>
      <c r="AJ67" s="194"/>
      <c r="AK67" s="194"/>
      <c r="AL67" s="194"/>
    </row>
    <row r="68" spans="1:45" s="207" customFormat="1" outlineLevel="2" x14ac:dyDescent="0.25">
      <c r="A68" s="318"/>
      <c r="B68" s="357" t="str">
        <f t="shared" si="20"/>
        <v>Кабель ВБШв 5*1,5ок (N, PE) - 1 ГОСТ 31996-2012</v>
      </c>
      <c r="C68" s="390">
        <v>5</v>
      </c>
      <c r="D68" s="200" t="s">
        <v>40</v>
      </c>
      <c r="E68" s="273">
        <v>1.5</v>
      </c>
      <c r="F68" s="275" t="str">
        <f t="shared" si="21"/>
        <v>ок</v>
      </c>
      <c r="G68" s="274">
        <v>1</v>
      </c>
      <c r="H68" s="37" t="s">
        <v>40</v>
      </c>
      <c r="I68" s="256">
        <v>1.36</v>
      </c>
      <c r="J68" s="38">
        <v>1.45</v>
      </c>
      <c r="K68" s="38">
        <f>I68</f>
        <v>1.36</v>
      </c>
      <c r="L68" s="15">
        <f>0.9*M68-0.1</f>
        <v>0.71000000000000008</v>
      </c>
      <c r="M68" s="61">
        <f t="shared" si="22"/>
        <v>0.9</v>
      </c>
      <c r="N68" s="61">
        <f t="shared" ref="N68" si="81">IF(G68=1,I68+2*L68,K68+2*L68)</f>
        <v>2.7800000000000002</v>
      </c>
      <c r="O68" s="61">
        <f t="shared" ref="O68" si="82">IF(G68=1,I68+2*M68,K68+2*M68)</f>
        <v>3.16</v>
      </c>
      <c r="P68" s="61">
        <f t="shared" ref="P68:P79" si="83">IF(C68=1,O68*1,IF(C68=2,O68*2,IF(C68=3,O68*2.15,IF(C68=4,O68*2.41,IF(C68=5,O68*2.7,"ошибка")))))</f>
        <v>8.5320000000000018</v>
      </c>
      <c r="Q68" s="61">
        <f t="shared" si="23"/>
        <v>2.2000000000000002</v>
      </c>
      <c r="R68" s="61">
        <f>IF(P68&lt;=25,0.5,IF(AND(P68&gt;25,P68&lt;=35),0.6,IF(AND(P68&gt;35,P68&lt;=45),0.7,IF(AND(P68&gt;45,P68&lt;=60),0.8,IF(AND(P68&gt;60,P68&lt;=80),0.9,1)))))</f>
        <v>0.5</v>
      </c>
      <c r="S68" s="61">
        <f t="shared" si="24"/>
        <v>1.4</v>
      </c>
      <c r="T68" s="61">
        <f t="shared" ref="T68:T79" si="84">P68+2*S68</f>
        <v>11.332000000000001</v>
      </c>
      <c r="U68" s="201">
        <f t="shared" si="25"/>
        <v>2</v>
      </c>
      <c r="V68" s="203">
        <f t="shared" si="26"/>
        <v>0.25</v>
      </c>
      <c r="W68" s="37" t="s">
        <v>40</v>
      </c>
      <c r="X68" s="202">
        <f t="shared" si="7"/>
        <v>20</v>
      </c>
      <c r="Y68" s="201">
        <f t="shared" si="8"/>
        <v>35</v>
      </c>
      <c r="Z68" s="61">
        <f t="shared" si="27"/>
        <v>12.332000000000001</v>
      </c>
      <c r="AA68" s="262">
        <f t="shared" si="28"/>
        <v>1.43</v>
      </c>
      <c r="AB68" s="262">
        <f t="shared" si="29"/>
        <v>1.8</v>
      </c>
      <c r="AC68" s="262">
        <f t="shared" si="30"/>
        <v>15.192</v>
      </c>
      <c r="AD68" s="262">
        <f t="shared" si="31"/>
        <v>15.932</v>
      </c>
      <c r="AE68" s="61">
        <v>0</v>
      </c>
      <c r="AF68" s="271">
        <f t="shared" si="32"/>
        <v>65.023289122881124</v>
      </c>
      <c r="AG68" s="268">
        <f t="shared" ref="AG68:AG79" si="85">PI()*(IF(G68=1,I68,K68)+M68)*M68*$AG$9*C68*IF(C68&gt;1,1.007,1)*IF(G68=1,1,(IF(E68&gt;=4,1.1,1.07)))</f>
        <v>43.112687339143122</v>
      </c>
      <c r="AH68" s="267">
        <f t="shared" si="33"/>
        <v>5.3218579551811098</v>
      </c>
      <c r="AI68" s="271">
        <f t="shared" si="16"/>
        <v>78.754511761296953</v>
      </c>
      <c r="AJ68" s="262">
        <f t="shared" si="34"/>
        <v>107.27644186421402</v>
      </c>
      <c r="AK68" s="262">
        <f t="shared" si="35"/>
        <v>123.06844901883181</v>
      </c>
      <c r="AL68" s="61">
        <f t="shared" si="36"/>
        <v>422.55723706154816</v>
      </c>
      <c r="AM68" s="265">
        <f t="shared" ref="AM68:AM79" si="86">ROUND(AE68*1.015,2)</f>
        <v>0</v>
      </c>
      <c r="AN68" s="326">
        <f t="shared" ref="AN68:AN79" si="87">ROUND(AF68*1.015,2)</f>
        <v>66</v>
      </c>
      <c r="AO68" s="326">
        <f t="shared" ref="AO68:AO79" si="88">ROUND(AG68*1.032,2)</f>
        <v>44.49</v>
      </c>
      <c r="AP68" s="326">
        <f t="shared" ref="AP68:AP79" si="89">ROUND(AH68*1.032,2)</f>
        <v>5.49</v>
      </c>
      <c r="AQ68" s="326">
        <f t="shared" ref="AQ68:AQ79" si="90">ROUND(AI68*1.032,2)</f>
        <v>81.27</v>
      </c>
      <c r="AR68" s="326">
        <f t="shared" ref="AR68:AR79" si="91">ROUND(AJ68*1.03,2)</f>
        <v>110.49</v>
      </c>
      <c r="AS68" s="326">
        <f t="shared" ref="AS68:AS79" si="92">ROUND(AK68*1.032,2)</f>
        <v>127.01</v>
      </c>
    </row>
    <row r="69" spans="1:45" s="207" customFormat="1" outlineLevel="2" x14ac:dyDescent="0.25">
      <c r="A69" s="318"/>
      <c r="B69" s="357" t="str">
        <f t="shared" si="20"/>
        <v>Кабель ВБШв 5*2,5ок (N, PE) - 1 ГОСТ 31996-2012</v>
      </c>
      <c r="C69" s="391">
        <v>5</v>
      </c>
      <c r="D69" s="200" t="s">
        <v>40</v>
      </c>
      <c r="E69" s="273">
        <v>2.5</v>
      </c>
      <c r="F69" s="275" t="str">
        <f t="shared" si="21"/>
        <v>ок</v>
      </c>
      <c r="G69" s="274">
        <v>1</v>
      </c>
      <c r="H69" s="37" t="s">
        <v>40</v>
      </c>
      <c r="I69" s="256">
        <v>1.76</v>
      </c>
      <c r="J69" s="39">
        <v>2.4300000000000002</v>
      </c>
      <c r="K69" s="39">
        <f t="shared" ref="K69:K75" si="93">I69</f>
        <v>1.76</v>
      </c>
      <c r="L69" s="15">
        <f t="shared" ref="L69:L79" si="94">0.9*M69-0.1</f>
        <v>0.71000000000000008</v>
      </c>
      <c r="M69" s="61">
        <f t="shared" si="22"/>
        <v>0.9</v>
      </c>
      <c r="N69" s="61">
        <f t="shared" ref="N69:N79" si="95">IF(G69=1,I69+2*L69,K69+2*L69)</f>
        <v>3.18</v>
      </c>
      <c r="O69" s="61">
        <f t="shared" ref="O69:O79" si="96">IF(G69=1,I69+2*M69,K69+2*M69)</f>
        <v>3.56</v>
      </c>
      <c r="P69" s="61">
        <f t="shared" si="83"/>
        <v>9.6120000000000001</v>
      </c>
      <c r="Q69" s="61">
        <f t="shared" si="23"/>
        <v>2.5</v>
      </c>
      <c r="R69" s="61">
        <f t="shared" ref="R69:R79" si="97">IF(P69&lt;=25,0.5,IF(AND(P69&gt;25,P69&lt;=35),0.6,IF(AND(P69&gt;35,P69&lt;=45),0.7,IF(AND(P69&gt;45,P69&lt;=60),0.8,IF(AND(P69&gt;60,P69&lt;=80),0.9,1)))))</f>
        <v>0.5</v>
      </c>
      <c r="S69" s="61">
        <f t="shared" si="24"/>
        <v>1.4</v>
      </c>
      <c r="T69" s="61">
        <f t="shared" si="84"/>
        <v>12.411999999999999</v>
      </c>
      <c r="U69" s="201">
        <f t="shared" si="25"/>
        <v>2</v>
      </c>
      <c r="V69" s="203">
        <f t="shared" si="26"/>
        <v>0.25</v>
      </c>
      <c r="W69" s="37" t="s">
        <v>40</v>
      </c>
      <c r="X69" s="202">
        <f t="shared" si="7"/>
        <v>20</v>
      </c>
      <c r="Y69" s="201">
        <f t="shared" si="8"/>
        <v>35</v>
      </c>
      <c r="Z69" s="61">
        <f t="shared" si="27"/>
        <v>13.411999999999999</v>
      </c>
      <c r="AA69" s="262">
        <f t="shared" si="28"/>
        <v>1.43</v>
      </c>
      <c r="AB69" s="262">
        <f t="shared" si="29"/>
        <v>1.8</v>
      </c>
      <c r="AC69" s="262">
        <f t="shared" si="30"/>
        <v>16.271999999999998</v>
      </c>
      <c r="AD69" s="262">
        <f t="shared" si="31"/>
        <v>17.012</v>
      </c>
      <c r="AE69" s="61">
        <v>0</v>
      </c>
      <c r="AF69" s="271">
        <f t="shared" si="32"/>
        <v>108.89713472482512</v>
      </c>
      <c r="AG69" s="268">
        <f t="shared" si="85"/>
        <v>50.743251469964918</v>
      </c>
      <c r="AH69" s="267">
        <f t="shared" si="33"/>
        <v>6.8722339297276722</v>
      </c>
      <c r="AI69" s="271">
        <f t="shared" si="16"/>
        <v>90.141800949937775</v>
      </c>
      <c r="AJ69" s="262">
        <f t="shared" si="34"/>
        <v>117.06840917433496</v>
      </c>
      <c r="AK69" s="262">
        <f t="shared" si="35"/>
        <v>132.47362344144278</v>
      </c>
      <c r="AL69" s="61">
        <f t="shared" si="36"/>
        <v>506.19645369023328</v>
      </c>
      <c r="AM69" s="265">
        <f t="shared" si="86"/>
        <v>0</v>
      </c>
      <c r="AN69" s="326">
        <f t="shared" si="87"/>
        <v>110.53</v>
      </c>
      <c r="AO69" s="326">
        <f t="shared" si="88"/>
        <v>52.37</v>
      </c>
      <c r="AP69" s="326">
        <f t="shared" si="89"/>
        <v>7.09</v>
      </c>
      <c r="AQ69" s="326">
        <f t="shared" si="90"/>
        <v>93.03</v>
      </c>
      <c r="AR69" s="326">
        <f t="shared" si="91"/>
        <v>120.58</v>
      </c>
      <c r="AS69" s="326">
        <f t="shared" si="92"/>
        <v>136.71</v>
      </c>
    </row>
    <row r="70" spans="1:45" s="207" customFormat="1" outlineLevel="2" x14ac:dyDescent="0.25">
      <c r="A70" s="318"/>
      <c r="B70" s="357" t="str">
        <f t="shared" si="20"/>
        <v>Кабель ВБШв 5*4ок (N, PE) - 1 ГОСТ 31996-2012</v>
      </c>
      <c r="C70" s="391">
        <v>5</v>
      </c>
      <c r="D70" s="200" t="s">
        <v>40</v>
      </c>
      <c r="E70" s="273">
        <v>4</v>
      </c>
      <c r="F70" s="275" t="str">
        <f t="shared" si="21"/>
        <v>ок</v>
      </c>
      <c r="G70" s="274">
        <v>1</v>
      </c>
      <c r="H70" s="37" t="s">
        <v>40</v>
      </c>
      <c r="I70" s="256">
        <v>2.23</v>
      </c>
      <c r="J70" s="39">
        <v>3.91</v>
      </c>
      <c r="K70" s="39">
        <f t="shared" si="93"/>
        <v>2.23</v>
      </c>
      <c r="L70" s="15">
        <f t="shared" si="94"/>
        <v>0.89000000000000012</v>
      </c>
      <c r="M70" s="61">
        <f t="shared" si="22"/>
        <v>1.1000000000000001</v>
      </c>
      <c r="N70" s="61">
        <f t="shared" si="95"/>
        <v>4.01</v>
      </c>
      <c r="O70" s="61">
        <f t="shared" si="96"/>
        <v>4.43</v>
      </c>
      <c r="P70" s="61">
        <f t="shared" si="83"/>
        <v>11.961</v>
      </c>
      <c r="Q70" s="61">
        <f t="shared" si="23"/>
        <v>3.1</v>
      </c>
      <c r="R70" s="61">
        <f t="shared" si="97"/>
        <v>0.5</v>
      </c>
      <c r="S70" s="61">
        <f t="shared" si="24"/>
        <v>1.4</v>
      </c>
      <c r="T70" s="61">
        <f t="shared" si="84"/>
        <v>14.760999999999999</v>
      </c>
      <c r="U70" s="201">
        <f t="shared" si="25"/>
        <v>2</v>
      </c>
      <c r="V70" s="203">
        <f t="shared" si="26"/>
        <v>0.25</v>
      </c>
      <c r="W70" s="37" t="s">
        <v>40</v>
      </c>
      <c r="X70" s="202">
        <f t="shared" si="7"/>
        <v>30</v>
      </c>
      <c r="Y70" s="201">
        <f t="shared" si="8"/>
        <v>35</v>
      </c>
      <c r="Z70" s="61">
        <f t="shared" si="27"/>
        <v>15.760999999999999</v>
      </c>
      <c r="AA70" s="262">
        <f t="shared" si="28"/>
        <v>1.43</v>
      </c>
      <c r="AB70" s="262">
        <f t="shared" si="29"/>
        <v>1.8</v>
      </c>
      <c r="AC70" s="262">
        <f t="shared" si="30"/>
        <v>18.620999999999999</v>
      </c>
      <c r="AD70" s="262">
        <f t="shared" si="31"/>
        <v>19.361000000000001</v>
      </c>
      <c r="AE70" s="61">
        <v>0</v>
      </c>
      <c r="AF70" s="271">
        <f t="shared" si="32"/>
        <v>174.82391570024623</v>
      </c>
      <c r="AG70" s="268">
        <f t="shared" si="85"/>
        <v>77.640990031111713</v>
      </c>
      <c r="AH70" s="267">
        <f t="shared" si="33"/>
        <v>10.56674689034927</v>
      </c>
      <c r="AI70" s="271">
        <f t="shared" si="16"/>
        <v>116.85636273217571</v>
      </c>
      <c r="AJ70" s="262">
        <f t="shared" si="34"/>
        <v>138.36593807384801</v>
      </c>
      <c r="AK70" s="262">
        <f t="shared" si="35"/>
        <v>152.92987781062169</v>
      </c>
      <c r="AL70" s="61">
        <f t="shared" si="36"/>
        <v>671.1838312383527</v>
      </c>
      <c r="AM70" s="265">
        <f t="shared" si="86"/>
        <v>0</v>
      </c>
      <c r="AN70" s="326">
        <f t="shared" si="87"/>
        <v>177.45</v>
      </c>
      <c r="AO70" s="326">
        <f t="shared" si="88"/>
        <v>80.13</v>
      </c>
      <c r="AP70" s="326">
        <f t="shared" si="89"/>
        <v>10.9</v>
      </c>
      <c r="AQ70" s="326">
        <f t="shared" si="90"/>
        <v>120.6</v>
      </c>
      <c r="AR70" s="326">
        <f t="shared" si="91"/>
        <v>142.52000000000001</v>
      </c>
      <c r="AS70" s="326">
        <f t="shared" si="92"/>
        <v>157.82</v>
      </c>
    </row>
    <row r="71" spans="1:45" s="207" customFormat="1" outlineLevel="2" x14ac:dyDescent="0.25">
      <c r="A71" s="318"/>
      <c r="B71" s="357" t="str">
        <f t="shared" si="20"/>
        <v>Кабель ВБШв 5*6ок (N, PE) - 1 ГОСТ 31996-2012</v>
      </c>
      <c r="C71" s="391">
        <v>5</v>
      </c>
      <c r="D71" s="200" t="s">
        <v>40</v>
      </c>
      <c r="E71" s="273">
        <v>6</v>
      </c>
      <c r="F71" s="275" t="str">
        <f t="shared" si="21"/>
        <v>ок</v>
      </c>
      <c r="G71" s="274">
        <v>1</v>
      </c>
      <c r="H71" s="37" t="s">
        <v>40</v>
      </c>
      <c r="I71" s="256">
        <v>2.69</v>
      </c>
      <c r="J71" s="38">
        <v>5.68</v>
      </c>
      <c r="K71" s="39">
        <f t="shared" si="93"/>
        <v>2.69</v>
      </c>
      <c r="L71" s="15">
        <f t="shared" si="94"/>
        <v>0.89000000000000012</v>
      </c>
      <c r="M71" s="61">
        <f t="shared" si="22"/>
        <v>1.1000000000000001</v>
      </c>
      <c r="N71" s="61">
        <f t="shared" si="95"/>
        <v>4.4700000000000006</v>
      </c>
      <c r="O71" s="61">
        <f t="shared" si="96"/>
        <v>4.8900000000000006</v>
      </c>
      <c r="P71" s="61">
        <f t="shared" si="83"/>
        <v>13.203000000000003</v>
      </c>
      <c r="Q71" s="61">
        <f t="shared" si="23"/>
        <v>3.4</v>
      </c>
      <c r="R71" s="61">
        <f t="shared" si="97"/>
        <v>0.5</v>
      </c>
      <c r="S71" s="61">
        <f t="shared" si="24"/>
        <v>1.4</v>
      </c>
      <c r="T71" s="61">
        <f t="shared" si="84"/>
        <v>16.003000000000004</v>
      </c>
      <c r="U71" s="201">
        <f t="shared" si="25"/>
        <v>2</v>
      </c>
      <c r="V71" s="203">
        <f t="shared" si="26"/>
        <v>0.25</v>
      </c>
      <c r="W71" s="37" t="s">
        <v>40</v>
      </c>
      <c r="X71" s="202">
        <f t="shared" si="7"/>
        <v>30</v>
      </c>
      <c r="Y71" s="201">
        <f t="shared" si="8"/>
        <v>35</v>
      </c>
      <c r="Z71" s="61">
        <f t="shared" si="27"/>
        <v>17.003000000000004</v>
      </c>
      <c r="AA71" s="262">
        <f t="shared" si="28"/>
        <v>1.43</v>
      </c>
      <c r="AB71" s="262">
        <f t="shared" si="29"/>
        <v>1.8</v>
      </c>
      <c r="AC71" s="262">
        <f t="shared" si="30"/>
        <v>19.863000000000003</v>
      </c>
      <c r="AD71" s="262">
        <f t="shared" si="31"/>
        <v>20.603000000000005</v>
      </c>
      <c r="AE71" s="61">
        <v>0</v>
      </c>
      <c r="AF71" s="271">
        <f t="shared" si="32"/>
        <v>254.38744724377159</v>
      </c>
      <c r="AG71" s="268">
        <f t="shared" si="85"/>
        <v>88.36617183721124</v>
      </c>
      <c r="AH71" s="267">
        <f t="shared" si="33"/>
        <v>12.710883876424299</v>
      </c>
      <c r="AI71" s="271">
        <f t="shared" si="16"/>
        <v>132.05950213244168</v>
      </c>
      <c r="AJ71" s="262">
        <f t="shared" si="34"/>
        <v>149.62670048048719</v>
      </c>
      <c r="AK71" s="262">
        <f t="shared" si="35"/>
        <v>163.74582839662435</v>
      </c>
      <c r="AL71" s="61">
        <f t="shared" si="36"/>
        <v>800.89653396696042</v>
      </c>
      <c r="AM71" s="265">
        <f t="shared" si="86"/>
        <v>0</v>
      </c>
      <c r="AN71" s="326">
        <f t="shared" si="87"/>
        <v>258.2</v>
      </c>
      <c r="AO71" s="326">
        <f t="shared" si="88"/>
        <v>91.19</v>
      </c>
      <c r="AP71" s="326">
        <f t="shared" si="89"/>
        <v>13.12</v>
      </c>
      <c r="AQ71" s="326">
        <f t="shared" si="90"/>
        <v>136.29</v>
      </c>
      <c r="AR71" s="326">
        <f t="shared" si="91"/>
        <v>154.12</v>
      </c>
      <c r="AS71" s="326">
        <f t="shared" si="92"/>
        <v>168.99</v>
      </c>
    </row>
    <row r="72" spans="1:45" s="207" customFormat="1" outlineLevel="2" x14ac:dyDescent="0.25">
      <c r="A72" s="318"/>
      <c r="B72" s="357" t="str">
        <f t="shared" si="20"/>
        <v>Кабель ВБШв 5*10ок (N, PE) - 1 ГОСТ 31996-2012</v>
      </c>
      <c r="C72" s="391">
        <v>5</v>
      </c>
      <c r="D72" s="200" t="s">
        <v>40</v>
      </c>
      <c r="E72" s="273">
        <v>10</v>
      </c>
      <c r="F72" s="275" t="str">
        <f t="shared" si="21"/>
        <v>ок</v>
      </c>
      <c r="G72" s="274">
        <v>1</v>
      </c>
      <c r="H72" s="37" t="s">
        <v>40</v>
      </c>
      <c r="I72" s="256">
        <v>3.46</v>
      </c>
      <c r="J72" s="38">
        <v>9.4</v>
      </c>
      <c r="K72" s="39">
        <f t="shared" si="93"/>
        <v>3.46</v>
      </c>
      <c r="L72" s="15">
        <f t="shared" si="94"/>
        <v>0.89000000000000012</v>
      </c>
      <c r="M72" s="61">
        <f t="shared" si="22"/>
        <v>1.1000000000000001</v>
      </c>
      <c r="N72" s="61">
        <f t="shared" si="95"/>
        <v>5.24</v>
      </c>
      <c r="O72" s="61">
        <f t="shared" si="96"/>
        <v>5.66</v>
      </c>
      <c r="P72" s="61">
        <f t="shared" si="83"/>
        <v>15.282000000000002</v>
      </c>
      <c r="Q72" s="61">
        <f t="shared" si="23"/>
        <v>4</v>
      </c>
      <c r="R72" s="61">
        <f t="shared" si="97"/>
        <v>0.5</v>
      </c>
      <c r="S72" s="61">
        <f t="shared" si="24"/>
        <v>1.4</v>
      </c>
      <c r="T72" s="61">
        <f t="shared" si="84"/>
        <v>18.082000000000001</v>
      </c>
      <c r="U72" s="201">
        <f t="shared" si="25"/>
        <v>2</v>
      </c>
      <c r="V72" s="203">
        <f t="shared" si="26"/>
        <v>0.25</v>
      </c>
      <c r="W72" s="37" t="s">
        <v>40</v>
      </c>
      <c r="X72" s="202">
        <f t="shared" si="7"/>
        <v>30</v>
      </c>
      <c r="Y72" s="201">
        <f t="shared" si="8"/>
        <v>35</v>
      </c>
      <c r="Z72" s="61">
        <f t="shared" si="27"/>
        <v>19.082000000000001</v>
      </c>
      <c r="AA72" s="262">
        <f t="shared" si="28"/>
        <v>1.43</v>
      </c>
      <c r="AB72" s="262">
        <f t="shared" si="29"/>
        <v>1.8</v>
      </c>
      <c r="AC72" s="262">
        <f t="shared" si="30"/>
        <v>21.942</v>
      </c>
      <c r="AD72" s="262">
        <f t="shared" si="31"/>
        <v>22.682000000000002</v>
      </c>
      <c r="AE72" s="61">
        <v>0</v>
      </c>
      <c r="AF72" s="271">
        <f t="shared" si="32"/>
        <v>420.86548878864807</v>
      </c>
      <c r="AG72" s="268">
        <f t="shared" si="85"/>
        <v>106.31919355611697</v>
      </c>
      <c r="AH72" s="267">
        <f t="shared" si="33"/>
        <v>17.592918860102841</v>
      </c>
      <c r="AI72" s="271">
        <f t="shared" si="16"/>
        <v>159.17734625968095</v>
      </c>
      <c r="AJ72" s="262">
        <f t="shared" si="34"/>
        <v>168.47623755246997</v>
      </c>
      <c r="AK72" s="262">
        <f t="shared" si="35"/>
        <v>181.85078916015044</v>
      </c>
      <c r="AL72" s="61">
        <f t="shared" si="36"/>
        <v>1054.2819741771693</v>
      </c>
      <c r="AM72" s="265">
        <f t="shared" si="86"/>
        <v>0</v>
      </c>
      <c r="AN72" s="326">
        <f t="shared" si="87"/>
        <v>427.18</v>
      </c>
      <c r="AO72" s="326">
        <f t="shared" si="88"/>
        <v>109.72</v>
      </c>
      <c r="AP72" s="326">
        <f t="shared" si="89"/>
        <v>18.16</v>
      </c>
      <c r="AQ72" s="326">
        <f t="shared" si="90"/>
        <v>164.27</v>
      </c>
      <c r="AR72" s="326">
        <f t="shared" si="91"/>
        <v>173.53</v>
      </c>
      <c r="AS72" s="326">
        <f t="shared" si="92"/>
        <v>187.67</v>
      </c>
    </row>
    <row r="73" spans="1:45" s="207" customFormat="1" outlineLevel="2" x14ac:dyDescent="0.25">
      <c r="A73" s="318"/>
      <c r="B73" s="357" t="str">
        <f t="shared" si="20"/>
        <v>Кабель ВБШв 5*16ок (N, PE) - 1 ГОСТ 31996-2012</v>
      </c>
      <c r="C73" s="391">
        <v>5</v>
      </c>
      <c r="D73" s="200" t="s">
        <v>40</v>
      </c>
      <c r="E73" s="273">
        <v>16</v>
      </c>
      <c r="F73" s="275" t="str">
        <f t="shared" si="21"/>
        <v>ок</v>
      </c>
      <c r="G73" s="274">
        <v>1</v>
      </c>
      <c r="H73" s="37" t="s">
        <v>40</v>
      </c>
      <c r="I73" s="256">
        <v>4.41</v>
      </c>
      <c r="J73" s="38">
        <v>15.27</v>
      </c>
      <c r="K73" s="39">
        <f t="shared" si="93"/>
        <v>4.41</v>
      </c>
      <c r="L73" s="15">
        <f t="shared" si="94"/>
        <v>0.89000000000000012</v>
      </c>
      <c r="M73" s="61">
        <f t="shared" si="22"/>
        <v>1.1000000000000001</v>
      </c>
      <c r="N73" s="61">
        <f t="shared" si="95"/>
        <v>6.19</v>
      </c>
      <c r="O73" s="61">
        <f t="shared" si="96"/>
        <v>6.61</v>
      </c>
      <c r="P73" s="61">
        <f t="shared" si="83"/>
        <v>17.847000000000001</v>
      </c>
      <c r="Q73" s="61">
        <f t="shared" si="23"/>
        <v>4.5999999999999996</v>
      </c>
      <c r="R73" s="61">
        <f t="shared" si="97"/>
        <v>0.5</v>
      </c>
      <c r="S73" s="61">
        <f t="shared" si="24"/>
        <v>1.4</v>
      </c>
      <c r="T73" s="61">
        <f t="shared" si="84"/>
        <v>20.647000000000002</v>
      </c>
      <c r="U73" s="201">
        <f t="shared" si="25"/>
        <v>2</v>
      </c>
      <c r="V73" s="203">
        <f t="shared" si="26"/>
        <v>0.25</v>
      </c>
      <c r="W73" s="37" t="s">
        <v>40</v>
      </c>
      <c r="X73" s="202">
        <f t="shared" si="7"/>
        <v>30</v>
      </c>
      <c r="Y73" s="201">
        <f t="shared" si="8"/>
        <v>35</v>
      </c>
      <c r="Z73" s="61">
        <f t="shared" si="27"/>
        <v>21.647000000000002</v>
      </c>
      <c r="AA73" s="262">
        <f t="shared" si="28"/>
        <v>1.5999999999999999</v>
      </c>
      <c r="AB73" s="262">
        <f t="shared" si="29"/>
        <v>2</v>
      </c>
      <c r="AC73" s="262">
        <f t="shared" si="30"/>
        <v>24.847000000000001</v>
      </c>
      <c r="AD73" s="262">
        <f t="shared" si="31"/>
        <v>25.647000000000002</v>
      </c>
      <c r="AE73" s="61">
        <v>0</v>
      </c>
      <c r="AF73" s="271">
        <f t="shared" si="32"/>
        <v>683.70427616279414</v>
      </c>
      <c r="AG73" s="268">
        <f t="shared" si="85"/>
        <v>128.46902554697465</v>
      </c>
      <c r="AH73" s="267">
        <f t="shared" si="33"/>
        <v>23.266635192486003</v>
      </c>
      <c r="AI73" s="271">
        <f t="shared" si="16"/>
        <v>195.51408776809336</v>
      </c>
      <c r="AJ73" s="262">
        <f t="shared" si="34"/>
        <v>191.73215991400727</v>
      </c>
      <c r="AK73" s="262">
        <f t="shared" si="35"/>
        <v>228.81086375666857</v>
      </c>
      <c r="AL73" s="61">
        <f t="shared" si="36"/>
        <v>1451.4970483410241</v>
      </c>
      <c r="AM73" s="265">
        <f t="shared" si="86"/>
        <v>0</v>
      </c>
      <c r="AN73" s="326">
        <f t="shared" si="87"/>
        <v>693.96</v>
      </c>
      <c r="AO73" s="326">
        <f t="shared" si="88"/>
        <v>132.58000000000001</v>
      </c>
      <c r="AP73" s="326">
        <f t="shared" si="89"/>
        <v>24.01</v>
      </c>
      <c r="AQ73" s="326">
        <f t="shared" si="90"/>
        <v>201.77</v>
      </c>
      <c r="AR73" s="326">
        <f t="shared" si="91"/>
        <v>197.48</v>
      </c>
      <c r="AS73" s="326">
        <f t="shared" si="92"/>
        <v>236.13</v>
      </c>
    </row>
    <row r="74" spans="1:45" s="377" customFormat="1" outlineLevel="2" x14ac:dyDescent="0.25">
      <c r="A74" s="360"/>
      <c r="B74" s="361" t="str">
        <f t="shared" si="20"/>
        <v>Кабель ВБШв 5*25ок (N, PE) - 1 ГОСТ 31996-2012</v>
      </c>
      <c r="C74" s="393">
        <v>5</v>
      </c>
      <c r="D74" s="362" t="s">
        <v>40</v>
      </c>
      <c r="E74" s="363">
        <v>25</v>
      </c>
      <c r="F74" s="364" t="str">
        <f t="shared" si="21"/>
        <v>ок</v>
      </c>
      <c r="G74" s="380">
        <v>1</v>
      </c>
      <c r="H74" s="366" t="s">
        <v>40</v>
      </c>
      <c r="I74" s="367">
        <v>5.54</v>
      </c>
      <c r="J74" s="379">
        <v>24.11</v>
      </c>
      <c r="K74" s="381">
        <f t="shared" si="93"/>
        <v>5.54</v>
      </c>
      <c r="L74" s="373">
        <f t="shared" si="94"/>
        <v>1.07</v>
      </c>
      <c r="M74" s="368">
        <f t="shared" si="22"/>
        <v>1.3</v>
      </c>
      <c r="N74" s="368">
        <f t="shared" si="95"/>
        <v>7.68</v>
      </c>
      <c r="O74" s="368">
        <f t="shared" si="96"/>
        <v>8.14</v>
      </c>
      <c r="P74" s="368">
        <f t="shared" si="83"/>
        <v>21.978000000000002</v>
      </c>
      <c r="Q74" s="61">
        <f t="shared" si="23"/>
        <v>5.7</v>
      </c>
      <c r="R74" s="368">
        <f t="shared" si="97"/>
        <v>0.5</v>
      </c>
      <c r="S74" s="61">
        <f t="shared" si="24"/>
        <v>1.4</v>
      </c>
      <c r="T74" s="368">
        <f t="shared" si="84"/>
        <v>24.778000000000002</v>
      </c>
      <c r="U74" s="369">
        <f t="shared" si="25"/>
        <v>2</v>
      </c>
      <c r="V74" s="370">
        <f t="shared" si="26"/>
        <v>0.25</v>
      </c>
      <c r="W74" s="366" t="s">
        <v>40</v>
      </c>
      <c r="X74" s="371">
        <f t="shared" ref="X74:X79" si="98">IF(AND(T74&gt;7,T74&lt;=10),15,IF(AND(T74&gt;10,T74&lt;=13),20,IF(AND(T74&gt;13,T74&lt;=21),30,IF(AND(T74&gt;21,T74&lt;=31),40,IF(AND(T74&gt;31,T74&lt;=70),50,IF(AND(T74&gt;70,T74&lt;=80),60,"ошибка"))))))</f>
        <v>40</v>
      </c>
      <c r="Y74" s="369">
        <f t="shared" ref="Y74:Y79" si="99">$Y$9</f>
        <v>35</v>
      </c>
      <c r="Z74" s="368">
        <f t="shared" si="27"/>
        <v>25.778000000000002</v>
      </c>
      <c r="AA74" s="372">
        <f t="shared" si="28"/>
        <v>1.5999999999999999</v>
      </c>
      <c r="AB74" s="372">
        <f t="shared" si="29"/>
        <v>2</v>
      </c>
      <c r="AC74" s="372">
        <f t="shared" si="30"/>
        <v>28.978000000000002</v>
      </c>
      <c r="AD74" s="372">
        <f t="shared" si="31"/>
        <v>29.778000000000002</v>
      </c>
      <c r="AE74" s="368">
        <v>0</v>
      </c>
      <c r="AF74" s="372">
        <f t="shared" si="32"/>
        <v>1078.9731728178078</v>
      </c>
      <c r="AG74" s="378">
        <f t="shared" si="85"/>
        <v>188.47493403129823</v>
      </c>
      <c r="AH74" s="382">
        <f t="shared" si="33"/>
        <v>35.724620860296334</v>
      </c>
      <c r="AI74" s="372">
        <f t="shared" ref="AI74:AI120" si="100">IF(C74&gt;1,(PI()*T74^2/4-PI()*O74^2*(C74+2)/8-C74*(SIN(PI()*(C74-2)/C74))/2*(P74/2-O74/2)^2)*$AI$9,PI()*(P74+S74)*S74*1.07*$AI$9)</f>
        <v>260.72238336163161</v>
      </c>
      <c r="AJ74" s="372">
        <f t="shared" si="34"/>
        <v>229.1864348752199</v>
      </c>
      <c r="AK74" s="372">
        <f t="shared" si="35"/>
        <v>268.78285505276523</v>
      </c>
      <c r="AL74" s="368">
        <f t="shared" si="36"/>
        <v>2061.8644009990194</v>
      </c>
      <c r="AM74" s="376">
        <f t="shared" si="86"/>
        <v>0</v>
      </c>
      <c r="AN74" s="376">
        <f t="shared" si="87"/>
        <v>1095.1600000000001</v>
      </c>
      <c r="AO74" s="376">
        <f t="shared" si="88"/>
        <v>194.51</v>
      </c>
      <c r="AP74" s="376">
        <f t="shared" si="89"/>
        <v>36.869999999999997</v>
      </c>
      <c r="AQ74" s="376">
        <f t="shared" si="90"/>
        <v>269.07</v>
      </c>
      <c r="AR74" s="376">
        <f t="shared" si="91"/>
        <v>236.06</v>
      </c>
      <c r="AS74" s="376">
        <f t="shared" si="92"/>
        <v>277.38</v>
      </c>
    </row>
    <row r="75" spans="1:45" s="377" customFormat="1" outlineLevel="2" x14ac:dyDescent="0.25">
      <c r="A75" s="360"/>
      <c r="B75" s="361" t="str">
        <f t="shared" ref="B75:B79" si="101">CONCATENATE("Кабель ",$A$81," ",C75,"*",E75,F75,IF(OR(C75=2,C75=4)," (N)",IF(OR(C75=3,C75=5)," (N, PE)",""))," - 1 ГОСТ 31996-2012")</f>
        <v>Кабель ВБШв 5*35ок (N, PE) - 1 ГОСТ 31996-2012</v>
      </c>
      <c r="C75" s="393">
        <v>5</v>
      </c>
      <c r="D75" s="362" t="s">
        <v>40</v>
      </c>
      <c r="E75" s="363">
        <v>35</v>
      </c>
      <c r="F75" s="364" t="str">
        <f t="shared" ref="F75:F149" si="102">IF(G75=1,"ок","мк")</f>
        <v>ок</v>
      </c>
      <c r="G75" s="380">
        <v>1</v>
      </c>
      <c r="H75" s="366" t="s">
        <v>40</v>
      </c>
      <c r="I75" s="367">
        <v>6.51</v>
      </c>
      <c r="J75" s="379">
        <v>33.29</v>
      </c>
      <c r="K75" s="381">
        <f t="shared" si="93"/>
        <v>6.51</v>
      </c>
      <c r="L75" s="373">
        <f t="shared" si="94"/>
        <v>1.07</v>
      </c>
      <c r="M75" s="368">
        <f t="shared" ref="M75:M140" si="103">IF(E75=1.5,0.8,IF(E75=2.5,0.8,IF(E75=4,1,IF(E75=6,1,IF(E75=10,1,IF(E75=16,1,IF(E75=25,1.2,IF(E75=35,1.2,IF(E75=50,1.4,IF(E75=70,1.4,IF(E75=95,1.6,IF(E75=120,1.6,IF(E75=150,1.8,IF(E75=185,2,IF(E75=240,2.2,IF(E75=300,2.4,IF(E75=400,2.6,IF(E75=500,2.8,IF(E75=625,2.8,IF(E75=630,2.8,IF(E75=800,2.8,IF(E75=1000,3,"неверно указано сечение жилы"))))))))))))))))))))))+0.1</f>
        <v>1.3</v>
      </c>
      <c r="N75" s="368">
        <f t="shared" si="95"/>
        <v>8.65</v>
      </c>
      <c r="O75" s="368">
        <f t="shared" si="96"/>
        <v>9.11</v>
      </c>
      <c r="P75" s="368">
        <f t="shared" si="83"/>
        <v>24.597000000000001</v>
      </c>
      <c r="Q75" s="61">
        <f t="shared" ref="Q75:Q138" si="104">IF(O75="","",ROUND(O75*IF(AND(C75=4,E75&gt;16),0.414,IF(C75=5,0.702,0)),1))</f>
        <v>6.4</v>
      </c>
      <c r="R75" s="368">
        <f t="shared" si="97"/>
        <v>0.5</v>
      </c>
      <c r="S75" s="61">
        <f t="shared" ref="S75:S138" si="105">IF(P75="","",IF(C75=1,(IF(P75&lt;=25,1.4,IF(AND(P75&gt;25,P75&lt;=35),1.5,IF(AND(P75&gt;35,P75&lt;=45),1.6,IF(AND(P75&gt;45,P75&lt;=60),1.7,IF(AND(P75&gt;60,P75&lt;=80),2,2.2)))))),IF(P75&lt;=25,1.4,IF(AND(P75&gt;25,P75&lt;=35),1.6,IF(AND(P75&gt;35,P75&lt;=45),1.8,IF(AND(P75&gt;45,P75&lt;=60),2,IF(AND(P75&gt;60,P75&lt;=80),2.3,2.5)))))))</f>
        <v>1.4</v>
      </c>
      <c r="T75" s="368">
        <f t="shared" si="84"/>
        <v>27.397000000000002</v>
      </c>
      <c r="U75" s="369">
        <f t="shared" ref="U75:U145" si="106">$U$9</f>
        <v>2</v>
      </c>
      <c r="V75" s="370">
        <f t="shared" ref="V75:V140" si="107">IF(T75&lt;=45,0.25,IF(AND(T75&gt;45,T75&lt;=70),0.5,0.8))</f>
        <v>0.25</v>
      </c>
      <c r="W75" s="366" t="s">
        <v>40</v>
      </c>
      <c r="X75" s="371">
        <f t="shared" si="98"/>
        <v>40</v>
      </c>
      <c r="Y75" s="369">
        <f t="shared" si="99"/>
        <v>35</v>
      </c>
      <c r="Z75" s="368">
        <f t="shared" ref="Z75:Z149" si="108">T75+2*U75*V75</f>
        <v>28.397000000000002</v>
      </c>
      <c r="AA75" s="372">
        <f t="shared" ref="AA75:AA149" si="109">0.85*AB75-0.1</f>
        <v>1.5999999999999999</v>
      </c>
      <c r="AB75" s="372">
        <f t="shared" ref="AB75:AB149" si="110">IF(Z75&lt;=20,1.8,IF(AND(Z75&gt;20,Z75&lt;=30),2,IF(AND(Z75&gt;30,Z75&lt;=40),2.2,IF(AND(Z75&gt;40,Z75&lt;=50),2.4,IF(AND(Z75&gt;50,Z75&lt;=60),2.6,3.1)))))</f>
        <v>2</v>
      </c>
      <c r="AC75" s="372">
        <f t="shared" ref="AC75:AC149" si="111">Z75+2*AA75</f>
        <v>31.597000000000001</v>
      </c>
      <c r="AD75" s="372">
        <f t="shared" ref="AD75:AD149" si="112">Z75+2*AB75</f>
        <v>32.397000000000006</v>
      </c>
      <c r="AE75" s="368">
        <v>0</v>
      </c>
      <c r="AF75" s="372">
        <f t="shared" ref="AF75:AF79" si="113">IF(G75=1,PI()*I75^2/4,J75)*$AF$9*C75*IF(C75&gt;1,1.007,1)</f>
        <v>1489.8861890985152</v>
      </c>
      <c r="AG75" s="378">
        <f t="shared" si="85"/>
        <v>215.20310450064898</v>
      </c>
      <c r="AH75" s="382">
        <f t="shared" ref="AH75:AH149" si="114">PI()*POWER(Q75,2)/4*$AH$9</f>
        <v>45.037872281863272</v>
      </c>
      <c r="AI75" s="372">
        <f t="shared" si="100"/>
        <v>306.33726120872234</v>
      </c>
      <c r="AJ75" s="372">
        <f t="shared" ref="AJ75:AJ149" si="115">PI()*(T75+U75*V75)*U75*V75*$AJ$9*ROUND(100/(100+Y75),2)</f>
        <v>252.9319556022632</v>
      </c>
      <c r="AK75" s="372">
        <f t="shared" ref="AK75:AK149" si="116">PI()*(Z75+AB75)*AB75*1.1*$AK$9</f>
        <v>294.12457502480038</v>
      </c>
      <c r="AL75" s="368">
        <f t="shared" ref="AL75:AL149" si="117">SUM(AE75:AK75)</f>
        <v>2603.5209577168134</v>
      </c>
      <c r="AM75" s="376">
        <f t="shared" si="86"/>
        <v>0</v>
      </c>
      <c r="AN75" s="376">
        <f t="shared" si="87"/>
        <v>1512.23</v>
      </c>
      <c r="AO75" s="376">
        <f t="shared" si="88"/>
        <v>222.09</v>
      </c>
      <c r="AP75" s="376">
        <f t="shared" si="89"/>
        <v>46.48</v>
      </c>
      <c r="AQ75" s="376">
        <f t="shared" si="90"/>
        <v>316.14</v>
      </c>
      <c r="AR75" s="376">
        <f t="shared" si="91"/>
        <v>260.52</v>
      </c>
      <c r="AS75" s="376">
        <f t="shared" si="92"/>
        <v>303.54000000000002</v>
      </c>
    </row>
    <row r="76" spans="1:45" s="207" customFormat="1" outlineLevel="2" x14ac:dyDescent="0.25">
      <c r="A76" s="318"/>
      <c r="B76" s="357" t="str">
        <f t="shared" si="101"/>
        <v>Кабель ВБШв 5*16мк (N, PE) - 1 ГОСТ 31996-2012</v>
      </c>
      <c r="C76" s="391">
        <v>5</v>
      </c>
      <c r="D76" s="200" t="s">
        <v>40</v>
      </c>
      <c r="E76" s="273">
        <v>16</v>
      </c>
      <c r="F76" s="275" t="str">
        <f t="shared" si="102"/>
        <v>мк</v>
      </c>
      <c r="G76" s="274">
        <v>7</v>
      </c>
      <c r="H76" s="37" t="s">
        <v>40</v>
      </c>
      <c r="I76" s="256">
        <v>1.76</v>
      </c>
      <c r="J76" s="38">
        <v>15.24</v>
      </c>
      <c r="K76" s="15">
        <v>4.6399999999999997</v>
      </c>
      <c r="L76" s="15">
        <f t="shared" si="94"/>
        <v>0.89000000000000012</v>
      </c>
      <c r="M76" s="61">
        <f t="shared" si="103"/>
        <v>1.1000000000000001</v>
      </c>
      <c r="N76" s="61">
        <f t="shared" si="95"/>
        <v>6.42</v>
      </c>
      <c r="O76" s="61">
        <f t="shared" si="96"/>
        <v>6.84</v>
      </c>
      <c r="P76" s="61">
        <f t="shared" si="83"/>
        <v>18.468</v>
      </c>
      <c r="Q76" s="61">
        <f t="shared" si="104"/>
        <v>4.8</v>
      </c>
      <c r="R76" s="61">
        <f t="shared" si="97"/>
        <v>0.5</v>
      </c>
      <c r="S76" s="61">
        <f t="shared" si="105"/>
        <v>1.4</v>
      </c>
      <c r="T76" s="61">
        <f t="shared" si="84"/>
        <v>21.268000000000001</v>
      </c>
      <c r="U76" s="201">
        <f t="shared" si="106"/>
        <v>2</v>
      </c>
      <c r="V76" s="203">
        <f t="shared" si="107"/>
        <v>0.25</v>
      </c>
      <c r="W76" s="37" t="s">
        <v>40</v>
      </c>
      <c r="X76" s="202">
        <f t="shared" si="98"/>
        <v>40</v>
      </c>
      <c r="Y76" s="201">
        <f t="shared" si="99"/>
        <v>35</v>
      </c>
      <c r="Z76" s="61">
        <f t="shared" si="108"/>
        <v>22.268000000000001</v>
      </c>
      <c r="AA76" s="262">
        <f t="shared" si="109"/>
        <v>1.5999999999999999</v>
      </c>
      <c r="AB76" s="262">
        <f t="shared" si="110"/>
        <v>2</v>
      </c>
      <c r="AC76" s="262">
        <f t="shared" si="111"/>
        <v>25.468</v>
      </c>
      <c r="AD76" s="262">
        <f t="shared" si="112"/>
        <v>26.268000000000001</v>
      </c>
      <c r="AE76" s="61">
        <v>0</v>
      </c>
      <c r="AF76" s="271">
        <f t="shared" si="113"/>
        <v>682.15992600000004</v>
      </c>
      <c r="AG76" s="268">
        <f t="shared" si="85"/>
        <v>147.21477809502684</v>
      </c>
      <c r="AH76" s="267">
        <f t="shared" si="114"/>
        <v>25.33380315854809</v>
      </c>
      <c r="AI76" s="271">
        <f t="shared" si="100"/>
        <v>204.78970279931264</v>
      </c>
      <c r="AJ76" s="262">
        <f t="shared" si="115"/>
        <v>197.36254111732677</v>
      </c>
      <c r="AK76" s="262">
        <f t="shared" si="116"/>
        <v>234.81972519333664</v>
      </c>
      <c r="AL76" s="61">
        <f t="shared" si="117"/>
        <v>1491.6804763635512</v>
      </c>
      <c r="AM76" s="265">
        <f t="shared" si="86"/>
        <v>0</v>
      </c>
      <c r="AN76" s="326">
        <f t="shared" si="87"/>
        <v>692.39</v>
      </c>
      <c r="AO76" s="326">
        <f t="shared" si="88"/>
        <v>151.93</v>
      </c>
      <c r="AP76" s="326">
        <f t="shared" si="89"/>
        <v>26.14</v>
      </c>
      <c r="AQ76" s="326">
        <f t="shared" si="90"/>
        <v>211.34</v>
      </c>
      <c r="AR76" s="326">
        <f t="shared" si="91"/>
        <v>203.28</v>
      </c>
      <c r="AS76" s="326">
        <f t="shared" si="92"/>
        <v>242.33</v>
      </c>
    </row>
    <row r="77" spans="1:45" s="207" customFormat="1" outlineLevel="2" x14ac:dyDescent="0.25">
      <c r="A77" s="318"/>
      <c r="B77" s="357" t="str">
        <f t="shared" si="101"/>
        <v>Кабель ВБШв 5*25мк (N, PE) - 1 ГОСТ 31996-2012</v>
      </c>
      <c r="C77" s="391">
        <v>5</v>
      </c>
      <c r="D77" s="200" t="s">
        <v>40</v>
      </c>
      <c r="E77" s="273">
        <v>25</v>
      </c>
      <c r="F77" s="275" t="str">
        <f t="shared" si="102"/>
        <v>мк</v>
      </c>
      <c r="G77" s="274">
        <v>7</v>
      </c>
      <c r="H77" s="37" t="s">
        <v>40</v>
      </c>
      <c r="I77" s="256">
        <v>2.19</v>
      </c>
      <c r="J77" s="38">
        <v>24.1</v>
      </c>
      <c r="K77" s="262">
        <v>5.84</v>
      </c>
      <c r="L77" s="15">
        <f t="shared" si="94"/>
        <v>1.07</v>
      </c>
      <c r="M77" s="61">
        <f t="shared" si="103"/>
        <v>1.3</v>
      </c>
      <c r="N77" s="61">
        <f t="shared" si="95"/>
        <v>7.98</v>
      </c>
      <c r="O77" s="61">
        <f t="shared" si="96"/>
        <v>8.44</v>
      </c>
      <c r="P77" s="61">
        <f t="shared" si="83"/>
        <v>22.788</v>
      </c>
      <c r="Q77" s="61">
        <f t="shared" si="104"/>
        <v>5.9</v>
      </c>
      <c r="R77" s="61">
        <f t="shared" si="97"/>
        <v>0.5</v>
      </c>
      <c r="S77" s="61">
        <f t="shared" si="105"/>
        <v>1.4</v>
      </c>
      <c r="T77" s="61">
        <f t="shared" si="84"/>
        <v>25.588000000000001</v>
      </c>
      <c r="U77" s="201">
        <f t="shared" si="106"/>
        <v>2</v>
      </c>
      <c r="V77" s="203">
        <f t="shared" si="107"/>
        <v>0.25</v>
      </c>
      <c r="W77" s="37" t="s">
        <v>40</v>
      </c>
      <c r="X77" s="202">
        <f t="shared" si="98"/>
        <v>40</v>
      </c>
      <c r="Y77" s="201">
        <f t="shared" si="99"/>
        <v>35</v>
      </c>
      <c r="Z77" s="61">
        <f t="shared" si="108"/>
        <v>26.588000000000001</v>
      </c>
      <c r="AA77" s="262">
        <f t="shared" si="109"/>
        <v>1.5999999999999999</v>
      </c>
      <c r="AB77" s="262">
        <f t="shared" si="110"/>
        <v>2</v>
      </c>
      <c r="AC77" s="262">
        <f t="shared" si="111"/>
        <v>29.788</v>
      </c>
      <c r="AD77" s="262">
        <f t="shared" si="112"/>
        <v>30.588000000000001</v>
      </c>
      <c r="AE77" s="61">
        <v>0</v>
      </c>
      <c r="AF77" s="271">
        <f t="shared" si="113"/>
        <v>1078.7437150000001</v>
      </c>
      <c r="AG77" s="268">
        <f t="shared" si="85"/>
        <v>216.41551635699068</v>
      </c>
      <c r="AH77" s="267">
        <f t="shared" si="114"/>
        <v>38.275594095011243</v>
      </c>
      <c r="AI77" s="271">
        <f t="shared" si="100"/>
        <v>274.4758475047737</v>
      </c>
      <c r="AJ77" s="262">
        <f t="shared" si="115"/>
        <v>236.53041035781061</v>
      </c>
      <c r="AK77" s="262">
        <f t="shared" si="116"/>
        <v>276.62050040494103</v>
      </c>
      <c r="AL77" s="61">
        <f t="shared" si="117"/>
        <v>2121.0615837195273</v>
      </c>
      <c r="AM77" s="265">
        <f t="shared" si="86"/>
        <v>0</v>
      </c>
      <c r="AN77" s="326">
        <f t="shared" si="87"/>
        <v>1094.92</v>
      </c>
      <c r="AO77" s="326">
        <f t="shared" si="88"/>
        <v>223.34</v>
      </c>
      <c r="AP77" s="326">
        <f t="shared" si="89"/>
        <v>39.5</v>
      </c>
      <c r="AQ77" s="326">
        <f t="shared" si="90"/>
        <v>283.26</v>
      </c>
      <c r="AR77" s="326">
        <f t="shared" si="91"/>
        <v>243.63</v>
      </c>
      <c r="AS77" s="326">
        <f t="shared" si="92"/>
        <v>285.47000000000003</v>
      </c>
    </row>
    <row r="78" spans="1:45" s="207" customFormat="1" outlineLevel="2" x14ac:dyDescent="0.25">
      <c r="A78" s="318"/>
      <c r="B78" s="357" t="str">
        <f t="shared" si="101"/>
        <v>Кабель ВБШв 5*35мк (N, PE) - 1 ГОСТ 31996-2012</v>
      </c>
      <c r="C78" s="390">
        <v>5</v>
      </c>
      <c r="D78" s="200" t="s">
        <v>40</v>
      </c>
      <c r="E78" s="273">
        <v>35</v>
      </c>
      <c r="F78" s="275" t="str">
        <f t="shared" si="102"/>
        <v>мк</v>
      </c>
      <c r="G78" s="274">
        <v>7</v>
      </c>
      <c r="H78" s="37" t="s">
        <v>40</v>
      </c>
      <c r="I78" s="256">
        <v>2.5499999999999998</v>
      </c>
      <c r="J78" s="38">
        <v>33.44</v>
      </c>
      <c r="K78" s="262">
        <v>6.95</v>
      </c>
      <c r="L78" s="15">
        <f t="shared" si="94"/>
        <v>1.07</v>
      </c>
      <c r="M78" s="61">
        <f t="shared" si="103"/>
        <v>1.3</v>
      </c>
      <c r="N78" s="61">
        <f t="shared" si="95"/>
        <v>9.09</v>
      </c>
      <c r="O78" s="61">
        <f t="shared" si="96"/>
        <v>9.5500000000000007</v>
      </c>
      <c r="P78" s="61">
        <f t="shared" si="83"/>
        <v>25.785000000000004</v>
      </c>
      <c r="Q78" s="61">
        <f t="shared" si="104"/>
        <v>6.7</v>
      </c>
      <c r="R78" s="61">
        <f t="shared" si="97"/>
        <v>0.6</v>
      </c>
      <c r="S78" s="61">
        <f t="shared" si="105"/>
        <v>1.6</v>
      </c>
      <c r="T78" s="61">
        <f t="shared" si="84"/>
        <v>28.985000000000003</v>
      </c>
      <c r="U78" s="201">
        <f t="shared" si="106"/>
        <v>2</v>
      </c>
      <c r="V78" s="203">
        <f t="shared" si="107"/>
        <v>0.25</v>
      </c>
      <c r="W78" s="37" t="s">
        <v>40</v>
      </c>
      <c r="X78" s="202">
        <f t="shared" si="98"/>
        <v>40</v>
      </c>
      <c r="Y78" s="201">
        <f t="shared" si="99"/>
        <v>35</v>
      </c>
      <c r="Z78" s="61">
        <f t="shared" si="108"/>
        <v>29.985000000000003</v>
      </c>
      <c r="AA78" s="262">
        <f t="shared" si="109"/>
        <v>1.5999999999999999</v>
      </c>
      <c r="AB78" s="262">
        <f t="shared" si="110"/>
        <v>2</v>
      </c>
      <c r="AC78" s="262">
        <f t="shared" si="111"/>
        <v>33.185000000000002</v>
      </c>
      <c r="AD78" s="262">
        <f t="shared" si="112"/>
        <v>33.984999999999999</v>
      </c>
      <c r="AE78" s="61">
        <v>0</v>
      </c>
      <c r="AF78" s="271">
        <f t="shared" si="113"/>
        <v>1496.812856</v>
      </c>
      <c r="AG78" s="268">
        <f t="shared" si="85"/>
        <v>250.05994537047246</v>
      </c>
      <c r="AH78" s="267">
        <f t="shared" si="114"/>
        <v>49.359132976876033</v>
      </c>
      <c r="AI78" s="271">
        <f t="shared" si="100"/>
        <v>353.44250927357092</v>
      </c>
      <c r="AJ78" s="262">
        <f t="shared" si="115"/>
        <v>267.32977420270032</v>
      </c>
      <c r="AK78" s="262">
        <f t="shared" si="116"/>
        <v>309.49023035721416</v>
      </c>
      <c r="AL78" s="61">
        <f t="shared" si="117"/>
        <v>2726.4944481808334</v>
      </c>
      <c r="AM78" s="265">
        <f t="shared" si="86"/>
        <v>0</v>
      </c>
      <c r="AN78" s="326">
        <f t="shared" si="87"/>
        <v>1519.27</v>
      </c>
      <c r="AO78" s="326">
        <f t="shared" si="88"/>
        <v>258.06</v>
      </c>
      <c r="AP78" s="326">
        <f t="shared" si="89"/>
        <v>50.94</v>
      </c>
      <c r="AQ78" s="326">
        <f t="shared" si="90"/>
        <v>364.75</v>
      </c>
      <c r="AR78" s="326">
        <f t="shared" si="91"/>
        <v>275.35000000000002</v>
      </c>
      <c r="AS78" s="326">
        <f t="shared" si="92"/>
        <v>319.39</v>
      </c>
    </row>
    <row r="79" spans="1:45" s="207" customFormat="1" outlineLevel="2" x14ac:dyDescent="0.25">
      <c r="A79" s="318"/>
      <c r="B79" s="357" t="str">
        <f t="shared" si="101"/>
        <v>Кабель ВБШв 5*50мк (N, PE) - 1 ГОСТ 31996-2012</v>
      </c>
      <c r="C79" s="390">
        <v>5</v>
      </c>
      <c r="D79" s="200" t="s">
        <v>40</v>
      </c>
      <c r="E79" s="273">
        <v>50</v>
      </c>
      <c r="F79" s="275" t="str">
        <f t="shared" si="102"/>
        <v>мк</v>
      </c>
      <c r="G79" s="274">
        <v>7</v>
      </c>
      <c r="H79" s="37" t="s">
        <v>40</v>
      </c>
      <c r="I79" s="256">
        <v>3</v>
      </c>
      <c r="J79" s="38">
        <v>45.28</v>
      </c>
      <c r="K79" s="262">
        <v>8</v>
      </c>
      <c r="L79" s="15">
        <f t="shared" si="94"/>
        <v>1.25</v>
      </c>
      <c r="M79" s="61">
        <f t="shared" si="103"/>
        <v>1.5</v>
      </c>
      <c r="N79" s="61">
        <f t="shared" si="95"/>
        <v>10.5</v>
      </c>
      <c r="O79" s="61">
        <f t="shared" si="96"/>
        <v>11</v>
      </c>
      <c r="P79" s="61">
        <f t="shared" si="83"/>
        <v>29.700000000000003</v>
      </c>
      <c r="Q79" s="61">
        <f t="shared" si="104"/>
        <v>7.7</v>
      </c>
      <c r="R79" s="61">
        <f t="shared" si="97"/>
        <v>0.6</v>
      </c>
      <c r="S79" s="61">
        <f t="shared" si="105"/>
        <v>1.6</v>
      </c>
      <c r="T79" s="61">
        <f t="shared" si="84"/>
        <v>32.900000000000006</v>
      </c>
      <c r="U79" s="201">
        <f t="shared" si="106"/>
        <v>2</v>
      </c>
      <c r="V79" s="203">
        <f t="shared" si="107"/>
        <v>0.25</v>
      </c>
      <c r="W79" s="37" t="s">
        <v>40</v>
      </c>
      <c r="X79" s="202">
        <f t="shared" si="98"/>
        <v>50</v>
      </c>
      <c r="Y79" s="201">
        <f t="shared" si="99"/>
        <v>35</v>
      </c>
      <c r="Z79" s="61">
        <f t="shared" si="108"/>
        <v>33.900000000000006</v>
      </c>
      <c r="AA79" s="262">
        <f t="shared" si="109"/>
        <v>1.77</v>
      </c>
      <c r="AB79" s="262">
        <f t="shared" si="110"/>
        <v>2.2000000000000002</v>
      </c>
      <c r="AC79" s="262">
        <f t="shared" si="111"/>
        <v>37.440000000000005</v>
      </c>
      <c r="AD79" s="262">
        <f t="shared" si="112"/>
        <v>38.300000000000004</v>
      </c>
      <c r="AE79" s="61">
        <v>0</v>
      </c>
      <c r="AF79" s="271">
        <f t="shared" si="113"/>
        <v>2026.7848720000002</v>
      </c>
      <c r="AG79" s="61">
        <f t="shared" si="85"/>
        <v>332.24747986286548</v>
      </c>
      <c r="AH79" s="267">
        <f t="shared" si="114"/>
        <v>65.192759950968593</v>
      </c>
      <c r="AI79" s="271">
        <f t="shared" si="100"/>
        <v>433.50630134655205</v>
      </c>
      <c r="AJ79" s="262">
        <f t="shared" si="115"/>
        <v>302.82565570188882</v>
      </c>
      <c r="AK79" s="262">
        <f t="shared" si="116"/>
        <v>384.23814436407628</v>
      </c>
      <c r="AL79" s="61">
        <f t="shared" si="117"/>
        <v>3544.7952132263513</v>
      </c>
      <c r="AM79" s="265">
        <f t="shared" si="86"/>
        <v>0</v>
      </c>
      <c r="AN79" s="326">
        <f t="shared" si="87"/>
        <v>2057.19</v>
      </c>
      <c r="AO79" s="326">
        <f t="shared" si="88"/>
        <v>342.88</v>
      </c>
      <c r="AP79" s="326">
        <f t="shared" si="89"/>
        <v>67.28</v>
      </c>
      <c r="AQ79" s="326">
        <f t="shared" si="90"/>
        <v>447.38</v>
      </c>
      <c r="AR79" s="326">
        <f t="shared" si="91"/>
        <v>311.91000000000003</v>
      </c>
      <c r="AS79" s="326">
        <f t="shared" si="92"/>
        <v>396.53</v>
      </c>
    </row>
    <row r="80" spans="1:45" s="207" customFormat="1" outlineLevel="1" x14ac:dyDescent="0.25">
      <c r="A80" s="359">
        <v>5</v>
      </c>
      <c r="B80" s="283"/>
      <c r="C80" s="293"/>
      <c r="D80" s="284"/>
      <c r="E80" s="287"/>
      <c r="F80" s="285"/>
      <c r="G80" s="279"/>
      <c r="H80" s="194"/>
      <c r="I80" s="193"/>
      <c r="J80" s="194"/>
      <c r="K80" s="188"/>
      <c r="L80" s="195"/>
      <c r="M80" s="61"/>
      <c r="N80" s="194"/>
      <c r="O80" s="194"/>
      <c r="P80" s="194"/>
      <c r="Q80" s="61" t="str">
        <f t="shared" si="104"/>
        <v/>
      </c>
      <c r="R80" s="194"/>
      <c r="S80" s="61" t="str">
        <f t="shared" si="105"/>
        <v/>
      </c>
      <c r="T80" s="194"/>
      <c r="U80" s="196"/>
      <c r="V80" s="203"/>
      <c r="W80" s="194"/>
      <c r="X80" s="239"/>
      <c r="Y80" s="198"/>
      <c r="Z80" s="194"/>
      <c r="AA80" s="188"/>
      <c r="AB80" s="188"/>
      <c r="AC80" s="188"/>
      <c r="AD80" s="188"/>
      <c r="AE80" s="194"/>
      <c r="AF80" s="188"/>
      <c r="AG80" s="188"/>
      <c r="AH80" s="195"/>
      <c r="AI80" s="188"/>
      <c r="AJ80" s="188"/>
      <c r="AK80" s="188"/>
      <c r="AL80" s="194"/>
    </row>
    <row r="81" spans="1:38" ht="13.5" customHeight="1" x14ac:dyDescent="0.25">
      <c r="A81" s="322" t="s">
        <v>98</v>
      </c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61"/>
      <c r="N81" s="294"/>
      <c r="O81" s="294"/>
      <c r="P81" s="294"/>
      <c r="Q81" s="61" t="str">
        <f t="shared" si="104"/>
        <v/>
      </c>
      <c r="R81" s="294"/>
      <c r="S81" s="61" t="str">
        <f t="shared" si="105"/>
        <v/>
      </c>
      <c r="T81" s="294"/>
      <c r="U81" s="294"/>
      <c r="V81" s="203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</row>
    <row r="82" spans="1:38" ht="13.5" customHeight="1" x14ac:dyDescent="0.25">
      <c r="A82" s="322"/>
      <c r="B82" s="394" t="str">
        <f t="shared" ref="B82:B100" si="118">CONCATENATE("Кабель ",$A$166," ",C82,"*",E82,F82,IF(OR(C82=2,C82=4)," (N)",IF(OR(C82=3,C82=5)," (N, PE)",""))," - 1 ГОСТ 31996-2012")</f>
        <v>Кабель АВБШв 1*16ок - 1 ГОСТ 31996-2012</v>
      </c>
      <c r="C82" s="257">
        <v>1</v>
      </c>
      <c r="D82" s="34" t="s">
        <v>40</v>
      </c>
      <c r="E82" s="289">
        <v>16</v>
      </c>
      <c r="F82" s="276" t="s">
        <v>153</v>
      </c>
      <c r="G82" s="274">
        <v>1</v>
      </c>
      <c r="H82" s="37" t="s">
        <v>40</v>
      </c>
      <c r="I82" s="256">
        <v>4.41</v>
      </c>
      <c r="J82" s="38">
        <v>15.274502021569914</v>
      </c>
      <c r="K82" s="38" t="s">
        <v>155</v>
      </c>
      <c r="L82" s="15">
        <f t="shared" ref="L82:L92" si="119">0.9*M82-0.1</f>
        <v>0.89000000000000012</v>
      </c>
      <c r="M82" s="61">
        <f t="shared" ref="M82:M92" si="120">IF(E82=1.5,0.8,IF(E82=2.5,0.8,IF(E82=4,1,IF(E82=6,1,IF(E82=10,1,IF(E82=16,1,IF(E82=25,1.2,IF(E82=35,1.2,IF(E82=50,1.4,IF(E82=70,1.4,IF(E82=95,1.6,IF(E82=120,1.6,IF(E82=150,1.8,IF(E82=185,2,IF(E82=240,2.2,IF(E82=300,2.4,IF(E82=400,2.6,IF(E82=500,2.8,IF(E82=625,2.8,IF(E82=630,2.8,IF(E82=800,2.8,IF(E82=1000,3,"неверно указано сечение жилы"))))))))))))))))))))))+0.1</f>
        <v>1.1000000000000001</v>
      </c>
      <c r="N82" s="61">
        <f t="shared" ref="N82:N92" si="121">IF(G82=1,I82+2*L82,K82+2*L82)</f>
        <v>6.19</v>
      </c>
      <c r="O82" s="61">
        <f t="shared" ref="O82:O92" si="122">IF(G82=1,I82+2*M82,K82+2*M82)</f>
        <v>6.61</v>
      </c>
      <c r="P82" s="61">
        <f t="shared" ref="P82:P92" si="123">IF(C82=1,O82*1,IF(C82=2,O82*2,IF(C82=3,O82*2.15,IF(C82=4,O82*2.41,IF(C82=5,O82*2.7,"ошибка")))))</f>
        <v>6.61</v>
      </c>
      <c r="Q82" s="61">
        <f t="shared" si="104"/>
        <v>0</v>
      </c>
      <c r="R82" s="61">
        <f t="shared" ref="R82:R92" si="124">IF(P82&lt;=25,0.5,IF(AND(P82&gt;25,P82&lt;=35),0.6,IF(AND(P82&gt;35,P82&lt;=45),0.7,IF(AND(P82&gt;45,P82&lt;=60),0.8,IF(AND(P82&gt;60,P82&lt;=80),0.9,1)))))</f>
        <v>0.5</v>
      </c>
      <c r="S82" s="61">
        <f t="shared" si="105"/>
        <v>1.4</v>
      </c>
      <c r="T82" s="61">
        <f t="shared" ref="T82:T92" si="125">P82+2*S82</f>
        <v>9.41</v>
      </c>
      <c r="U82" s="201">
        <f t="shared" si="106"/>
        <v>2</v>
      </c>
      <c r="V82" s="203">
        <f t="shared" ref="V82:V92" si="126">IF(T82&lt;=45,0.25,IF(AND(T82&gt;45,T82&lt;=70),0.5,0.8))</f>
        <v>0.25</v>
      </c>
      <c r="W82" s="37" t="s">
        <v>40</v>
      </c>
      <c r="X82" s="202">
        <f t="shared" ref="X82:X92" si="127">IF(AND(T82&gt;7,T82&lt;=10),15,IF(AND(T82&gt;10,T82&lt;=13),20,IF(AND(T82&gt;13,T82&lt;=21),30,IF(AND(T82&gt;21,T82&lt;=31),40,IF(AND(T82&gt;31,T82&lt;=70),50,IF(AND(T82&gt;70,T82&lt;=80),60,"ошибка"))))))</f>
        <v>15</v>
      </c>
      <c r="Y82" s="201">
        <f t="shared" ref="Y82:Y92" si="128">$Y$9</f>
        <v>35</v>
      </c>
      <c r="Z82" s="61">
        <f t="shared" ref="Z82:Z92" si="129">T82+2*U82*V82</f>
        <v>10.41</v>
      </c>
      <c r="AA82" s="386">
        <f t="shared" ref="AA82:AA92" si="130">0.85*AB82-0.1</f>
        <v>1.43</v>
      </c>
      <c r="AB82" s="386">
        <f t="shared" ref="AB82:AB92" si="131">IF(Z82&lt;=20,1.8,IF(AND(Z82&gt;20,Z82&lt;=30),2,IF(AND(Z82&gt;30,Z82&lt;=40),2.2,IF(AND(Z82&gt;40,Z82&lt;=50),2.4,IF(AND(Z82&gt;50,Z82&lt;=60),2.6,3.1)))))</f>
        <v>1.8</v>
      </c>
      <c r="AC82" s="386">
        <f t="shared" ref="AC82:AC92" si="132">Z82+2*AA82</f>
        <v>13.27</v>
      </c>
      <c r="AD82" s="386">
        <f t="shared" ref="AD82:AD92" si="133">Z82+2*AB82</f>
        <v>14.01</v>
      </c>
      <c r="AE82" s="61">
        <f t="shared" ref="AE82:AE92" si="134">IF(G82=1,PI()*I82^2/4,J82)*$AE$9*C82*IF(C82&gt;1,1.007,1)</f>
        <v>41.241155458238772</v>
      </c>
      <c r="AF82" s="386">
        <v>0</v>
      </c>
      <c r="AG82" s="61">
        <f t="shared" ref="AG82:AG92" si="135">PI()*(IF(G82=1,I82,K82)+M82)*M82*$AG$9*C82*IF(C82&gt;1,1.007,1)*IF(G82=1,1,(IF(E82&gt;=4,1.1,1.07)))</f>
        <v>25.515198718366367</v>
      </c>
      <c r="AH82" s="15">
        <f t="shared" ref="AH82:AH92" si="136">PI()*POWER(Q82,2)/4*$AH$9</f>
        <v>0</v>
      </c>
      <c r="AI82" s="386">
        <f t="shared" ref="AI82:AI92" si="137">IF(C82&gt;1,(PI()*T82^2/4-PI()*O82^2*(C82+2)/8-C82*(SIN(PI()*(C82-2)/C82))/2*(P82/2-O82/2)^2)*$AI$9,PI()*(P82+S82)*S82*1.07*$AI$9)</f>
        <v>52.774270385999195</v>
      </c>
      <c r="AJ82" s="386">
        <f t="shared" ref="AJ82:AJ92" si="138">PI()*(T82+U82*V82)*U82*V82*$AJ$9*ROUND(100/(100+Y82),2)</f>
        <v>89.85036670675801</v>
      </c>
      <c r="AK82" s="386">
        <f t="shared" ref="AK82:AK92" si="139">PI()*(Z82+AB82)*AB82*1.1*$AK$9</f>
        <v>106.3307219445186</v>
      </c>
      <c r="AL82" s="61">
        <f t="shared" ref="AL82:AL92" si="140">SUM(AE82:AK82)</f>
        <v>315.71171321388096</v>
      </c>
    </row>
    <row r="83" spans="1:38" x14ac:dyDescent="0.25">
      <c r="A83" s="322"/>
      <c r="B83" s="394" t="str">
        <f t="shared" si="118"/>
        <v>Кабель АВБШв 1*16мк - 1 ГОСТ 31996-2012</v>
      </c>
      <c r="C83" s="257">
        <v>1</v>
      </c>
      <c r="D83" s="34" t="s">
        <v>40</v>
      </c>
      <c r="E83" s="289">
        <v>16</v>
      </c>
      <c r="F83" s="276" t="s">
        <v>154</v>
      </c>
      <c r="G83" s="274">
        <v>7</v>
      </c>
      <c r="H83" s="37" t="s">
        <v>40</v>
      </c>
      <c r="I83" s="256">
        <v>1.76</v>
      </c>
      <c r="J83" s="38">
        <v>15.11</v>
      </c>
      <c r="K83" s="38">
        <v>4.6399999999999997</v>
      </c>
      <c r="L83" s="15">
        <f t="shared" si="119"/>
        <v>0.89000000000000012</v>
      </c>
      <c r="M83" s="61">
        <f t="shared" si="120"/>
        <v>1.1000000000000001</v>
      </c>
      <c r="N83" s="61">
        <f t="shared" si="121"/>
        <v>6.42</v>
      </c>
      <c r="O83" s="61">
        <f t="shared" si="122"/>
        <v>6.84</v>
      </c>
      <c r="P83" s="61">
        <f t="shared" si="123"/>
        <v>6.84</v>
      </c>
      <c r="Q83" s="61">
        <f t="shared" si="104"/>
        <v>0</v>
      </c>
      <c r="R83" s="61">
        <f t="shared" si="124"/>
        <v>0.5</v>
      </c>
      <c r="S83" s="61">
        <f t="shared" si="105"/>
        <v>1.4</v>
      </c>
      <c r="T83" s="61">
        <f t="shared" si="125"/>
        <v>9.64</v>
      </c>
      <c r="U83" s="201">
        <f t="shared" si="106"/>
        <v>2</v>
      </c>
      <c r="V83" s="203">
        <f t="shared" si="126"/>
        <v>0.25</v>
      </c>
      <c r="W83" s="37" t="s">
        <v>40</v>
      </c>
      <c r="X83" s="202">
        <f t="shared" si="127"/>
        <v>15</v>
      </c>
      <c r="Y83" s="201">
        <f t="shared" si="128"/>
        <v>35</v>
      </c>
      <c r="Z83" s="61">
        <f t="shared" si="129"/>
        <v>10.64</v>
      </c>
      <c r="AA83" s="386">
        <f t="shared" si="130"/>
        <v>1.43</v>
      </c>
      <c r="AB83" s="386">
        <f t="shared" si="131"/>
        <v>1.8</v>
      </c>
      <c r="AC83" s="386">
        <f t="shared" si="132"/>
        <v>13.5</v>
      </c>
      <c r="AD83" s="386">
        <f t="shared" si="133"/>
        <v>14.24</v>
      </c>
      <c r="AE83" s="61">
        <f t="shared" si="134"/>
        <v>40.797000000000004</v>
      </c>
      <c r="AF83" s="386">
        <v>0</v>
      </c>
      <c r="AG83" s="61">
        <f t="shared" si="135"/>
        <v>29.238287605765024</v>
      </c>
      <c r="AH83" s="15">
        <f t="shared" si="136"/>
        <v>0</v>
      </c>
      <c r="AI83" s="386">
        <f t="shared" si="137"/>
        <v>54.289636452014157</v>
      </c>
      <c r="AJ83" s="386">
        <f t="shared" si="138"/>
        <v>91.935693078357858</v>
      </c>
      <c r="AK83" s="386">
        <f t="shared" si="139"/>
        <v>108.33367575674131</v>
      </c>
      <c r="AL83" s="61">
        <f t="shared" si="140"/>
        <v>324.59429289287834</v>
      </c>
    </row>
    <row r="84" spans="1:38" x14ac:dyDescent="0.25">
      <c r="A84" s="322"/>
      <c r="B84" s="394" t="str">
        <f t="shared" si="118"/>
        <v>Кабель АВБШв 1*25ок - 1 ГОСТ 31996-2012</v>
      </c>
      <c r="C84" s="257">
        <v>1</v>
      </c>
      <c r="D84" s="34" t="s">
        <v>40</v>
      </c>
      <c r="E84" s="289">
        <v>25</v>
      </c>
      <c r="F84" s="276" t="s">
        <v>153</v>
      </c>
      <c r="G84" s="274">
        <v>1</v>
      </c>
      <c r="H84" s="37" t="s">
        <v>40</v>
      </c>
      <c r="I84" s="256">
        <v>5.54</v>
      </c>
      <c r="J84" s="38">
        <v>24.105126271729123</v>
      </c>
      <c r="K84" s="38" t="s">
        <v>156</v>
      </c>
      <c r="L84" s="15">
        <f t="shared" si="119"/>
        <v>1.07</v>
      </c>
      <c r="M84" s="61">
        <f t="shared" si="120"/>
        <v>1.3</v>
      </c>
      <c r="N84" s="61">
        <f t="shared" si="121"/>
        <v>7.68</v>
      </c>
      <c r="O84" s="61">
        <f t="shared" si="122"/>
        <v>8.14</v>
      </c>
      <c r="P84" s="61">
        <f t="shared" si="123"/>
        <v>8.14</v>
      </c>
      <c r="Q84" s="61">
        <f t="shared" si="104"/>
        <v>0</v>
      </c>
      <c r="R84" s="61">
        <f t="shared" si="124"/>
        <v>0.5</v>
      </c>
      <c r="S84" s="61">
        <f t="shared" si="105"/>
        <v>1.4</v>
      </c>
      <c r="T84" s="61">
        <f t="shared" si="125"/>
        <v>10.940000000000001</v>
      </c>
      <c r="U84" s="201">
        <f t="shared" si="106"/>
        <v>2</v>
      </c>
      <c r="V84" s="203">
        <f t="shared" si="126"/>
        <v>0.25</v>
      </c>
      <c r="W84" s="37" t="s">
        <v>40</v>
      </c>
      <c r="X84" s="202">
        <f t="shared" si="127"/>
        <v>20</v>
      </c>
      <c r="Y84" s="201">
        <f t="shared" si="128"/>
        <v>35</v>
      </c>
      <c r="Z84" s="61">
        <f t="shared" si="129"/>
        <v>11.940000000000001</v>
      </c>
      <c r="AA84" s="386">
        <f t="shared" si="130"/>
        <v>1.43</v>
      </c>
      <c r="AB84" s="386">
        <f t="shared" si="131"/>
        <v>1.8</v>
      </c>
      <c r="AC84" s="386">
        <f t="shared" si="132"/>
        <v>14.8</v>
      </c>
      <c r="AD84" s="386">
        <f t="shared" si="133"/>
        <v>15.540000000000001</v>
      </c>
      <c r="AE84" s="61">
        <f t="shared" si="134"/>
        <v>65.08384093366864</v>
      </c>
      <c r="AF84" s="386">
        <v>0</v>
      </c>
      <c r="AG84" s="61">
        <f t="shared" si="135"/>
        <v>37.432956113465394</v>
      </c>
      <c r="AH84" s="15">
        <f t="shared" si="136"/>
        <v>0</v>
      </c>
      <c r="AI84" s="386">
        <f t="shared" si="137"/>
        <v>62.854748999055232</v>
      </c>
      <c r="AJ84" s="386">
        <f t="shared" si="138"/>
        <v>103.72232039609605</v>
      </c>
      <c r="AK84" s="386">
        <f t="shared" si="139"/>
        <v>119.6547190432175</v>
      </c>
      <c r="AL84" s="61">
        <f t="shared" si="140"/>
        <v>388.74858548550282</v>
      </c>
    </row>
    <row r="85" spans="1:38" x14ac:dyDescent="0.25">
      <c r="A85" s="322"/>
      <c r="B85" s="394" t="str">
        <f t="shared" si="118"/>
        <v>Кабель АВБШв 1*25мк - 1 ГОСТ 31996-2012</v>
      </c>
      <c r="C85" s="257">
        <v>1</v>
      </c>
      <c r="D85" s="34" t="s">
        <v>40</v>
      </c>
      <c r="E85" s="289">
        <v>25</v>
      </c>
      <c r="F85" s="276" t="s">
        <v>154</v>
      </c>
      <c r="G85" s="274">
        <v>19</v>
      </c>
      <c r="H85" s="37" t="s">
        <v>40</v>
      </c>
      <c r="I85" s="256">
        <v>1.3</v>
      </c>
      <c r="J85" s="38">
        <v>24.05</v>
      </c>
      <c r="K85" s="38">
        <v>5.84</v>
      </c>
      <c r="L85" s="15">
        <f t="shared" si="119"/>
        <v>1.07</v>
      </c>
      <c r="M85" s="61">
        <f t="shared" si="120"/>
        <v>1.3</v>
      </c>
      <c r="N85" s="61">
        <f t="shared" si="121"/>
        <v>7.98</v>
      </c>
      <c r="O85" s="61">
        <f t="shared" si="122"/>
        <v>8.44</v>
      </c>
      <c r="P85" s="61">
        <f t="shared" si="123"/>
        <v>8.44</v>
      </c>
      <c r="Q85" s="61">
        <f t="shared" si="104"/>
        <v>0</v>
      </c>
      <c r="R85" s="61">
        <f t="shared" si="124"/>
        <v>0.5</v>
      </c>
      <c r="S85" s="61">
        <f t="shared" si="105"/>
        <v>1.4</v>
      </c>
      <c r="T85" s="61">
        <f t="shared" si="125"/>
        <v>11.239999999999998</v>
      </c>
      <c r="U85" s="201">
        <f t="shared" si="106"/>
        <v>2</v>
      </c>
      <c r="V85" s="203">
        <f t="shared" si="126"/>
        <v>0.25</v>
      </c>
      <c r="W85" s="37" t="s">
        <v>40</v>
      </c>
      <c r="X85" s="202">
        <f t="shared" si="127"/>
        <v>20</v>
      </c>
      <c r="Y85" s="201">
        <f t="shared" si="128"/>
        <v>35</v>
      </c>
      <c r="Z85" s="61">
        <f t="shared" si="129"/>
        <v>12.239999999999998</v>
      </c>
      <c r="AA85" s="386">
        <f t="shared" si="130"/>
        <v>1.43</v>
      </c>
      <c r="AB85" s="386">
        <f t="shared" si="131"/>
        <v>1.8</v>
      </c>
      <c r="AC85" s="386">
        <f t="shared" si="132"/>
        <v>15.099999999999998</v>
      </c>
      <c r="AD85" s="386">
        <f t="shared" si="133"/>
        <v>15.839999999999998</v>
      </c>
      <c r="AE85" s="61">
        <f t="shared" si="134"/>
        <v>64.935000000000002</v>
      </c>
      <c r="AF85" s="386">
        <v>0</v>
      </c>
      <c r="AG85" s="61">
        <f t="shared" si="135"/>
        <v>42.982227677654556</v>
      </c>
      <c r="AH85" s="15">
        <f t="shared" si="136"/>
        <v>0</v>
      </c>
      <c r="AI85" s="386">
        <f t="shared" si="137"/>
        <v>64.83131343298777</v>
      </c>
      <c r="AJ85" s="386">
        <f t="shared" si="138"/>
        <v>106.44231131557406</v>
      </c>
      <c r="AK85" s="386">
        <f t="shared" si="139"/>
        <v>122.26726749394275</v>
      </c>
      <c r="AL85" s="61">
        <f t="shared" si="140"/>
        <v>401.45811992015916</v>
      </c>
    </row>
    <row r="86" spans="1:38" x14ac:dyDescent="0.25">
      <c r="A86" s="322"/>
      <c r="B86" s="394" t="str">
        <f t="shared" si="118"/>
        <v>Кабель АВБШв 1*35ок - 1 ГОСТ 31996-2012</v>
      </c>
      <c r="C86" s="257">
        <v>1</v>
      </c>
      <c r="D86" s="34" t="s">
        <v>40</v>
      </c>
      <c r="E86" s="289">
        <v>35</v>
      </c>
      <c r="F86" s="276" t="s">
        <v>153</v>
      </c>
      <c r="G86" s="274">
        <v>1</v>
      </c>
      <c r="H86" s="37" t="s">
        <v>40</v>
      </c>
      <c r="I86" s="256">
        <v>6.51</v>
      </c>
      <c r="J86" s="38">
        <v>33.285252704600197</v>
      </c>
      <c r="K86" s="38" t="s">
        <v>157</v>
      </c>
      <c r="L86" s="15">
        <f t="shared" si="119"/>
        <v>1.07</v>
      </c>
      <c r="M86" s="61">
        <f t="shared" si="120"/>
        <v>1.3</v>
      </c>
      <c r="N86" s="61">
        <f t="shared" si="121"/>
        <v>8.65</v>
      </c>
      <c r="O86" s="61">
        <f t="shared" si="122"/>
        <v>9.11</v>
      </c>
      <c r="P86" s="61">
        <f t="shared" si="123"/>
        <v>9.11</v>
      </c>
      <c r="Q86" s="61">
        <f t="shared" si="104"/>
        <v>0</v>
      </c>
      <c r="R86" s="61">
        <f t="shared" si="124"/>
        <v>0.5</v>
      </c>
      <c r="S86" s="61">
        <f t="shared" si="105"/>
        <v>1.4</v>
      </c>
      <c r="T86" s="61">
        <f t="shared" si="125"/>
        <v>11.91</v>
      </c>
      <c r="U86" s="201">
        <f t="shared" si="106"/>
        <v>2</v>
      </c>
      <c r="V86" s="203">
        <f t="shared" si="126"/>
        <v>0.25</v>
      </c>
      <c r="W86" s="37" t="s">
        <v>40</v>
      </c>
      <c r="X86" s="202">
        <f t="shared" si="127"/>
        <v>20</v>
      </c>
      <c r="Y86" s="201">
        <f t="shared" si="128"/>
        <v>35</v>
      </c>
      <c r="Z86" s="61">
        <f t="shared" si="129"/>
        <v>12.91</v>
      </c>
      <c r="AA86" s="386">
        <f t="shared" si="130"/>
        <v>1.43</v>
      </c>
      <c r="AB86" s="386">
        <f t="shared" si="131"/>
        <v>1.8</v>
      </c>
      <c r="AC86" s="386">
        <f t="shared" si="132"/>
        <v>15.77</v>
      </c>
      <c r="AD86" s="386">
        <f t="shared" si="133"/>
        <v>16.510000000000002</v>
      </c>
      <c r="AE86" s="61">
        <f t="shared" si="134"/>
        <v>89.870182302420531</v>
      </c>
      <c r="AF86" s="386">
        <v>0</v>
      </c>
      <c r="AG86" s="61">
        <f t="shared" si="135"/>
        <v>42.741430883942208</v>
      </c>
      <c r="AH86" s="15">
        <f t="shared" si="136"/>
        <v>0</v>
      </c>
      <c r="AI86" s="386">
        <f t="shared" si="137"/>
        <v>69.245640668770463</v>
      </c>
      <c r="AJ86" s="386">
        <f t="shared" si="138"/>
        <v>112.51695770240836</v>
      </c>
      <c r="AK86" s="386">
        <f t="shared" si="139"/>
        <v>128.10195903389584</v>
      </c>
      <c r="AL86" s="61">
        <f t="shared" si="140"/>
        <v>442.47617059143738</v>
      </c>
    </row>
    <row r="87" spans="1:38" x14ac:dyDescent="0.25">
      <c r="A87" s="322"/>
      <c r="B87" s="394" t="str">
        <f t="shared" si="118"/>
        <v>Кабель АВБШв 1*35мк - 1 ГОСТ 31996-2012</v>
      </c>
      <c r="C87" s="257">
        <v>1</v>
      </c>
      <c r="D87" s="34" t="s">
        <v>40</v>
      </c>
      <c r="E87" s="289">
        <v>35</v>
      </c>
      <c r="F87" s="276" t="s">
        <v>154</v>
      </c>
      <c r="G87" s="274">
        <v>7</v>
      </c>
      <c r="H87" s="37" t="s">
        <v>40</v>
      </c>
      <c r="I87" s="256">
        <v>2.5499999999999998</v>
      </c>
      <c r="J87" s="38">
        <v>33.24</v>
      </c>
      <c r="K87" s="38">
        <v>6.95</v>
      </c>
      <c r="L87" s="15">
        <f t="shared" si="119"/>
        <v>1.07</v>
      </c>
      <c r="M87" s="61">
        <f t="shared" si="120"/>
        <v>1.3</v>
      </c>
      <c r="N87" s="61">
        <f t="shared" si="121"/>
        <v>9.09</v>
      </c>
      <c r="O87" s="61">
        <f t="shared" si="122"/>
        <v>9.5500000000000007</v>
      </c>
      <c r="P87" s="61">
        <f t="shared" si="123"/>
        <v>9.5500000000000007</v>
      </c>
      <c r="Q87" s="61">
        <f t="shared" si="104"/>
        <v>0</v>
      </c>
      <c r="R87" s="61">
        <f t="shared" si="124"/>
        <v>0.5</v>
      </c>
      <c r="S87" s="61">
        <f t="shared" si="105"/>
        <v>1.4</v>
      </c>
      <c r="T87" s="61">
        <f t="shared" si="125"/>
        <v>12.350000000000001</v>
      </c>
      <c r="U87" s="201">
        <f t="shared" si="106"/>
        <v>2</v>
      </c>
      <c r="V87" s="203">
        <f t="shared" si="126"/>
        <v>0.25</v>
      </c>
      <c r="W87" s="37" t="s">
        <v>40</v>
      </c>
      <c r="X87" s="202">
        <f t="shared" si="127"/>
        <v>20</v>
      </c>
      <c r="Y87" s="201">
        <f t="shared" si="128"/>
        <v>35</v>
      </c>
      <c r="Z87" s="61">
        <f t="shared" si="129"/>
        <v>13.350000000000001</v>
      </c>
      <c r="AA87" s="386">
        <f t="shared" si="130"/>
        <v>1.43</v>
      </c>
      <c r="AB87" s="386">
        <f t="shared" si="131"/>
        <v>1.8</v>
      </c>
      <c r="AC87" s="386">
        <f t="shared" si="132"/>
        <v>16.21</v>
      </c>
      <c r="AD87" s="386">
        <f t="shared" si="133"/>
        <v>16.950000000000003</v>
      </c>
      <c r="AE87" s="61">
        <f t="shared" si="134"/>
        <v>89.748000000000005</v>
      </c>
      <c r="AF87" s="386">
        <v>0</v>
      </c>
      <c r="AG87" s="61">
        <f t="shared" si="135"/>
        <v>49.664338703172291</v>
      </c>
      <c r="AH87" s="15">
        <f t="shared" si="136"/>
        <v>0</v>
      </c>
      <c r="AI87" s="386">
        <f t="shared" si="137"/>
        <v>72.144601838538236</v>
      </c>
      <c r="AJ87" s="386">
        <f t="shared" si="138"/>
        <v>116.50627771764286</v>
      </c>
      <c r="AK87" s="386">
        <f t="shared" si="139"/>
        <v>131.93369676162624</v>
      </c>
      <c r="AL87" s="61">
        <f t="shared" si="140"/>
        <v>459.9969150209796</v>
      </c>
    </row>
    <row r="88" spans="1:38" x14ac:dyDescent="0.25">
      <c r="A88" s="322"/>
      <c r="B88" s="394" t="str">
        <f t="shared" si="118"/>
        <v>Кабель АВБШв 1*50ок - 1 ГОСТ 31996-2012</v>
      </c>
      <c r="C88" s="257">
        <v>1</v>
      </c>
      <c r="D88" s="34" t="s">
        <v>40</v>
      </c>
      <c r="E88" s="289">
        <v>50</v>
      </c>
      <c r="F88" s="276" t="s">
        <v>153</v>
      </c>
      <c r="G88" s="274">
        <v>1</v>
      </c>
      <c r="H88" s="37" t="s">
        <v>40</v>
      </c>
      <c r="I88" s="256">
        <v>7.58</v>
      </c>
      <c r="J88" s="38">
        <v>45.126151035429146</v>
      </c>
      <c r="K88" s="38" t="s">
        <v>158</v>
      </c>
      <c r="L88" s="15">
        <f t="shared" si="119"/>
        <v>1.25</v>
      </c>
      <c r="M88" s="61">
        <f t="shared" si="120"/>
        <v>1.5</v>
      </c>
      <c r="N88" s="61">
        <f t="shared" si="121"/>
        <v>10.08</v>
      </c>
      <c r="O88" s="61">
        <f t="shared" si="122"/>
        <v>10.58</v>
      </c>
      <c r="P88" s="61">
        <f t="shared" si="123"/>
        <v>10.58</v>
      </c>
      <c r="Q88" s="61">
        <f t="shared" si="104"/>
        <v>0</v>
      </c>
      <c r="R88" s="61">
        <f t="shared" si="124"/>
        <v>0.5</v>
      </c>
      <c r="S88" s="61">
        <f t="shared" si="105"/>
        <v>1.4</v>
      </c>
      <c r="T88" s="61">
        <f t="shared" si="125"/>
        <v>13.379999999999999</v>
      </c>
      <c r="U88" s="201">
        <f t="shared" si="106"/>
        <v>2</v>
      </c>
      <c r="V88" s="203">
        <f t="shared" si="126"/>
        <v>0.25</v>
      </c>
      <c r="W88" s="37" t="s">
        <v>40</v>
      </c>
      <c r="X88" s="202">
        <f t="shared" si="127"/>
        <v>30</v>
      </c>
      <c r="Y88" s="201">
        <f t="shared" si="128"/>
        <v>35</v>
      </c>
      <c r="Z88" s="61">
        <f t="shared" si="129"/>
        <v>14.379999999999999</v>
      </c>
      <c r="AA88" s="386">
        <f t="shared" si="130"/>
        <v>1.43</v>
      </c>
      <c r="AB88" s="386">
        <f t="shared" si="131"/>
        <v>1.8</v>
      </c>
      <c r="AC88" s="386">
        <f t="shared" si="132"/>
        <v>17.239999999999998</v>
      </c>
      <c r="AD88" s="386">
        <f t="shared" si="133"/>
        <v>17.98</v>
      </c>
      <c r="AE88" s="61">
        <f t="shared" si="134"/>
        <v>121.8406077956587</v>
      </c>
      <c r="AF88" s="386">
        <v>0</v>
      </c>
      <c r="AG88" s="61">
        <f t="shared" si="135"/>
        <v>57.336579202136598</v>
      </c>
      <c r="AH88" s="15">
        <f t="shared" si="136"/>
        <v>0</v>
      </c>
      <c r="AI88" s="386">
        <f t="shared" si="137"/>
        <v>78.930806395040008</v>
      </c>
      <c r="AJ88" s="386">
        <f t="shared" si="138"/>
        <v>125.84491320785077</v>
      </c>
      <c r="AK88" s="386">
        <f t="shared" si="139"/>
        <v>140.90344644244968</v>
      </c>
      <c r="AL88" s="61">
        <f t="shared" si="140"/>
        <v>524.85635304313575</v>
      </c>
    </row>
    <row r="89" spans="1:38" x14ac:dyDescent="0.25">
      <c r="A89" s="322"/>
      <c r="B89" s="394" t="str">
        <f t="shared" si="118"/>
        <v>Кабель АВБШв 1*50мк - 1 ГОСТ 31996-2012</v>
      </c>
      <c r="C89" s="257">
        <v>1</v>
      </c>
      <c r="D89" s="34" t="s">
        <v>40</v>
      </c>
      <c r="E89" s="289">
        <v>50</v>
      </c>
      <c r="F89" s="276" t="s">
        <v>154</v>
      </c>
      <c r="G89" s="274">
        <v>7</v>
      </c>
      <c r="H89" s="37" t="s">
        <v>40</v>
      </c>
      <c r="I89" s="256">
        <v>3</v>
      </c>
      <c r="J89" s="38">
        <v>45.03</v>
      </c>
      <c r="K89" s="38">
        <v>8</v>
      </c>
      <c r="L89" s="15">
        <f t="shared" si="119"/>
        <v>1.25</v>
      </c>
      <c r="M89" s="61">
        <f t="shared" si="120"/>
        <v>1.5</v>
      </c>
      <c r="N89" s="61">
        <f t="shared" si="121"/>
        <v>10.5</v>
      </c>
      <c r="O89" s="61">
        <f t="shared" si="122"/>
        <v>11</v>
      </c>
      <c r="P89" s="61">
        <f t="shared" si="123"/>
        <v>11</v>
      </c>
      <c r="Q89" s="61">
        <f t="shared" si="104"/>
        <v>0</v>
      </c>
      <c r="R89" s="61">
        <f t="shared" si="124"/>
        <v>0.5</v>
      </c>
      <c r="S89" s="61">
        <f t="shared" si="105"/>
        <v>1.4</v>
      </c>
      <c r="T89" s="61">
        <f t="shared" si="125"/>
        <v>13.8</v>
      </c>
      <c r="U89" s="201">
        <f t="shared" si="106"/>
        <v>2</v>
      </c>
      <c r="V89" s="203">
        <f t="shared" si="126"/>
        <v>0.25</v>
      </c>
      <c r="W89" s="37" t="s">
        <v>40</v>
      </c>
      <c r="X89" s="202">
        <f t="shared" si="127"/>
        <v>30</v>
      </c>
      <c r="Y89" s="201">
        <f t="shared" si="128"/>
        <v>35</v>
      </c>
      <c r="Z89" s="61">
        <f t="shared" si="129"/>
        <v>14.8</v>
      </c>
      <c r="AA89" s="386">
        <f t="shared" si="130"/>
        <v>1.43</v>
      </c>
      <c r="AB89" s="386">
        <f t="shared" si="131"/>
        <v>1.8</v>
      </c>
      <c r="AC89" s="386">
        <f t="shared" si="132"/>
        <v>17.66</v>
      </c>
      <c r="AD89" s="386">
        <f t="shared" si="133"/>
        <v>18.400000000000002</v>
      </c>
      <c r="AE89" s="61">
        <f t="shared" si="134"/>
        <v>121.58100000000002</v>
      </c>
      <c r="AF89" s="386">
        <v>0</v>
      </c>
      <c r="AG89" s="61">
        <f t="shared" si="135"/>
        <v>65.987582892326813</v>
      </c>
      <c r="AH89" s="15">
        <f t="shared" si="136"/>
        <v>0</v>
      </c>
      <c r="AI89" s="386">
        <f t="shared" si="137"/>
        <v>81.697996602545572</v>
      </c>
      <c r="AJ89" s="386">
        <f t="shared" si="138"/>
        <v>129.65290049512004</v>
      </c>
      <c r="AK89" s="386">
        <f t="shared" si="139"/>
        <v>144.56101427346505</v>
      </c>
      <c r="AL89" s="61">
        <f t="shared" si="140"/>
        <v>543.48049426345756</v>
      </c>
    </row>
    <row r="90" spans="1:38" x14ac:dyDescent="0.25">
      <c r="A90" s="322"/>
      <c r="B90" s="394" t="str">
        <f t="shared" si="118"/>
        <v>Кабель АВБШв 1*70ок - 1 ГОСТ 31996-2012</v>
      </c>
      <c r="C90" s="257">
        <v>1</v>
      </c>
      <c r="D90" s="34" t="s">
        <v>40</v>
      </c>
      <c r="E90" s="289">
        <v>70</v>
      </c>
      <c r="F90" s="276" t="s">
        <v>153</v>
      </c>
      <c r="G90" s="274">
        <v>1</v>
      </c>
      <c r="H90" s="37" t="s">
        <v>40</v>
      </c>
      <c r="I90" s="256">
        <v>9.11</v>
      </c>
      <c r="J90" s="38">
        <v>65.181842916497359</v>
      </c>
      <c r="K90" s="38" t="s">
        <v>159</v>
      </c>
      <c r="L90" s="15">
        <f t="shared" si="119"/>
        <v>1.25</v>
      </c>
      <c r="M90" s="61">
        <f t="shared" si="120"/>
        <v>1.5</v>
      </c>
      <c r="N90" s="61">
        <f t="shared" si="121"/>
        <v>11.61</v>
      </c>
      <c r="O90" s="61">
        <f t="shared" si="122"/>
        <v>12.11</v>
      </c>
      <c r="P90" s="61">
        <f t="shared" si="123"/>
        <v>12.11</v>
      </c>
      <c r="Q90" s="61">
        <f t="shared" si="104"/>
        <v>0</v>
      </c>
      <c r="R90" s="61">
        <f t="shared" si="124"/>
        <v>0.5</v>
      </c>
      <c r="S90" s="61">
        <f t="shared" si="105"/>
        <v>1.4</v>
      </c>
      <c r="T90" s="61">
        <f t="shared" si="125"/>
        <v>14.91</v>
      </c>
      <c r="U90" s="201">
        <f t="shared" si="106"/>
        <v>2</v>
      </c>
      <c r="V90" s="203">
        <f t="shared" si="126"/>
        <v>0.25</v>
      </c>
      <c r="W90" s="37" t="s">
        <v>40</v>
      </c>
      <c r="X90" s="202">
        <f t="shared" si="127"/>
        <v>30</v>
      </c>
      <c r="Y90" s="201">
        <f t="shared" si="128"/>
        <v>35</v>
      </c>
      <c r="Z90" s="61">
        <f t="shared" si="129"/>
        <v>15.91</v>
      </c>
      <c r="AA90" s="386">
        <f t="shared" si="130"/>
        <v>1.43</v>
      </c>
      <c r="AB90" s="386">
        <f t="shared" si="131"/>
        <v>1.8</v>
      </c>
      <c r="AC90" s="386">
        <f t="shared" si="132"/>
        <v>18.77</v>
      </c>
      <c r="AD90" s="386">
        <f t="shared" si="133"/>
        <v>19.510000000000002</v>
      </c>
      <c r="AE90" s="61">
        <f t="shared" si="134"/>
        <v>175.99097587454287</v>
      </c>
      <c r="AF90" s="386">
        <v>0</v>
      </c>
      <c r="AG90" s="61">
        <f t="shared" si="135"/>
        <v>66.997919089721279</v>
      </c>
      <c r="AH90" s="15">
        <f t="shared" si="136"/>
        <v>0</v>
      </c>
      <c r="AI90" s="386">
        <f t="shared" si="137"/>
        <v>89.011285008096024</v>
      </c>
      <c r="AJ90" s="386">
        <f t="shared" si="138"/>
        <v>139.71686689718879</v>
      </c>
      <c r="AK90" s="386">
        <f t="shared" si="139"/>
        <v>154.22744354114857</v>
      </c>
      <c r="AL90" s="61">
        <f t="shared" si="140"/>
        <v>625.94449041069754</v>
      </c>
    </row>
    <row r="91" spans="1:38" x14ac:dyDescent="0.25">
      <c r="A91" s="322"/>
      <c r="B91" s="394" t="str">
        <f t="shared" si="118"/>
        <v>Кабель АВБШв 1*70мк - 1 ГОСТ 31996-2012</v>
      </c>
      <c r="C91" s="257">
        <v>1</v>
      </c>
      <c r="D91" s="34" t="s">
        <v>40</v>
      </c>
      <c r="E91" s="289">
        <v>70</v>
      </c>
      <c r="F91" s="276" t="s">
        <v>154</v>
      </c>
      <c r="G91" s="274">
        <v>19</v>
      </c>
      <c r="H91" s="37" t="s">
        <v>40</v>
      </c>
      <c r="I91" s="256">
        <v>2.13</v>
      </c>
      <c r="J91" s="38">
        <v>65.16</v>
      </c>
      <c r="K91" s="38">
        <v>9.6</v>
      </c>
      <c r="L91" s="15">
        <f t="shared" si="119"/>
        <v>1.25</v>
      </c>
      <c r="M91" s="61">
        <f t="shared" si="120"/>
        <v>1.5</v>
      </c>
      <c r="N91" s="61">
        <f t="shared" si="121"/>
        <v>12.1</v>
      </c>
      <c r="O91" s="61">
        <f t="shared" si="122"/>
        <v>12.6</v>
      </c>
      <c r="P91" s="61">
        <f t="shared" si="123"/>
        <v>12.6</v>
      </c>
      <c r="Q91" s="61">
        <f t="shared" si="104"/>
        <v>0</v>
      </c>
      <c r="R91" s="61">
        <f t="shared" si="124"/>
        <v>0.5</v>
      </c>
      <c r="S91" s="61">
        <f t="shared" si="105"/>
        <v>1.4</v>
      </c>
      <c r="T91" s="61">
        <f t="shared" si="125"/>
        <v>15.399999999999999</v>
      </c>
      <c r="U91" s="201">
        <f t="shared" si="106"/>
        <v>2</v>
      </c>
      <c r="V91" s="203">
        <f t="shared" si="126"/>
        <v>0.25</v>
      </c>
      <c r="W91" s="37" t="s">
        <v>40</v>
      </c>
      <c r="X91" s="202">
        <f t="shared" si="127"/>
        <v>30</v>
      </c>
      <c r="Y91" s="201">
        <f t="shared" si="128"/>
        <v>35</v>
      </c>
      <c r="Z91" s="61">
        <f t="shared" si="129"/>
        <v>16.399999999999999</v>
      </c>
      <c r="AA91" s="386">
        <f t="shared" si="130"/>
        <v>1.43</v>
      </c>
      <c r="AB91" s="386">
        <f t="shared" si="131"/>
        <v>1.8</v>
      </c>
      <c r="AC91" s="386">
        <f t="shared" si="132"/>
        <v>19.259999999999998</v>
      </c>
      <c r="AD91" s="386">
        <f t="shared" si="133"/>
        <v>20</v>
      </c>
      <c r="AE91" s="61">
        <f t="shared" si="134"/>
        <v>175.93200000000002</v>
      </c>
      <c r="AF91" s="386">
        <v>0</v>
      </c>
      <c r="AG91" s="61">
        <f t="shared" si="135"/>
        <v>77.101281063666065</v>
      </c>
      <c r="AH91" s="15">
        <f t="shared" si="136"/>
        <v>0</v>
      </c>
      <c r="AI91" s="386">
        <f t="shared" si="137"/>
        <v>92.239673583519192</v>
      </c>
      <c r="AJ91" s="386">
        <f t="shared" si="138"/>
        <v>144.15951873233627</v>
      </c>
      <c r="AK91" s="386">
        <f t="shared" si="139"/>
        <v>158.4946060106665</v>
      </c>
      <c r="AL91" s="61">
        <f t="shared" si="140"/>
        <v>647.92707939018806</v>
      </c>
    </row>
    <row r="92" spans="1:38" x14ac:dyDescent="0.25">
      <c r="A92" s="322"/>
      <c r="B92" s="394" t="str">
        <f t="shared" si="118"/>
        <v>Кабель АВБШв 1*95мк - 1 ГОСТ 31996-2012</v>
      </c>
      <c r="C92" s="257">
        <v>1</v>
      </c>
      <c r="D92" s="34" t="s">
        <v>40</v>
      </c>
      <c r="E92" s="289">
        <v>95</v>
      </c>
      <c r="F92" s="276" t="s">
        <v>154</v>
      </c>
      <c r="G92" s="274">
        <v>19</v>
      </c>
      <c r="H92" s="37" t="s">
        <v>40</v>
      </c>
      <c r="I92" s="256">
        <v>2.5</v>
      </c>
      <c r="J92" s="38">
        <v>90.21</v>
      </c>
      <c r="K92" s="38">
        <v>11.2</v>
      </c>
      <c r="L92" s="15">
        <f t="shared" si="119"/>
        <v>1.4300000000000002</v>
      </c>
      <c r="M92" s="61">
        <f t="shared" si="120"/>
        <v>1.7000000000000002</v>
      </c>
      <c r="N92" s="61">
        <f t="shared" si="121"/>
        <v>14.059999999999999</v>
      </c>
      <c r="O92" s="61">
        <f t="shared" si="122"/>
        <v>14.6</v>
      </c>
      <c r="P92" s="61">
        <f t="shared" si="123"/>
        <v>14.6</v>
      </c>
      <c r="Q92" s="61">
        <f t="shared" si="104"/>
        <v>0</v>
      </c>
      <c r="R92" s="61">
        <f t="shared" si="124"/>
        <v>0.5</v>
      </c>
      <c r="S92" s="61">
        <f t="shared" si="105"/>
        <v>1.4</v>
      </c>
      <c r="T92" s="61">
        <f t="shared" si="125"/>
        <v>17.399999999999999</v>
      </c>
      <c r="U92" s="201">
        <f t="shared" si="106"/>
        <v>2</v>
      </c>
      <c r="V92" s="203">
        <f t="shared" si="126"/>
        <v>0.25</v>
      </c>
      <c r="W92" s="37" t="s">
        <v>40</v>
      </c>
      <c r="X92" s="202">
        <f t="shared" si="127"/>
        <v>30</v>
      </c>
      <c r="Y92" s="201">
        <f t="shared" si="128"/>
        <v>35</v>
      </c>
      <c r="Z92" s="61">
        <f t="shared" si="129"/>
        <v>18.399999999999999</v>
      </c>
      <c r="AA92" s="386">
        <f t="shared" si="130"/>
        <v>1.43</v>
      </c>
      <c r="AB92" s="386">
        <f t="shared" si="131"/>
        <v>1.8</v>
      </c>
      <c r="AC92" s="386">
        <f t="shared" si="132"/>
        <v>21.259999999999998</v>
      </c>
      <c r="AD92" s="386">
        <f t="shared" si="133"/>
        <v>22</v>
      </c>
      <c r="AE92" s="61">
        <f t="shared" si="134"/>
        <v>243.56700000000001</v>
      </c>
      <c r="AF92" s="386">
        <v>0</v>
      </c>
      <c r="AG92" s="61">
        <f t="shared" si="135"/>
        <v>101.55141704061242</v>
      </c>
      <c r="AH92" s="15">
        <f t="shared" si="136"/>
        <v>0</v>
      </c>
      <c r="AI92" s="386">
        <f t="shared" si="137"/>
        <v>105.41676980973622</v>
      </c>
      <c r="AJ92" s="386">
        <f t="shared" si="138"/>
        <v>162.29279152885653</v>
      </c>
      <c r="AK92" s="386">
        <f t="shared" si="139"/>
        <v>175.91159568216833</v>
      </c>
      <c r="AL92" s="61">
        <f t="shared" si="140"/>
        <v>788.73957406137356</v>
      </c>
    </row>
    <row r="93" spans="1:38" s="208" customFormat="1" outlineLevel="2" x14ac:dyDescent="0.25">
      <c r="A93" s="319"/>
      <c r="B93" s="389" t="str">
        <f t="shared" si="118"/>
        <v>Кабель АВБШв 1*120мк - 1 ГОСТ 31996-2012</v>
      </c>
      <c r="C93" s="257">
        <v>1</v>
      </c>
      <c r="D93" s="34" t="s">
        <v>40</v>
      </c>
      <c r="E93" s="289">
        <v>120</v>
      </c>
      <c r="F93" s="276" t="s">
        <v>154</v>
      </c>
      <c r="G93" s="274">
        <v>19</v>
      </c>
      <c r="H93" s="37" t="s">
        <v>40</v>
      </c>
      <c r="I93" s="256">
        <v>2.87</v>
      </c>
      <c r="J93" s="38">
        <v>114.09</v>
      </c>
      <c r="K93" s="38">
        <v>12.8</v>
      </c>
      <c r="L93" s="15">
        <f t="shared" ref="L93:L147" si="141">0.9*M93-0.1</f>
        <v>1.4300000000000002</v>
      </c>
      <c r="M93" s="61">
        <f t="shared" si="103"/>
        <v>1.7000000000000002</v>
      </c>
      <c r="N93" s="61">
        <f t="shared" ref="N93:N147" si="142">IF(G93=1,I93+2*L93,K93+2*L93)</f>
        <v>15.66</v>
      </c>
      <c r="O93" s="61">
        <f t="shared" ref="O93:O147" si="143">IF(G93=1,I93+2*M93,K93+2*M93)</f>
        <v>16.200000000000003</v>
      </c>
      <c r="P93" s="61">
        <f t="shared" ref="P93:P147" si="144">IF(C93=1,O93*1,IF(C93=2,O93*2,IF(C93=3,O93*2.15,IF(C93=4,O93*2.41,IF(C93=5,O93*2.7,"ошибка")))))</f>
        <v>16.200000000000003</v>
      </c>
      <c r="Q93" s="61">
        <f t="shared" si="104"/>
        <v>0</v>
      </c>
      <c r="R93" s="61">
        <f t="shared" ref="R93:R147" si="145">IF(P93&lt;=25,0.5,IF(AND(P93&gt;25,P93&lt;=35),0.6,IF(AND(P93&gt;35,P93&lt;=45),0.7,IF(AND(P93&gt;45,P93&lt;=60),0.8,IF(AND(P93&gt;60,P93&lt;=80),0.9,1)))))</f>
        <v>0.5</v>
      </c>
      <c r="S93" s="61">
        <f t="shared" si="105"/>
        <v>1.4</v>
      </c>
      <c r="T93" s="61">
        <f t="shared" ref="T93:T147" si="146">P93+2*S93</f>
        <v>19.000000000000004</v>
      </c>
      <c r="U93" s="201">
        <f t="shared" si="106"/>
        <v>2</v>
      </c>
      <c r="V93" s="203">
        <f t="shared" si="107"/>
        <v>0.25</v>
      </c>
      <c r="W93" s="37" t="s">
        <v>40</v>
      </c>
      <c r="X93" s="202">
        <f t="shared" ref="X93:X147" si="147">IF(AND(T93&gt;7,T93&lt;=10),15,IF(AND(T93&gt;10,T93&lt;=13),20,IF(AND(T93&gt;13,T93&lt;=21),30,IF(AND(T93&gt;21,T93&lt;=31),40,IF(AND(T93&gt;31,T93&lt;=70),50,IF(AND(T93&gt;70,T93&lt;=80),60,"ошибка"))))))</f>
        <v>30</v>
      </c>
      <c r="Y93" s="201">
        <f t="shared" ref="Y93:Y147" si="148">$Y$9</f>
        <v>35</v>
      </c>
      <c r="Z93" s="61">
        <f t="shared" ref="Z93:Z147" si="149">T93+2*U93*V93</f>
        <v>20.000000000000004</v>
      </c>
      <c r="AA93" s="271">
        <f t="shared" ref="AA93:AA147" si="150">0.85*AB93-0.1</f>
        <v>1.43</v>
      </c>
      <c r="AB93" s="271">
        <f t="shared" ref="AB93:AB147" si="151">IF(Z93&lt;=20,1.8,IF(AND(Z93&gt;20,Z93&lt;=30),2,IF(AND(Z93&gt;30,Z93&lt;=40),2.2,IF(AND(Z93&gt;40,Z93&lt;=50),2.4,IF(AND(Z93&gt;50,Z93&lt;=60),2.6,3.1)))))</f>
        <v>1.8</v>
      </c>
      <c r="AC93" s="271">
        <f t="shared" ref="AC93:AC147" si="152">Z93+2*AA93</f>
        <v>22.860000000000003</v>
      </c>
      <c r="AD93" s="271">
        <f t="shared" ref="AD93:AD147" si="153">Z93+2*AB93</f>
        <v>23.600000000000005</v>
      </c>
      <c r="AE93" s="61">
        <f t="shared" ref="AE93:AE147" si="154">IF(G93=1,PI()*I93^2/4,J93)*$AE$9*C93*IF(C93&gt;1,1.007,1)</f>
        <v>308.04300000000001</v>
      </c>
      <c r="AF93" s="271">
        <v>0</v>
      </c>
      <c r="AG93" s="61">
        <f t="shared" ref="AG93:AG147" si="155">PI()*(IF(G93=1,I93,K93)+M93)*M93*$AG$9*C93*IF(C93&gt;1,1.007,1)*IF(G93=1,1,(IF(E93&gt;=4,1.1,1.07)))</f>
        <v>114.14694163479692</v>
      </c>
      <c r="AH93" s="15">
        <f t="shared" ref="AH93:AH147" si="156">PI()*POWER(Q93,2)/4*$AH$9</f>
        <v>0</v>
      </c>
      <c r="AI93" s="271">
        <f t="shared" si="100"/>
        <v>115.95844679070984</v>
      </c>
      <c r="AJ93" s="271">
        <f t="shared" ref="AJ93:AJ147" si="157">PI()*(T93+U93*V93)*U93*V93*$AJ$9*ROUND(100/(100+Y93),2)</f>
        <v>176.79940976607281</v>
      </c>
      <c r="AK93" s="271">
        <f t="shared" ref="AK93:AK147" si="158">PI()*(Z93+AB93)*AB93*1.1*$AK$9</f>
        <v>189.84518741936984</v>
      </c>
      <c r="AL93" s="61">
        <f t="shared" ref="AL93:AL147" si="159">SUM(AE93:AK93)</f>
        <v>904.79298561094936</v>
      </c>
    </row>
    <row r="94" spans="1:38" s="208" customFormat="1" outlineLevel="2" x14ac:dyDescent="0.25">
      <c r="A94" s="319"/>
      <c r="B94" s="389" t="str">
        <f t="shared" si="118"/>
        <v>Кабель АВБШв 1*150мк - 1 ГОСТ 31996-2012</v>
      </c>
      <c r="C94" s="257">
        <v>1</v>
      </c>
      <c r="D94" s="34" t="s">
        <v>40</v>
      </c>
      <c r="E94" s="289">
        <v>150</v>
      </c>
      <c r="F94" s="276" t="s">
        <v>154</v>
      </c>
      <c r="G94" s="274">
        <v>37</v>
      </c>
      <c r="H94" s="37" t="s">
        <v>40</v>
      </c>
      <c r="I94" s="256">
        <v>2.2599999999999998</v>
      </c>
      <c r="J94" s="38">
        <v>140.13</v>
      </c>
      <c r="K94" s="38">
        <v>14.1</v>
      </c>
      <c r="L94" s="15">
        <f t="shared" si="141"/>
        <v>1.61</v>
      </c>
      <c r="M94" s="61">
        <f t="shared" si="103"/>
        <v>1.9000000000000001</v>
      </c>
      <c r="N94" s="61">
        <f t="shared" si="142"/>
        <v>17.32</v>
      </c>
      <c r="O94" s="61">
        <f t="shared" si="143"/>
        <v>17.899999999999999</v>
      </c>
      <c r="P94" s="61">
        <f t="shared" si="144"/>
        <v>17.899999999999999</v>
      </c>
      <c r="Q94" s="61">
        <f t="shared" si="104"/>
        <v>0</v>
      </c>
      <c r="R94" s="61">
        <f t="shared" si="145"/>
        <v>0.5</v>
      </c>
      <c r="S94" s="61">
        <f t="shared" si="105"/>
        <v>1.4</v>
      </c>
      <c r="T94" s="61">
        <f t="shared" si="146"/>
        <v>20.7</v>
      </c>
      <c r="U94" s="201">
        <f t="shared" si="106"/>
        <v>2</v>
      </c>
      <c r="V94" s="203">
        <f t="shared" si="107"/>
        <v>0.25</v>
      </c>
      <c r="W94" s="37" t="s">
        <v>40</v>
      </c>
      <c r="X94" s="202">
        <f t="shared" si="147"/>
        <v>30</v>
      </c>
      <c r="Y94" s="201">
        <f t="shared" si="148"/>
        <v>35</v>
      </c>
      <c r="Z94" s="61">
        <f t="shared" si="149"/>
        <v>21.7</v>
      </c>
      <c r="AA94" s="271">
        <f t="shared" si="150"/>
        <v>1.5999999999999999</v>
      </c>
      <c r="AB94" s="271">
        <f t="shared" si="151"/>
        <v>2</v>
      </c>
      <c r="AC94" s="271">
        <f t="shared" si="152"/>
        <v>24.9</v>
      </c>
      <c r="AD94" s="271">
        <f t="shared" si="153"/>
        <v>25.7</v>
      </c>
      <c r="AE94" s="61">
        <f t="shared" si="154"/>
        <v>378.351</v>
      </c>
      <c r="AF94" s="271">
        <v>0</v>
      </c>
      <c r="AG94" s="61">
        <f t="shared" si="155"/>
        <v>140.77351017029721</v>
      </c>
      <c r="AH94" s="15">
        <f t="shared" si="156"/>
        <v>0</v>
      </c>
      <c r="AI94" s="271">
        <f t="shared" si="100"/>
        <v>127.15897858299428</v>
      </c>
      <c r="AJ94" s="271">
        <f t="shared" si="157"/>
        <v>192.21269164311502</v>
      </c>
      <c r="AK94" s="271">
        <f t="shared" si="158"/>
        <v>229.32369734144052</v>
      </c>
      <c r="AL94" s="61">
        <f t="shared" si="159"/>
        <v>1067.819877737847</v>
      </c>
    </row>
    <row r="95" spans="1:38" s="208" customFormat="1" outlineLevel="2" x14ac:dyDescent="0.25">
      <c r="A95" s="319"/>
      <c r="B95" s="389" t="str">
        <f t="shared" si="118"/>
        <v>Кабель АВБШв 1*185мк - 1 ГОСТ 31996-2012</v>
      </c>
      <c r="C95" s="257">
        <v>1</v>
      </c>
      <c r="D95" s="34" t="s">
        <v>40</v>
      </c>
      <c r="E95" s="289">
        <v>185</v>
      </c>
      <c r="F95" s="276" t="s">
        <v>154</v>
      </c>
      <c r="G95" s="274">
        <v>37</v>
      </c>
      <c r="H95" s="37" t="s">
        <v>40</v>
      </c>
      <c r="I95" s="256">
        <v>2.5</v>
      </c>
      <c r="J95" s="38">
        <v>176.01</v>
      </c>
      <c r="K95" s="38">
        <v>15.8</v>
      </c>
      <c r="L95" s="15">
        <f t="shared" si="141"/>
        <v>1.79</v>
      </c>
      <c r="M95" s="61">
        <f t="shared" si="103"/>
        <v>2.1</v>
      </c>
      <c r="N95" s="61">
        <f t="shared" si="142"/>
        <v>19.380000000000003</v>
      </c>
      <c r="O95" s="61">
        <f t="shared" si="143"/>
        <v>20</v>
      </c>
      <c r="P95" s="61">
        <f t="shared" si="144"/>
        <v>20</v>
      </c>
      <c r="Q95" s="61">
        <f t="shared" si="104"/>
        <v>0</v>
      </c>
      <c r="R95" s="61">
        <f t="shared" si="145"/>
        <v>0.5</v>
      </c>
      <c r="S95" s="61">
        <f t="shared" si="105"/>
        <v>1.4</v>
      </c>
      <c r="T95" s="61">
        <f t="shared" si="146"/>
        <v>22.8</v>
      </c>
      <c r="U95" s="201">
        <f t="shared" si="106"/>
        <v>2</v>
      </c>
      <c r="V95" s="203">
        <f t="shared" si="107"/>
        <v>0.25</v>
      </c>
      <c r="W95" s="37" t="s">
        <v>40</v>
      </c>
      <c r="X95" s="202">
        <f t="shared" si="147"/>
        <v>40</v>
      </c>
      <c r="Y95" s="201">
        <f t="shared" si="148"/>
        <v>35</v>
      </c>
      <c r="Z95" s="61">
        <f t="shared" si="149"/>
        <v>23.8</v>
      </c>
      <c r="AA95" s="271">
        <f t="shared" si="150"/>
        <v>1.5999999999999999</v>
      </c>
      <c r="AB95" s="271">
        <f t="shared" si="151"/>
        <v>2</v>
      </c>
      <c r="AC95" s="271">
        <f t="shared" si="152"/>
        <v>27</v>
      </c>
      <c r="AD95" s="271">
        <f t="shared" si="153"/>
        <v>27.8</v>
      </c>
      <c r="AE95" s="61">
        <f t="shared" si="154"/>
        <v>475.22700000000003</v>
      </c>
      <c r="AF95" s="271">
        <v>0</v>
      </c>
      <c r="AG95" s="61">
        <f t="shared" si="155"/>
        <v>174.06829760860106</v>
      </c>
      <c r="AH95" s="15">
        <f t="shared" si="156"/>
        <v>0</v>
      </c>
      <c r="AI95" s="271">
        <f t="shared" si="100"/>
        <v>140.99492962052219</v>
      </c>
      <c r="AJ95" s="271">
        <f t="shared" si="157"/>
        <v>211.25262807946132</v>
      </c>
      <c r="AK95" s="271">
        <f t="shared" si="158"/>
        <v>249.64351862485935</v>
      </c>
      <c r="AL95" s="61">
        <f t="shared" si="159"/>
        <v>1251.186373933444</v>
      </c>
    </row>
    <row r="96" spans="1:38" s="208" customFormat="1" outlineLevel="2" x14ac:dyDescent="0.25">
      <c r="A96" s="319"/>
      <c r="B96" s="389" t="str">
        <f t="shared" si="118"/>
        <v>Кабель АВБШв 1*240мк - 1 ГОСТ 31996-2012</v>
      </c>
      <c r="C96" s="257">
        <v>1</v>
      </c>
      <c r="D96" s="34" t="s">
        <v>40</v>
      </c>
      <c r="E96" s="289">
        <v>240</v>
      </c>
      <c r="F96" s="276" t="s">
        <v>154</v>
      </c>
      <c r="G96" s="274">
        <v>37</v>
      </c>
      <c r="H96" s="37" t="s">
        <v>40</v>
      </c>
      <c r="I96" s="256">
        <v>2.87</v>
      </c>
      <c r="J96" s="38">
        <v>230.93</v>
      </c>
      <c r="K96" s="38">
        <v>18.399999999999999</v>
      </c>
      <c r="L96" s="15">
        <f t="shared" si="141"/>
        <v>1.9700000000000002</v>
      </c>
      <c r="M96" s="61">
        <f t="shared" si="103"/>
        <v>2.3000000000000003</v>
      </c>
      <c r="N96" s="61">
        <f t="shared" si="142"/>
        <v>22.34</v>
      </c>
      <c r="O96" s="61">
        <f t="shared" si="143"/>
        <v>23</v>
      </c>
      <c r="P96" s="61">
        <f t="shared" si="144"/>
        <v>23</v>
      </c>
      <c r="Q96" s="61">
        <f t="shared" si="104"/>
        <v>0</v>
      </c>
      <c r="R96" s="61">
        <f t="shared" si="145"/>
        <v>0.5</v>
      </c>
      <c r="S96" s="61">
        <f t="shared" si="105"/>
        <v>1.4</v>
      </c>
      <c r="T96" s="61">
        <f t="shared" si="146"/>
        <v>25.8</v>
      </c>
      <c r="U96" s="201">
        <f t="shared" si="106"/>
        <v>2</v>
      </c>
      <c r="V96" s="203">
        <f t="shared" si="107"/>
        <v>0.25</v>
      </c>
      <c r="W96" s="37" t="s">
        <v>40</v>
      </c>
      <c r="X96" s="202">
        <f t="shared" si="147"/>
        <v>40</v>
      </c>
      <c r="Y96" s="201">
        <f t="shared" si="148"/>
        <v>35</v>
      </c>
      <c r="Z96" s="61">
        <f t="shared" si="149"/>
        <v>26.8</v>
      </c>
      <c r="AA96" s="271">
        <f t="shared" si="150"/>
        <v>1.5999999999999999</v>
      </c>
      <c r="AB96" s="271">
        <f t="shared" si="151"/>
        <v>2</v>
      </c>
      <c r="AC96" s="271">
        <f t="shared" si="152"/>
        <v>30</v>
      </c>
      <c r="AD96" s="271">
        <f t="shared" si="153"/>
        <v>30.8</v>
      </c>
      <c r="AE96" s="61">
        <f t="shared" si="154"/>
        <v>623.51100000000008</v>
      </c>
      <c r="AF96" s="271">
        <v>0</v>
      </c>
      <c r="AG96" s="61">
        <f t="shared" si="155"/>
        <v>220.46798747394246</v>
      </c>
      <c r="AH96" s="15">
        <f t="shared" si="156"/>
        <v>0</v>
      </c>
      <c r="AI96" s="271">
        <f t="shared" si="100"/>
        <v>160.76057395984773</v>
      </c>
      <c r="AJ96" s="271">
        <f t="shared" si="157"/>
        <v>238.45253727424176</v>
      </c>
      <c r="AK96" s="271">
        <f t="shared" si="158"/>
        <v>278.67183474402901</v>
      </c>
      <c r="AL96" s="61">
        <f t="shared" si="159"/>
        <v>1521.863933452061</v>
      </c>
    </row>
    <row r="97" spans="1:45" s="208" customFormat="1" outlineLevel="2" x14ac:dyDescent="0.25">
      <c r="A97" s="319"/>
      <c r="B97" s="389" t="str">
        <f t="shared" si="118"/>
        <v>Кабель АВБШв 1*300мк - 1 ГОСТ 31996-2012</v>
      </c>
      <c r="C97" s="257">
        <v>1</v>
      </c>
      <c r="D97" s="34" t="s">
        <v>40</v>
      </c>
      <c r="E97" s="289">
        <v>300</v>
      </c>
      <c r="F97" s="276" t="s">
        <v>154</v>
      </c>
      <c r="G97" s="274">
        <v>36</v>
      </c>
      <c r="H97" s="37" t="s">
        <v>40</v>
      </c>
      <c r="I97" s="256">
        <v>3.4</v>
      </c>
      <c r="J97" s="38">
        <v>289.57</v>
      </c>
      <c r="K97" s="38">
        <v>20</v>
      </c>
      <c r="L97" s="15">
        <f t="shared" si="141"/>
        <v>2.15</v>
      </c>
      <c r="M97" s="61">
        <f t="shared" si="103"/>
        <v>2.5</v>
      </c>
      <c r="N97" s="61">
        <f t="shared" si="142"/>
        <v>24.3</v>
      </c>
      <c r="O97" s="61">
        <f t="shared" si="143"/>
        <v>25</v>
      </c>
      <c r="P97" s="61">
        <f t="shared" si="144"/>
        <v>25</v>
      </c>
      <c r="Q97" s="61">
        <f t="shared" si="104"/>
        <v>0</v>
      </c>
      <c r="R97" s="61">
        <f t="shared" si="145"/>
        <v>0.5</v>
      </c>
      <c r="S97" s="61">
        <f t="shared" si="105"/>
        <v>1.4</v>
      </c>
      <c r="T97" s="61">
        <f t="shared" si="146"/>
        <v>27.8</v>
      </c>
      <c r="U97" s="201">
        <f t="shared" si="106"/>
        <v>2</v>
      </c>
      <c r="V97" s="203">
        <f t="shared" si="107"/>
        <v>0.25</v>
      </c>
      <c r="W97" s="37" t="s">
        <v>40</v>
      </c>
      <c r="X97" s="202">
        <f t="shared" si="147"/>
        <v>40</v>
      </c>
      <c r="Y97" s="201">
        <f t="shared" si="148"/>
        <v>35</v>
      </c>
      <c r="Z97" s="61">
        <f t="shared" si="149"/>
        <v>28.8</v>
      </c>
      <c r="AA97" s="271">
        <f t="shared" si="150"/>
        <v>1.5999999999999999</v>
      </c>
      <c r="AB97" s="271">
        <f t="shared" si="151"/>
        <v>2</v>
      </c>
      <c r="AC97" s="271">
        <f t="shared" si="152"/>
        <v>32</v>
      </c>
      <c r="AD97" s="271">
        <f t="shared" si="153"/>
        <v>32.799999999999997</v>
      </c>
      <c r="AE97" s="61">
        <f t="shared" si="154"/>
        <v>781.83900000000006</v>
      </c>
      <c r="AF97" s="271">
        <v>0</v>
      </c>
      <c r="AG97" s="61">
        <f t="shared" si="155"/>
        <v>260.47730089076373</v>
      </c>
      <c r="AH97" s="15">
        <f t="shared" si="156"/>
        <v>0</v>
      </c>
      <c r="AI97" s="271">
        <f t="shared" si="100"/>
        <v>173.93767018606476</v>
      </c>
      <c r="AJ97" s="271">
        <f t="shared" si="157"/>
        <v>256.58581007076202</v>
      </c>
      <c r="AK97" s="271">
        <f t="shared" si="158"/>
        <v>298.02404549014216</v>
      </c>
      <c r="AL97" s="61">
        <f t="shared" si="159"/>
        <v>1770.8638266377329</v>
      </c>
    </row>
    <row r="98" spans="1:45" s="208" customFormat="1" outlineLevel="2" x14ac:dyDescent="0.25">
      <c r="A98" s="319"/>
      <c r="B98" s="389" t="str">
        <f t="shared" si="118"/>
        <v>Кабель АВБШв 1*400мк - 1 ГОСТ 31996-2012</v>
      </c>
      <c r="C98" s="257">
        <v>1</v>
      </c>
      <c r="D98" s="34" t="s">
        <v>40</v>
      </c>
      <c r="E98" s="289">
        <v>400</v>
      </c>
      <c r="F98" s="276" t="s">
        <v>154</v>
      </c>
      <c r="G98" s="274">
        <v>57</v>
      </c>
      <c r="H98" s="37" t="s">
        <v>40</v>
      </c>
      <c r="I98" s="256">
        <v>3.05</v>
      </c>
      <c r="J98" s="39">
        <v>375</v>
      </c>
      <c r="K98" s="39">
        <v>22.8</v>
      </c>
      <c r="L98" s="15">
        <f t="shared" si="141"/>
        <v>2.33</v>
      </c>
      <c r="M98" s="61">
        <f t="shared" si="103"/>
        <v>2.7</v>
      </c>
      <c r="N98" s="61">
        <f t="shared" si="142"/>
        <v>27.46</v>
      </c>
      <c r="O98" s="61">
        <f t="shared" si="143"/>
        <v>28.200000000000003</v>
      </c>
      <c r="P98" s="61">
        <f t="shared" si="144"/>
        <v>28.200000000000003</v>
      </c>
      <c r="Q98" s="61">
        <f t="shared" si="104"/>
        <v>0</v>
      </c>
      <c r="R98" s="61">
        <f t="shared" si="145"/>
        <v>0.6</v>
      </c>
      <c r="S98" s="61">
        <f t="shared" si="105"/>
        <v>1.5</v>
      </c>
      <c r="T98" s="61">
        <f t="shared" si="146"/>
        <v>31.200000000000003</v>
      </c>
      <c r="U98" s="201">
        <f t="shared" si="106"/>
        <v>2</v>
      </c>
      <c r="V98" s="203">
        <f t="shared" si="107"/>
        <v>0.25</v>
      </c>
      <c r="W98" s="37" t="s">
        <v>40</v>
      </c>
      <c r="X98" s="202">
        <f t="shared" si="147"/>
        <v>50</v>
      </c>
      <c r="Y98" s="201">
        <f t="shared" si="148"/>
        <v>35</v>
      </c>
      <c r="Z98" s="61">
        <f t="shared" si="149"/>
        <v>32.200000000000003</v>
      </c>
      <c r="AA98" s="271">
        <f t="shared" si="150"/>
        <v>1.77</v>
      </c>
      <c r="AB98" s="271">
        <f t="shared" si="151"/>
        <v>2.2000000000000002</v>
      </c>
      <c r="AC98" s="271">
        <f t="shared" si="152"/>
        <v>35.74</v>
      </c>
      <c r="AD98" s="271">
        <f t="shared" si="153"/>
        <v>36.6</v>
      </c>
      <c r="AE98" s="61">
        <f t="shared" si="154"/>
        <v>1012.5000000000001</v>
      </c>
      <c r="AF98" s="271">
        <v>0</v>
      </c>
      <c r="AG98" s="61">
        <f t="shared" si="155"/>
        <v>318.82421629029488</v>
      </c>
      <c r="AH98" s="15">
        <f t="shared" si="156"/>
        <v>0</v>
      </c>
      <c r="AI98" s="271">
        <f t="shared" si="100"/>
        <v>209.65701317070312</v>
      </c>
      <c r="AJ98" s="271">
        <f t="shared" si="157"/>
        <v>287.4123738248465</v>
      </c>
      <c r="AK98" s="271">
        <f t="shared" si="158"/>
        <v>366.14382731646043</v>
      </c>
      <c r="AL98" s="61">
        <f t="shared" si="159"/>
        <v>2194.537430602305</v>
      </c>
    </row>
    <row r="99" spans="1:45" s="208" customFormat="1" outlineLevel="2" x14ac:dyDescent="0.25">
      <c r="A99" s="319"/>
      <c r="B99" s="389" t="str">
        <f t="shared" si="118"/>
        <v>Кабель АВБШв 1*500мк - 1 ГОСТ 31996-2012</v>
      </c>
      <c r="C99" s="257">
        <v>1</v>
      </c>
      <c r="D99" s="34" t="s">
        <v>40</v>
      </c>
      <c r="E99" s="289">
        <v>500</v>
      </c>
      <c r="F99" s="276" t="s">
        <v>154</v>
      </c>
      <c r="G99" s="274">
        <v>57</v>
      </c>
      <c r="H99" s="37" t="s">
        <v>40</v>
      </c>
      <c r="I99" s="256">
        <v>3.4</v>
      </c>
      <c r="J99" s="39">
        <v>476.94</v>
      </c>
      <c r="K99" s="39">
        <v>25.8</v>
      </c>
      <c r="L99" s="15">
        <f t="shared" si="141"/>
        <v>2.5099999999999998</v>
      </c>
      <c r="M99" s="61">
        <f t="shared" si="103"/>
        <v>2.9</v>
      </c>
      <c r="N99" s="61">
        <f t="shared" si="142"/>
        <v>30.82</v>
      </c>
      <c r="O99" s="61">
        <f t="shared" si="143"/>
        <v>31.6</v>
      </c>
      <c r="P99" s="61">
        <f t="shared" si="144"/>
        <v>31.6</v>
      </c>
      <c r="Q99" s="61">
        <f t="shared" si="104"/>
        <v>0</v>
      </c>
      <c r="R99" s="61">
        <f t="shared" si="145"/>
        <v>0.6</v>
      </c>
      <c r="S99" s="61">
        <f t="shared" si="105"/>
        <v>1.5</v>
      </c>
      <c r="T99" s="61">
        <f t="shared" si="146"/>
        <v>34.6</v>
      </c>
      <c r="U99" s="201">
        <f t="shared" si="106"/>
        <v>2</v>
      </c>
      <c r="V99" s="203">
        <f t="shared" si="107"/>
        <v>0.25</v>
      </c>
      <c r="W99" s="37" t="s">
        <v>40</v>
      </c>
      <c r="X99" s="202">
        <f t="shared" si="147"/>
        <v>50</v>
      </c>
      <c r="Y99" s="201">
        <f t="shared" si="148"/>
        <v>35</v>
      </c>
      <c r="Z99" s="61">
        <f t="shared" si="149"/>
        <v>35.6</v>
      </c>
      <c r="AA99" s="271">
        <f t="shared" si="150"/>
        <v>1.77</v>
      </c>
      <c r="AB99" s="271">
        <f t="shared" si="151"/>
        <v>2.2000000000000002</v>
      </c>
      <c r="AC99" s="271">
        <f t="shared" si="152"/>
        <v>39.14</v>
      </c>
      <c r="AD99" s="271">
        <f t="shared" si="153"/>
        <v>40</v>
      </c>
      <c r="AE99" s="61">
        <f t="shared" si="154"/>
        <v>1287.7380000000001</v>
      </c>
      <c r="AF99" s="271">
        <v>0</v>
      </c>
      <c r="AG99" s="61">
        <f t="shared" si="155"/>
        <v>385.41379116690246</v>
      </c>
      <c r="AH99" s="15">
        <f t="shared" si="156"/>
        <v>0</v>
      </c>
      <c r="AI99" s="271">
        <f t="shared" si="100"/>
        <v>233.6581527255984</v>
      </c>
      <c r="AJ99" s="271">
        <f t="shared" si="157"/>
        <v>318.23893757893103</v>
      </c>
      <c r="AK99" s="271">
        <f t="shared" si="158"/>
        <v>402.33246141169195</v>
      </c>
      <c r="AL99" s="61">
        <f t="shared" si="159"/>
        <v>2627.381342883124</v>
      </c>
    </row>
    <row r="100" spans="1:45" s="208" customFormat="1" ht="13.8" outlineLevel="2" thickBot="1" x14ac:dyDescent="0.3">
      <c r="A100" s="319"/>
      <c r="B100" s="389" t="str">
        <f t="shared" si="118"/>
        <v>Кабель АВБШв 1*630мк - 1 ГОСТ 31996-2012</v>
      </c>
      <c r="C100" s="257">
        <v>1</v>
      </c>
      <c r="D100" s="34" t="s">
        <v>40</v>
      </c>
      <c r="E100" s="289">
        <v>630</v>
      </c>
      <c r="F100" s="276" t="s">
        <v>154</v>
      </c>
      <c r="G100" s="274">
        <v>58</v>
      </c>
      <c r="H100" s="37" t="s">
        <v>40</v>
      </c>
      <c r="I100" s="256">
        <v>3.85</v>
      </c>
      <c r="J100" s="61">
        <v>615.5</v>
      </c>
      <c r="K100" s="38">
        <v>29.3</v>
      </c>
      <c r="L100" s="15">
        <f t="shared" si="141"/>
        <v>2.5099999999999998</v>
      </c>
      <c r="M100" s="61">
        <f t="shared" si="103"/>
        <v>2.9</v>
      </c>
      <c r="N100" s="61">
        <f t="shared" si="142"/>
        <v>34.32</v>
      </c>
      <c r="O100" s="61">
        <f t="shared" si="143"/>
        <v>35.1</v>
      </c>
      <c r="P100" s="61">
        <f t="shared" si="144"/>
        <v>35.1</v>
      </c>
      <c r="Q100" s="61">
        <f t="shared" si="104"/>
        <v>0</v>
      </c>
      <c r="R100" s="61">
        <f t="shared" si="145"/>
        <v>0.7</v>
      </c>
      <c r="S100" s="61">
        <f t="shared" si="105"/>
        <v>1.6</v>
      </c>
      <c r="T100" s="61">
        <f t="shared" si="146"/>
        <v>38.300000000000004</v>
      </c>
      <c r="U100" s="201">
        <f t="shared" si="106"/>
        <v>2</v>
      </c>
      <c r="V100" s="203">
        <f t="shared" si="107"/>
        <v>0.25</v>
      </c>
      <c r="W100" s="37" t="s">
        <v>40</v>
      </c>
      <c r="X100" s="202">
        <f t="shared" si="147"/>
        <v>50</v>
      </c>
      <c r="Y100" s="201">
        <f t="shared" si="148"/>
        <v>35</v>
      </c>
      <c r="Z100" s="61">
        <f t="shared" si="149"/>
        <v>39.300000000000004</v>
      </c>
      <c r="AA100" s="271">
        <f t="shared" si="150"/>
        <v>1.77</v>
      </c>
      <c r="AB100" s="271">
        <f t="shared" si="151"/>
        <v>2.2000000000000002</v>
      </c>
      <c r="AC100" s="271">
        <f t="shared" si="152"/>
        <v>42.84</v>
      </c>
      <c r="AD100" s="271">
        <f t="shared" si="153"/>
        <v>43.7</v>
      </c>
      <c r="AE100" s="61">
        <f t="shared" si="154"/>
        <v>1661.8500000000001</v>
      </c>
      <c r="AF100" s="271">
        <v>0</v>
      </c>
      <c r="AG100" s="61">
        <f t="shared" si="155"/>
        <v>432.4154730165248</v>
      </c>
      <c r="AH100" s="15">
        <f t="shared" si="156"/>
        <v>0</v>
      </c>
      <c r="AI100" s="271">
        <f t="shared" si="100"/>
        <v>276.34253228695144</v>
      </c>
      <c r="AJ100" s="271">
        <f t="shared" si="157"/>
        <v>351.78549225249355</v>
      </c>
      <c r="AK100" s="271">
        <f t="shared" si="158"/>
        <v>441.7142102800322</v>
      </c>
      <c r="AL100" s="61">
        <f t="shared" si="159"/>
        <v>3164.1077078360022</v>
      </c>
    </row>
    <row r="101" spans="1:45" s="210" customFormat="1" ht="13.8" outlineLevel="1" thickBot="1" x14ac:dyDescent="0.3">
      <c r="A101" s="359">
        <v>1</v>
      </c>
      <c r="B101" s="272"/>
      <c r="C101" s="292"/>
      <c r="D101" s="211"/>
      <c r="E101" s="288"/>
      <c r="F101" s="275"/>
      <c r="G101" s="281"/>
      <c r="H101" s="196"/>
      <c r="I101" s="211"/>
      <c r="J101" s="196"/>
      <c r="K101" s="196"/>
      <c r="L101" s="196"/>
      <c r="M101" s="61"/>
      <c r="N101" s="196"/>
      <c r="O101" s="196"/>
      <c r="P101" s="196"/>
      <c r="Q101" s="61" t="str">
        <f t="shared" si="104"/>
        <v/>
      </c>
      <c r="R101" s="196"/>
      <c r="S101" s="61" t="str">
        <f t="shared" si="105"/>
        <v/>
      </c>
      <c r="T101" s="196"/>
      <c r="U101" s="196"/>
      <c r="V101" s="203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88"/>
      <c r="AJ101" s="196"/>
      <c r="AK101" s="196"/>
      <c r="AL101" s="196"/>
      <c r="AP101" s="353">
        <v>42619</v>
      </c>
    </row>
    <row r="102" spans="1:45" s="210" customFormat="1" outlineLevel="2" x14ac:dyDescent="0.25">
      <c r="A102" s="319"/>
      <c r="B102" s="357" t="str">
        <f t="shared" ref="B102:B117" si="160">CONCATENATE("Кабель ",$A$166," ",C102,"*",E102,F102,IF(OR(C102=2,C102=4)," (N)",IF(OR(C102=3,C102=5)," (N, PE)",""))," - 1 ГОСТ 31996-2012")</f>
        <v>Кабель АВБШв 2*2,5ок (N) - 1 ГОСТ 31996-2012</v>
      </c>
      <c r="C102" s="257">
        <v>2</v>
      </c>
      <c r="D102" s="34" t="s">
        <v>40</v>
      </c>
      <c r="E102" s="289">
        <v>2.5</v>
      </c>
      <c r="F102" s="275" t="str">
        <f t="shared" ref="F102:F117" si="161">IF(G102=1,"ок","мк")</f>
        <v>ок</v>
      </c>
      <c r="G102" s="274">
        <v>1</v>
      </c>
      <c r="H102" s="34" t="s">
        <v>40</v>
      </c>
      <c r="I102" s="256">
        <v>1.76</v>
      </c>
      <c r="J102" s="61">
        <v>2.4300000000000002</v>
      </c>
      <c r="K102" s="61">
        <f>I102</f>
        <v>1.76</v>
      </c>
      <c r="L102" s="15">
        <f t="shared" ref="L102:L117" si="162">0.9*M102-0.1</f>
        <v>0.71000000000000008</v>
      </c>
      <c r="M102" s="61">
        <f t="shared" si="103"/>
        <v>0.9</v>
      </c>
      <c r="N102" s="61">
        <f t="shared" ref="N102:N117" si="163">IF(G102=1,I102+2*L102,K102+2*L102)</f>
        <v>3.18</v>
      </c>
      <c r="O102" s="61">
        <f t="shared" ref="O102:O117" si="164">IF(G102=1,I102+2*M102,K102+2*M102)</f>
        <v>3.56</v>
      </c>
      <c r="P102" s="61">
        <f t="shared" ref="P102:P117" si="165">IF(C102=1,O102*1,IF(C102=2,O102*2,IF(C102=3,O102*2.15,IF(C102=4,O102*2.41,IF(C102=5,O102*2.7,"ошибка")))))</f>
        <v>7.12</v>
      </c>
      <c r="Q102" s="61">
        <f t="shared" si="104"/>
        <v>0</v>
      </c>
      <c r="R102" s="61">
        <f t="shared" ref="R102:R117" si="166">IF(P102&lt;=25,0.5,IF(AND(P102&gt;25,P102&lt;=35),0.6,IF(AND(P102&gt;35,P102&lt;=45),0.7,IF(AND(P102&gt;45,P102&lt;=60),0.8,IF(AND(P102&gt;60,P102&lt;=80),0.9,1)))))</f>
        <v>0.5</v>
      </c>
      <c r="S102" s="61">
        <f t="shared" si="105"/>
        <v>1.4</v>
      </c>
      <c r="T102" s="61">
        <f t="shared" ref="T102:T117" si="167">P102+2*S102</f>
        <v>9.92</v>
      </c>
      <c r="U102" s="201">
        <f t="shared" si="106"/>
        <v>2</v>
      </c>
      <c r="V102" s="203">
        <f t="shared" si="107"/>
        <v>0.25</v>
      </c>
      <c r="W102" s="37" t="s">
        <v>40</v>
      </c>
      <c r="X102" s="202">
        <f t="shared" ref="X102:X117" si="168">IF(AND(T102&gt;7,T102&lt;=10),15,IF(AND(T102&gt;10,T102&lt;=13),20,IF(AND(T102&gt;13,T102&lt;=21),30,IF(AND(T102&gt;21,T102&lt;=31),40,IF(AND(T102&gt;31,T102&lt;=70),50,IF(AND(T102&gt;70,T102&lt;=80),60,"ошибка"))))))</f>
        <v>15</v>
      </c>
      <c r="Y102" s="201">
        <f t="shared" si="148"/>
        <v>35</v>
      </c>
      <c r="Z102" s="61">
        <f t="shared" ref="Z102:Z117" si="169">T102+2*U102*V102</f>
        <v>10.92</v>
      </c>
      <c r="AA102" s="299">
        <f t="shared" ref="AA102:AA117" si="170">0.85*AB102-0.1</f>
        <v>1.43</v>
      </c>
      <c r="AB102" s="299">
        <f t="shared" ref="AB102:AB117" si="171">IF(Z102&lt;=20,1.8,IF(AND(Z102&gt;20,Z102&lt;=30),2,IF(AND(Z102&gt;30,Z102&lt;=40),2.2,IF(AND(Z102&gt;40,Z102&lt;=50),2.4,IF(AND(Z102&gt;50,Z102&lt;=60),2.6,3.1)))))</f>
        <v>1.8</v>
      </c>
      <c r="AC102" s="299">
        <f t="shared" ref="AC102:AC117" si="172">Z102+2*AA102</f>
        <v>13.78</v>
      </c>
      <c r="AD102" s="299">
        <f t="shared" ref="AD102:AD117" si="173">Z102+2*AB102</f>
        <v>14.52</v>
      </c>
      <c r="AE102" s="61">
        <f t="shared" ref="AE102:AE117" si="174">IF(G102=1,PI()*I102^2/4,J102)*$AE$9*C102*IF(C102&gt;1,1.007,1)</f>
        <v>13.229348200541184</v>
      </c>
      <c r="AF102" s="299">
        <v>0</v>
      </c>
      <c r="AG102" s="61">
        <f t="shared" ref="AG102:AG117" si="175">PI()*(IF(G102=1,I102,K102)+M102)*M102*$AG$9*C102*IF(C102&gt;1,1.007,1)*IF(G102=1,1,(IF(E102&gt;=4,1.1,1.07)))</f>
        <v>20.297300587985966</v>
      </c>
      <c r="AH102" s="15">
        <f t="shared" ref="AH102:AH117" si="176">PI()*POWER(Q102,2)/4*$AH$9</f>
        <v>0</v>
      </c>
      <c r="AI102" s="299">
        <f t="shared" ref="AI102:AI117" si="177">IF(C102&gt;1,(PI()*T102^2/4-PI()*O102^2*(C102+2)/8-C102*(SIN(PI()*(C102-2)/C102))/2*(P102/2-O102/2)^2)*$AI$9,PI()*(P102+S102)*S102*1.07*$AI$9)</f>
        <v>80.332786099001595</v>
      </c>
      <c r="AJ102" s="299">
        <f t="shared" ref="AJ102:AJ117" si="178">PI()*(T102+U102*V102)*U102*V102*$AJ$9*ROUND(100/(100+Y102),2)</f>
        <v>94.474351269870695</v>
      </c>
      <c r="AK102" s="299">
        <f t="shared" ref="AK102:AK117" si="179">PI()*(Z102+AB102)*AB102*1.1*$AK$9</f>
        <v>110.77205431075153</v>
      </c>
      <c r="AL102" s="61">
        <f t="shared" ref="AL102:AL117" si="180">SUM(AE102:AK102)</f>
        <v>319.10584046815097</v>
      </c>
      <c r="AM102" s="326">
        <f t="shared" ref="AM102:AM108" si="181">ROUND(AE102*1.015,2)</f>
        <v>13.43</v>
      </c>
      <c r="AN102" s="326">
        <f t="shared" ref="AN102:AN108" si="182">ROUND(AF102*1.015,2)</f>
        <v>0</v>
      </c>
      <c r="AO102" s="326">
        <f t="shared" ref="AO102:AO108" si="183">ROUND(AG102*1.032,2)</f>
        <v>20.95</v>
      </c>
      <c r="AP102" s="326">
        <f t="shared" ref="AP102:AP108" si="184">ROUND(AH102*1.032,2)</f>
        <v>0</v>
      </c>
      <c r="AQ102" s="326">
        <f t="shared" ref="AQ102:AQ108" si="185">ROUND(AI102*1.032,2)</f>
        <v>82.9</v>
      </c>
      <c r="AR102" s="326">
        <f t="shared" ref="AR102:AR108" si="186">ROUND(AJ102*1.03,2)</f>
        <v>97.31</v>
      </c>
      <c r="AS102" s="326">
        <f t="shared" ref="AS102:AS108" si="187">ROUND(AK102*1.032,2)</f>
        <v>114.32</v>
      </c>
    </row>
    <row r="103" spans="1:45" s="210" customFormat="1" outlineLevel="2" x14ac:dyDescent="0.25">
      <c r="A103" s="319"/>
      <c r="B103" s="357" t="str">
        <f t="shared" si="160"/>
        <v>Кабель АВБШв 2*4ок (N) - 1 ГОСТ 31996-2012</v>
      </c>
      <c r="C103" s="257">
        <v>2</v>
      </c>
      <c r="D103" s="34" t="s">
        <v>40</v>
      </c>
      <c r="E103" s="289">
        <v>4</v>
      </c>
      <c r="F103" s="275" t="str">
        <f t="shared" si="161"/>
        <v>ок</v>
      </c>
      <c r="G103" s="274">
        <v>1</v>
      </c>
      <c r="H103" s="34" t="s">
        <v>40</v>
      </c>
      <c r="I103" s="256">
        <v>2.23</v>
      </c>
      <c r="J103" s="61">
        <v>3.91</v>
      </c>
      <c r="K103" s="61">
        <f t="shared" ref="K103:K108" si="188">I103</f>
        <v>2.23</v>
      </c>
      <c r="L103" s="15">
        <f t="shared" si="162"/>
        <v>0.89000000000000012</v>
      </c>
      <c r="M103" s="61">
        <f t="shared" si="103"/>
        <v>1.1000000000000001</v>
      </c>
      <c r="N103" s="61">
        <f t="shared" si="163"/>
        <v>4.01</v>
      </c>
      <c r="O103" s="61">
        <f t="shared" si="164"/>
        <v>4.43</v>
      </c>
      <c r="P103" s="61">
        <f t="shared" si="165"/>
        <v>8.86</v>
      </c>
      <c r="Q103" s="61">
        <f t="shared" si="104"/>
        <v>0</v>
      </c>
      <c r="R103" s="61">
        <f t="shared" si="166"/>
        <v>0.5</v>
      </c>
      <c r="S103" s="61">
        <f t="shared" si="105"/>
        <v>1.4</v>
      </c>
      <c r="T103" s="61">
        <f t="shared" si="167"/>
        <v>11.66</v>
      </c>
      <c r="U103" s="201">
        <f t="shared" si="106"/>
        <v>2</v>
      </c>
      <c r="V103" s="203">
        <f t="shared" si="107"/>
        <v>0.25</v>
      </c>
      <c r="W103" s="37" t="s">
        <v>40</v>
      </c>
      <c r="X103" s="202">
        <f t="shared" si="168"/>
        <v>20</v>
      </c>
      <c r="Y103" s="201">
        <f t="shared" si="148"/>
        <v>35</v>
      </c>
      <c r="Z103" s="61">
        <f t="shared" si="169"/>
        <v>12.66</v>
      </c>
      <c r="AA103" s="299">
        <f t="shared" si="170"/>
        <v>1.43</v>
      </c>
      <c r="AB103" s="299">
        <f t="shared" si="171"/>
        <v>1.8</v>
      </c>
      <c r="AC103" s="299">
        <f t="shared" si="172"/>
        <v>15.52</v>
      </c>
      <c r="AD103" s="299">
        <f t="shared" si="173"/>
        <v>16.260000000000002</v>
      </c>
      <c r="AE103" s="61">
        <f t="shared" si="174"/>
        <v>21.238450951211014</v>
      </c>
      <c r="AF103" s="299">
        <v>0</v>
      </c>
      <c r="AG103" s="61">
        <f t="shared" si="175"/>
        <v>31.056396012444687</v>
      </c>
      <c r="AH103" s="15">
        <f t="shared" si="176"/>
        <v>0</v>
      </c>
      <c r="AI103" s="299">
        <f t="shared" si="177"/>
        <v>106.33358079383335</v>
      </c>
      <c r="AJ103" s="299">
        <f t="shared" si="178"/>
        <v>110.25029860284333</v>
      </c>
      <c r="AK103" s="299">
        <f t="shared" si="179"/>
        <v>125.92483532495812</v>
      </c>
      <c r="AL103" s="61">
        <f t="shared" si="180"/>
        <v>394.8035616852905</v>
      </c>
      <c r="AM103" s="326">
        <f t="shared" si="181"/>
        <v>21.56</v>
      </c>
      <c r="AN103" s="326">
        <f t="shared" si="182"/>
        <v>0</v>
      </c>
      <c r="AO103" s="326">
        <f t="shared" si="183"/>
        <v>32.049999999999997</v>
      </c>
      <c r="AP103" s="326">
        <f t="shared" si="184"/>
        <v>0</v>
      </c>
      <c r="AQ103" s="326">
        <f t="shared" si="185"/>
        <v>109.74</v>
      </c>
      <c r="AR103" s="326">
        <f t="shared" si="186"/>
        <v>113.56</v>
      </c>
      <c r="AS103" s="326">
        <f t="shared" si="187"/>
        <v>129.94999999999999</v>
      </c>
    </row>
    <row r="104" spans="1:45" s="210" customFormat="1" outlineLevel="2" x14ac:dyDescent="0.25">
      <c r="A104" s="319"/>
      <c r="B104" s="357" t="str">
        <f t="shared" si="160"/>
        <v>Кабель АВБШв 2*6ок (N) - 1 ГОСТ 31996-2012</v>
      </c>
      <c r="C104" s="257">
        <v>2</v>
      </c>
      <c r="D104" s="34" t="s">
        <v>40</v>
      </c>
      <c r="E104" s="289">
        <v>6</v>
      </c>
      <c r="F104" s="276" t="str">
        <f t="shared" si="161"/>
        <v>ок</v>
      </c>
      <c r="G104" s="274">
        <v>1</v>
      </c>
      <c r="H104" s="34" t="s">
        <v>40</v>
      </c>
      <c r="I104" s="256">
        <v>2.69</v>
      </c>
      <c r="J104" s="61">
        <v>5.68</v>
      </c>
      <c r="K104" s="61">
        <f t="shared" si="188"/>
        <v>2.69</v>
      </c>
      <c r="L104" s="15">
        <f t="shared" si="162"/>
        <v>0.89000000000000012</v>
      </c>
      <c r="M104" s="61">
        <f t="shared" si="103"/>
        <v>1.1000000000000001</v>
      </c>
      <c r="N104" s="61">
        <f t="shared" si="163"/>
        <v>4.4700000000000006</v>
      </c>
      <c r="O104" s="61">
        <f t="shared" si="164"/>
        <v>4.8900000000000006</v>
      </c>
      <c r="P104" s="61">
        <f t="shared" si="165"/>
        <v>9.7800000000000011</v>
      </c>
      <c r="Q104" s="61">
        <f t="shared" si="104"/>
        <v>0</v>
      </c>
      <c r="R104" s="61">
        <f t="shared" si="166"/>
        <v>0.5</v>
      </c>
      <c r="S104" s="61">
        <f t="shared" si="105"/>
        <v>1.4</v>
      </c>
      <c r="T104" s="61">
        <f t="shared" si="167"/>
        <v>12.580000000000002</v>
      </c>
      <c r="U104" s="201">
        <f t="shared" si="106"/>
        <v>2</v>
      </c>
      <c r="V104" s="203">
        <f t="shared" si="107"/>
        <v>0.25</v>
      </c>
      <c r="W104" s="37" t="s">
        <v>40</v>
      </c>
      <c r="X104" s="202">
        <f t="shared" si="168"/>
        <v>20</v>
      </c>
      <c r="Y104" s="201">
        <f t="shared" si="148"/>
        <v>35</v>
      </c>
      <c r="Z104" s="61">
        <f t="shared" si="169"/>
        <v>13.580000000000002</v>
      </c>
      <c r="AA104" s="299">
        <f t="shared" si="170"/>
        <v>1.43</v>
      </c>
      <c r="AB104" s="299">
        <f t="shared" si="171"/>
        <v>1.8</v>
      </c>
      <c r="AC104" s="299">
        <f t="shared" si="172"/>
        <v>16.440000000000001</v>
      </c>
      <c r="AD104" s="299">
        <f t="shared" si="173"/>
        <v>17.180000000000003</v>
      </c>
      <c r="AE104" s="61">
        <f t="shared" si="174"/>
        <v>30.904211813641542</v>
      </c>
      <c r="AF104" s="299">
        <v>0</v>
      </c>
      <c r="AG104" s="61">
        <f t="shared" si="175"/>
        <v>35.346468734884496</v>
      </c>
      <c r="AH104" s="15">
        <f t="shared" si="176"/>
        <v>0</v>
      </c>
      <c r="AI104" s="299">
        <f t="shared" si="177"/>
        <v>121.42654588391559</v>
      </c>
      <c r="AJ104" s="299">
        <f t="shared" si="178"/>
        <v>118.59160408924271</v>
      </c>
      <c r="AK104" s="299">
        <f t="shared" si="179"/>
        <v>133.93665057384896</v>
      </c>
      <c r="AL104" s="61">
        <f t="shared" si="180"/>
        <v>440.20548109553329</v>
      </c>
      <c r="AM104" s="326">
        <f t="shared" si="181"/>
        <v>31.37</v>
      </c>
      <c r="AN104" s="326">
        <f t="shared" si="182"/>
        <v>0</v>
      </c>
      <c r="AO104" s="326">
        <f t="shared" si="183"/>
        <v>36.479999999999997</v>
      </c>
      <c r="AP104" s="326">
        <f t="shared" si="184"/>
        <v>0</v>
      </c>
      <c r="AQ104" s="326">
        <f t="shared" si="185"/>
        <v>125.31</v>
      </c>
      <c r="AR104" s="326">
        <f t="shared" si="186"/>
        <v>122.15</v>
      </c>
      <c r="AS104" s="326">
        <f t="shared" si="187"/>
        <v>138.22</v>
      </c>
    </row>
    <row r="105" spans="1:45" s="210" customFormat="1" outlineLevel="2" x14ac:dyDescent="0.25">
      <c r="A105" s="319"/>
      <c r="B105" s="357" t="str">
        <f t="shared" si="160"/>
        <v>Кабель АВБШв 2*10ок (N) - 1 ГОСТ 31996-2012</v>
      </c>
      <c r="C105" s="257">
        <v>2</v>
      </c>
      <c r="D105" s="34" t="s">
        <v>40</v>
      </c>
      <c r="E105" s="289">
        <v>10</v>
      </c>
      <c r="F105" s="275" t="str">
        <f t="shared" si="161"/>
        <v>ок</v>
      </c>
      <c r="G105" s="274">
        <v>1</v>
      </c>
      <c r="H105" s="34" t="s">
        <v>40</v>
      </c>
      <c r="I105" s="256">
        <v>3.46</v>
      </c>
      <c r="J105" s="61">
        <v>9.4</v>
      </c>
      <c r="K105" s="61">
        <f t="shared" si="188"/>
        <v>3.46</v>
      </c>
      <c r="L105" s="15">
        <f t="shared" si="162"/>
        <v>0.89000000000000012</v>
      </c>
      <c r="M105" s="61">
        <f t="shared" si="103"/>
        <v>1.1000000000000001</v>
      </c>
      <c r="N105" s="61">
        <f t="shared" si="163"/>
        <v>5.24</v>
      </c>
      <c r="O105" s="61">
        <f t="shared" si="164"/>
        <v>5.66</v>
      </c>
      <c r="P105" s="61">
        <f t="shared" si="165"/>
        <v>11.32</v>
      </c>
      <c r="Q105" s="61">
        <f t="shared" si="104"/>
        <v>0</v>
      </c>
      <c r="R105" s="61">
        <f t="shared" si="166"/>
        <v>0.5</v>
      </c>
      <c r="S105" s="61">
        <f t="shared" si="105"/>
        <v>1.4</v>
      </c>
      <c r="T105" s="61">
        <f t="shared" si="167"/>
        <v>14.120000000000001</v>
      </c>
      <c r="U105" s="201">
        <f t="shared" si="106"/>
        <v>2</v>
      </c>
      <c r="V105" s="203">
        <f t="shared" si="107"/>
        <v>0.25</v>
      </c>
      <c r="W105" s="37" t="s">
        <v>40</v>
      </c>
      <c r="X105" s="202">
        <f t="shared" si="168"/>
        <v>30</v>
      </c>
      <c r="Y105" s="201">
        <f t="shared" si="148"/>
        <v>35</v>
      </c>
      <c r="Z105" s="61">
        <f t="shared" si="169"/>
        <v>15.120000000000001</v>
      </c>
      <c r="AA105" s="299">
        <f t="shared" si="170"/>
        <v>1.43</v>
      </c>
      <c r="AB105" s="299">
        <f t="shared" si="171"/>
        <v>1.8</v>
      </c>
      <c r="AC105" s="299">
        <f t="shared" si="172"/>
        <v>17.98</v>
      </c>
      <c r="AD105" s="299">
        <f t="shared" si="173"/>
        <v>18.720000000000002</v>
      </c>
      <c r="AE105" s="61">
        <f t="shared" si="174"/>
        <v>51.128765792096729</v>
      </c>
      <c r="AF105" s="299">
        <v>0</v>
      </c>
      <c r="AG105" s="61">
        <f t="shared" si="175"/>
        <v>42.527677422446786</v>
      </c>
      <c r="AH105" s="15">
        <f t="shared" si="176"/>
        <v>0</v>
      </c>
      <c r="AI105" s="299">
        <f t="shared" si="177"/>
        <v>148.77363869451668</v>
      </c>
      <c r="AJ105" s="299">
        <f t="shared" si="178"/>
        <v>132.55422414256327</v>
      </c>
      <c r="AK105" s="299">
        <f t="shared" si="179"/>
        <v>147.34773262090536</v>
      </c>
      <c r="AL105" s="61">
        <f t="shared" si="180"/>
        <v>522.33203867252882</v>
      </c>
      <c r="AM105" s="326">
        <f t="shared" si="181"/>
        <v>51.9</v>
      </c>
      <c r="AN105" s="326">
        <f t="shared" si="182"/>
        <v>0</v>
      </c>
      <c r="AO105" s="326">
        <f t="shared" si="183"/>
        <v>43.89</v>
      </c>
      <c r="AP105" s="326">
        <f t="shared" si="184"/>
        <v>0</v>
      </c>
      <c r="AQ105" s="326">
        <f t="shared" si="185"/>
        <v>153.53</v>
      </c>
      <c r="AR105" s="326">
        <f t="shared" si="186"/>
        <v>136.53</v>
      </c>
      <c r="AS105" s="326">
        <f t="shared" si="187"/>
        <v>152.06</v>
      </c>
    </row>
    <row r="106" spans="1:45" s="210" customFormat="1" outlineLevel="2" x14ac:dyDescent="0.25">
      <c r="A106" s="319"/>
      <c r="B106" s="357" t="str">
        <f t="shared" si="160"/>
        <v>Кабель АВБШв 2*16ок (N) - 1 ГОСТ 31996-2012</v>
      </c>
      <c r="C106" s="257">
        <v>2</v>
      </c>
      <c r="D106" s="34" t="s">
        <v>40</v>
      </c>
      <c r="E106" s="289">
        <v>16</v>
      </c>
      <c r="F106" s="275" t="str">
        <f t="shared" si="161"/>
        <v>ок</v>
      </c>
      <c r="G106" s="274">
        <v>1</v>
      </c>
      <c r="H106" s="34" t="s">
        <v>40</v>
      </c>
      <c r="I106" s="256">
        <v>4.41</v>
      </c>
      <c r="J106" s="61">
        <v>15.27</v>
      </c>
      <c r="K106" s="61">
        <f t="shared" si="188"/>
        <v>4.41</v>
      </c>
      <c r="L106" s="15">
        <f t="shared" si="162"/>
        <v>0.89000000000000012</v>
      </c>
      <c r="M106" s="61">
        <f t="shared" si="103"/>
        <v>1.1000000000000001</v>
      </c>
      <c r="N106" s="61">
        <f t="shared" si="163"/>
        <v>6.19</v>
      </c>
      <c r="O106" s="61">
        <f t="shared" si="164"/>
        <v>6.61</v>
      </c>
      <c r="P106" s="61">
        <f t="shared" si="165"/>
        <v>13.22</v>
      </c>
      <c r="Q106" s="61">
        <f t="shared" si="104"/>
        <v>0</v>
      </c>
      <c r="R106" s="61">
        <f t="shared" si="166"/>
        <v>0.5</v>
      </c>
      <c r="S106" s="61">
        <f t="shared" si="105"/>
        <v>1.4</v>
      </c>
      <c r="T106" s="61">
        <f t="shared" si="167"/>
        <v>16.02</v>
      </c>
      <c r="U106" s="201">
        <f t="shared" si="106"/>
        <v>2</v>
      </c>
      <c r="V106" s="203">
        <f t="shared" si="107"/>
        <v>0.25</v>
      </c>
      <c r="W106" s="37" t="s">
        <v>40</v>
      </c>
      <c r="X106" s="202">
        <f t="shared" si="168"/>
        <v>30</v>
      </c>
      <c r="Y106" s="201">
        <f t="shared" si="148"/>
        <v>35</v>
      </c>
      <c r="Z106" s="61">
        <f t="shared" si="169"/>
        <v>17.02</v>
      </c>
      <c r="AA106" s="299">
        <f t="shared" si="170"/>
        <v>1.43</v>
      </c>
      <c r="AB106" s="299">
        <f t="shared" si="171"/>
        <v>1.8</v>
      </c>
      <c r="AC106" s="299">
        <f t="shared" si="172"/>
        <v>19.88</v>
      </c>
      <c r="AD106" s="299">
        <f t="shared" si="173"/>
        <v>20.62</v>
      </c>
      <c r="AE106" s="61">
        <f t="shared" si="174"/>
        <v>83.059687092892872</v>
      </c>
      <c r="AF106" s="299">
        <v>0</v>
      </c>
      <c r="AG106" s="61">
        <f t="shared" si="175"/>
        <v>51.38761021878986</v>
      </c>
      <c r="AH106" s="15">
        <f t="shared" si="176"/>
        <v>0</v>
      </c>
      <c r="AI106" s="299">
        <f t="shared" si="177"/>
        <v>186.10691207308363</v>
      </c>
      <c r="AJ106" s="299">
        <f t="shared" si="178"/>
        <v>149.78083329925755</v>
      </c>
      <c r="AK106" s="299">
        <f t="shared" si="179"/>
        <v>163.89387280883207</v>
      </c>
      <c r="AL106" s="61">
        <f t="shared" si="180"/>
        <v>634.228915492856</v>
      </c>
      <c r="AM106" s="326">
        <f t="shared" si="181"/>
        <v>84.31</v>
      </c>
      <c r="AN106" s="326">
        <f t="shared" si="182"/>
        <v>0</v>
      </c>
      <c r="AO106" s="326">
        <f t="shared" si="183"/>
        <v>53.03</v>
      </c>
      <c r="AP106" s="326">
        <f t="shared" si="184"/>
        <v>0</v>
      </c>
      <c r="AQ106" s="326">
        <f t="shared" si="185"/>
        <v>192.06</v>
      </c>
      <c r="AR106" s="326">
        <f t="shared" si="186"/>
        <v>154.27000000000001</v>
      </c>
      <c r="AS106" s="326">
        <f t="shared" si="187"/>
        <v>169.14</v>
      </c>
    </row>
    <row r="107" spans="1:45" s="210" customFormat="1" outlineLevel="2" x14ac:dyDescent="0.25">
      <c r="A107" s="354">
        <v>40207018</v>
      </c>
      <c r="B107" s="357" t="str">
        <f t="shared" si="160"/>
        <v>Кабель АВБШв 2*25ок (N) - 1 ГОСТ 31996-2012</v>
      </c>
      <c r="C107" s="257">
        <v>2</v>
      </c>
      <c r="D107" s="34" t="s">
        <v>40</v>
      </c>
      <c r="E107" s="289">
        <v>25</v>
      </c>
      <c r="F107" s="275" t="str">
        <f t="shared" si="161"/>
        <v>ок</v>
      </c>
      <c r="G107" s="274">
        <v>1</v>
      </c>
      <c r="H107" s="34" t="s">
        <v>40</v>
      </c>
      <c r="I107" s="256">
        <v>5.54</v>
      </c>
      <c r="J107" s="61">
        <v>24.11</v>
      </c>
      <c r="K107" s="61">
        <f t="shared" si="188"/>
        <v>5.54</v>
      </c>
      <c r="L107" s="15">
        <f t="shared" si="162"/>
        <v>1.07</v>
      </c>
      <c r="M107" s="61">
        <f t="shared" si="103"/>
        <v>1.3</v>
      </c>
      <c r="N107" s="61">
        <f t="shared" si="163"/>
        <v>7.68</v>
      </c>
      <c r="O107" s="61">
        <f t="shared" si="164"/>
        <v>8.14</v>
      </c>
      <c r="P107" s="61">
        <f t="shared" si="165"/>
        <v>16.28</v>
      </c>
      <c r="Q107" s="61">
        <f t="shared" si="104"/>
        <v>0</v>
      </c>
      <c r="R107" s="61">
        <f t="shared" si="166"/>
        <v>0.5</v>
      </c>
      <c r="S107" s="61">
        <f t="shared" si="105"/>
        <v>1.4</v>
      </c>
      <c r="T107" s="61">
        <f t="shared" si="167"/>
        <v>19.080000000000002</v>
      </c>
      <c r="U107" s="201">
        <f t="shared" si="106"/>
        <v>2</v>
      </c>
      <c r="V107" s="203">
        <f t="shared" si="107"/>
        <v>0.25</v>
      </c>
      <c r="W107" s="37" t="s">
        <v>40</v>
      </c>
      <c r="X107" s="202">
        <f t="shared" si="168"/>
        <v>30</v>
      </c>
      <c r="Y107" s="201">
        <f t="shared" si="148"/>
        <v>35</v>
      </c>
      <c r="Z107" s="61">
        <f t="shared" si="169"/>
        <v>20.080000000000002</v>
      </c>
      <c r="AA107" s="299">
        <f t="shared" si="170"/>
        <v>1.5999999999999999</v>
      </c>
      <c r="AB107" s="299">
        <f t="shared" si="171"/>
        <v>2</v>
      </c>
      <c r="AC107" s="299">
        <f t="shared" si="172"/>
        <v>23.28</v>
      </c>
      <c r="AD107" s="299">
        <f t="shared" si="173"/>
        <v>24.080000000000002</v>
      </c>
      <c r="AE107" s="61">
        <f t="shared" si="174"/>
        <v>131.07885564040862</v>
      </c>
      <c r="AF107" s="299">
        <v>0</v>
      </c>
      <c r="AG107" s="61">
        <f t="shared" si="175"/>
        <v>75.389973612519299</v>
      </c>
      <c r="AH107" s="15">
        <f t="shared" si="176"/>
        <v>0</v>
      </c>
      <c r="AI107" s="299">
        <f t="shared" si="177"/>
        <v>254.57745271917523</v>
      </c>
      <c r="AJ107" s="299">
        <f t="shared" si="178"/>
        <v>177.52474067793361</v>
      </c>
      <c r="AK107" s="299">
        <f t="shared" si="179"/>
        <v>213.64840663708893</v>
      </c>
      <c r="AL107" s="61">
        <f t="shared" si="180"/>
        <v>852.21942928712565</v>
      </c>
      <c r="AM107" s="326">
        <f t="shared" si="181"/>
        <v>133.05000000000001</v>
      </c>
      <c r="AN107" s="326">
        <f t="shared" si="182"/>
        <v>0</v>
      </c>
      <c r="AO107" s="326">
        <f t="shared" si="183"/>
        <v>77.8</v>
      </c>
      <c r="AP107" s="326">
        <f t="shared" si="184"/>
        <v>0</v>
      </c>
      <c r="AQ107" s="326">
        <f t="shared" si="185"/>
        <v>262.72000000000003</v>
      </c>
      <c r="AR107" s="326">
        <f t="shared" si="186"/>
        <v>182.85</v>
      </c>
      <c r="AS107" s="326">
        <f t="shared" si="187"/>
        <v>220.49</v>
      </c>
    </row>
    <row r="108" spans="1:45" s="210" customFormat="1" outlineLevel="2" x14ac:dyDescent="0.25">
      <c r="A108" s="318"/>
      <c r="B108" s="357" t="str">
        <f t="shared" si="160"/>
        <v>Кабель АВБШв 2*35ок (N) - 1 ГОСТ 31996-2012</v>
      </c>
      <c r="C108" s="257">
        <v>2</v>
      </c>
      <c r="D108" s="34" t="s">
        <v>40</v>
      </c>
      <c r="E108" s="289">
        <v>35</v>
      </c>
      <c r="F108" s="275" t="str">
        <f t="shared" si="161"/>
        <v>ок</v>
      </c>
      <c r="G108" s="274">
        <v>1</v>
      </c>
      <c r="H108" s="34" t="s">
        <v>40</v>
      </c>
      <c r="I108" s="256">
        <v>6.51</v>
      </c>
      <c r="J108" s="61">
        <v>33.29</v>
      </c>
      <c r="K108" s="61">
        <f t="shared" si="188"/>
        <v>6.51</v>
      </c>
      <c r="L108" s="15">
        <f t="shared" si="162"/>
        <v>1.07</v>
      </c>
      <c r="M108" s="61">
        <f t="shared" si="103"/>
        <v>1.3</v>
      </c>
      <c r="N108" s="61">
        <f t="shared" si="163"/>
        <v>8.65</v>
      </c>
      <c r="O108" s="61">
        <f t="shared" si="164"/>
        <v>9.11</v>
      </c>
      <c r="P108" s="61">
        <f t="shared" si="165"/>
        <v>18.22</v>
      </c>
      <c r="Q108" s="61">
        <f t="shared" si="104"/>
        <v>0</v>
      </c>
      <c r="R108" s="61">
        <f t="shared" si="166"/>
        <v>0.5</v>
      </c>
      <c r="S108" s="61">
        <f t="shared" si="105"/>
        <v>1.4</v>
      </c>
      <c r="T108" s="61">
        <f t="shared" si="167"/>
        <v>21.02</v>
      </c>
      <c r="U108" s="201">
        <f t="shared" si="106"/>
        <v>2</v>
      </c>
      <c r="V108" s="203">
        <f t="shared" si="107"/>
        <v>0.25</v>
      </c>
      <c r="W108" s="37" t="s">
        <v>40</v>
      </c>
      <c r="X108" s="202">
        <f t="shared" si="168"/>
        <v>40</v>
      </c>
      <c r="Y108" s="201">
        <f t="shared" si="148"/>
        <v>35</v>
      </c>
      <c r="Z108" s="61">
        <f t="shared" si="169"/>
        <v>22.02</v>
      </c>
      <c r="AA108" s="299">
        <f t="shared" si="170"/>
        <v>1.5999999999999999</v>
      </c>
      <c r="AB108" s="299">
        <f t="shared" si="171"/>
        <v>2</v>
      </c>
      <c r="AC108" s="299">
        <f t="shared" si="172"/>
        <v>25.22</v>
      </c>
      <c r="AD108" s="299">
        <f t="shared" si="173"/>
        <v>26.02</v>
      </c>
      <c r="AE108" s="61">
        <f t="shared" si="174"/>
        <v>180.99854715707494</v>
      </c>
      <c r="AF108" s="299">
        <v>0</v>
      </c>
      <c r="AG108" s="61">
        <f t="shared" si="175"/>
        <v>86.08124180025959</v>
      </c>
      <c r="AH108" s="15">
        <f t="shared" si="176"/>
        <v>0</v>
      </c>
      <c r="AI108" s="299">
        <f t="shared" si="177"/>
        <v>303.3197339785188</v>
      </c>
      <c r="AJ108" s="299">
        <f t="shared" si="178"/>
        <v>195.11401529055829</v>
      </c>
      <c r="AK108" s="299">
        <f t="shared" si="179"/>
        <v>232.42005106081865</v>
      </c>
      <c r="AL108" s="61">
        <f t="shared" si="180"/>
        <v>997.93358928723035</v>
      </c>
      <c r="AM108" s="326">
        <f t="shared" si="181"/>
        <v>183.71</v>
      </c>
      <c r="AN108" s="326">
        <f t="shared" si="182"/>
        <v>0</v>
      </c>
      <c r="AO108" s="326">
        <f t="shared" si="183"/>
        <v>88.84</v>
      </c>
      <c r="AP108" s="326">
        <f t="shared" si="184"/>
        <v>0</v>
      </c>
      <c r="AQ108" s="326">
        <f t="shared" si="185"/>
        <v>313.02999999999997</v>
      </c>
      <c r="AR108" s="326">
        <f t="shared" si="186"/>
        <v>200.97</v>
      </c>
      <c r="AS108" s="326">
        <f t="shared" si="187"/>
        <v>239.86</v>
      </c>
    </row>
    <row r="109" spans="1:45" s="210" customFormat="1" outlineLevel="2" x14ac:dyDescent="0.25">
      <c r="A109" s="354">
        <v>40207019</v>
      </c>
      <c r="B109" s="357" t="str">
        <f t="shared" si="160"/>
        <v>Кабель АВБШв 2*25мк (N) - 1 ГОСТ 31996-2012</v>
      </c>
      <c r="C109" s="257">
        <v>2</v>
      </c>
      <c r="D109" s="34" t="s">
        <v>40</v>
      </c>
      <c r="E109" s="289">
        <v>25</v>
      </c>
      <c r="F109" s="275" t="str">
        <f t="shared" si="161"/>
        <v>мк</v>
      </c>
      <c r="G109" s="274">
        <v>7</v>
      </c>
      <c r="H109" s="34" t="s">
        <v>40</v>
      </c>
      <c r="I109" s="256">
        <v>2.19</v>
      </c>
      <c r="J109" s="61">
        <v>24.05</v>
      </c>
      <c r="K109" s="299">
        <v>5.84</v>
      </c>
      <c r="L109" s="15">
        <f t="shared" si="162"/>
        <v>1.07</v>
      </c>
      <c r="M109" s="61">
        <f t="shared" si="103"/>
        <v>1.3</v>
      </c>
      <c r="N109" s="61">
        <f t="shared" si="163"/>
        <v>7.98</v>
      </c>
      <c r="O109" s="61">
        <f t="shared" si="164"/>
        <v>8.44</v>
      </c>
      <c r="P109" s="61">
        <f t="shared" si="165"/>
        <v>16.88</v>
      </c>
      <c r="Q109" s="61">
        <f t="shared" si="104"/>
        <v>0</v>
      </c>
      <c r="R109" s="61">
        <f t="shared" si="166"/>
        <v>0.5</v>
      </c>
      <c r="S109" s="61">
        <f t="shared" si="105"/>
        <v>1.4</v>
      </c>
      <c r="T109" s="61">
        <f t="shared" si="167"/>
        <v>19.68</v>
      </c>
      <c r="U109" s="201">
        <f t="shared" si="106"/>
        <v>2</v>
      </c>
      <c r="V109" s="203">
        <f t="shared" si="107"/>
        <v>0.25</v>
      </c>
      <c r="W109" s="37" t="s">
        <v>40</v>
      </c>
      <c r="X109" s="202">
        <f t="shared" si="168"/>
        <v>30</v>
      </c>
      <c r="Y109" s="201">
        <f t="shared" si="148"/>
        <v>35</v>
      </c>
      <c r="Z109" s="61">
        <f t="shared" si="169"/>
        <v>20.68</v>
      </c>
      <c r="AA109" s="299">
        <f t="shared" si="170"/>
        <v>1.5999999999999999</v>
      </c>
      <c r="AB109" s="299">
        <f t="shared" si="171"/>
        <v>2</v>
      </c>
      <c r="AC109" s="299">
        <f t="shared" si="172"/>
        <v>23.88</v>
      </c>
      <c r="AD109" s="299">
        <f t="shared" si="173"/>
        <v>24.68</v>
      </c>
      <c r="AE109" s="61">
        <f t="shared" si="174"/>
        <v>130.77909</v>
      </c>
      <c r="AF109" s="299">
        <v>0</v>
      </c>
      <c r="AG109" s="61">
        <f t="shared" si="175"/>
        <v>86.566206542796266</v>
      </c>
      <c r="AH109" s="15">
        <f t="shared" si="176"/>
        <v>0</v>
      </c>
      <c r="AI109" s="299">
        <f t="shared" si="177"/>
        <v>269.21036298106566</v>
      </c>
      <c r="AJ109" s="299">
        <f t="shared" si="178"/>
        <v>182.96472251688968</v>
      </c>
      <c r="AK109" s="299">
        <f t="shared" si="179"/>
        <v>219.45406986092286</v>
      </c>
      <c r="AL109" s="61">
        <f t="shared" si="180"/>
        <v>888.97445190167446</v>
      </c>
      <c r="AM109" s="326">
        <f t="shared" ref="AM109:AM117" si="189">ROUND(AE109*1.015,2)</f>
        <v>132.74</v>
      </c>
      <c r="AN109" s="326">
        <f t="shared" ref="AN109:AN117" si="190">ROUND(AF109*1.015,2)</f>
        <v>0</v>
      </c>
      <c r="AO109" s="326">
        <f t="shared" ref="AO109:AO117" si="191">ROUND(AG109*1.032,2)</f>
        <v>89.34</v>
      </c>
      <c r="AP109" s="326">
        <f t="shared" ref="AP109:AP117" si="192">ROUND(AH109*1.032,2)</f>
        <v>0</v>
      </c>
      <c r="AQ109" s="326">
        <f t="shared" ref="AQ109:AQ117" si="193">ROUND(AI109*1.032,2)</f>
        <v>277.83</v>
      </c>
      <c r="AR109" s="326">
        <f t="shared" ref="AR109:AR117" si="194">ROUND(AJ109*1.03,2)</f>
        <v>188.45</v>
      </c>
      <c r="AS109" s="326">
        <f t="shared" ref="AS109:AS117" si="195">ROUND(AK109*1.032,2)</f>
        <v>226.48</v>
      </c>
    </row>
    <row r="110" spans="1:45" s="210" customFormat="1" outlineLevel="2" x14ac:dyDescent="0.25">
      <c r="A110" s="319"/>
      <c r="B110" s="357" t="str">
        <f t="shared" si="160"/>
        <v>Кабель АВБШв 2*35мк (N) - 1 ГОСТ 31996-2012</v>
      </c>
      <c r="C110" s="257">
        <v>2</v>
      </c>
      <c r="D110" s="34" t="s">
        <v>40</v>
      </c>
      <c r="E110" s="289">
        <v>35</v>
      </c>
      <c r="F110" s="275" t="str">
        <f t="shared" si="161"/>
        <v>мк</v>
      </c>
      <c r="G110" s="274">
        <v>7</v>
      </c>
      <c r="H110" s="34" t="s">
        <v>40</v>
      </c>
      <c r="I110" s="256">
        <v>2.5499999999999998</v>
      </c>
      <c r="J110" s="61">
        <v>33.24</v>
      </c>
      <c r="K110" s="299">
        <v>6.95</v>
      </c>
      <c r="L110" s="15">
        <f t="shared" si="162"/>
        <v>1.07</v>
      </c>
      <c r="M110" s="61">
        <f t="shared" si="103"/>
        <v>1.3</v>
      </c>
      <c r="N110" s="61">
        <f t="shared" si="163"/>
        <v>9.09</v>
      </c>
      <c r="O110" s="61">
        <f t="shared" si="164"/>
        <v>9.5500000000000007</v>
      </c>
      <c r="P110" s="61">
        <f t="shared" si="165"/>
        <v>19.100000000000001</v>
      </c>
      <c r="Q110" s="61">
        <f t="shared" si="104"/>
        <v>0</v>
      </c>
      <c r="R110" s="61">
        <f t="shared" si="166"/>
        <v>0.5</v>
      </c>
      <c r="S110" s="61">
        <f t="shared" si="105"/>
        <v>1.4</v>
      </c>
      <c r="T110" s="61">
        <f t="shared" si="167"/>
        <v>21.900000000000002</v>
      </c>
      <c r="U110" s="201">
        <f t="shared" si="106"/>
        <v>2</v>
      </c>
      <c r="V110" s="203">
        <f t="shared" si="107"/>
        <v>0.25</v>
      </c>
      <c r="W110" s="37" t="s">
        <v>40</v>
      </c>
      <c r="X110" s="202">
        <f t="shared" si="168"/>
        <v>40</v>
      </c>
      <c r="Y110" s="201">
        <f t="shared" si="148"/>
        <v>35</v>
      </c>
      <c r="Z110" s="61">
        <f t="shared" si="169"/>
        <v>22.900000000000002</v>
      </c>
      <c r="AA110" s="299">
        <f t="shared" si="170"/>
        <v>1.5999999999999999</v>
      </c>
      <c r="AB110" s="299">
        <f t="shared" si="171"/>
        <v>2</v>
      </c>
      <c r="AC110" s="299">
        <f t="shared" si="172"/>
        <v>26.1</v>
      </c>
      <c r="AD110" s="299">
        <f t="shared" si="173"/>
        <v>26.900000000000002</v>
      </c>
      <c r="AE110" s="61">
        <f t="shared" si="174"/>
        <v>180.75247199999998</v>
      </c>
      <c r="AF110" s="299">
        <v>0</v>
      </c>
      <c r="AG110" s="61">
        <f t="shared" si="175"/>
        <v>100.02397814818899</v>
      </c>
      <c r="AH110" s="15">
        <f t="shared" si="176"/>
        <v>0</v>
      </c>
      <c r="AI110" s="299">
        <f t="shared" si="177"/>
        <v>326.79396561355412</v>
      </c>
      <c r="AJ110" s="299">
        <f t="shared" si="178"/>
        <v>203.09265532102719</v>
      </c>
      <c r="AK110" s="299">
        <f t="shared" si="179"/>
        <v>240.93502378910841</v>
      </c>
      <c r="AL110" s="61">
        <f t="shared" si="180"/>
        <v>1051.5980948718789</v>
      </c>
      <c r="AM110" s="326">
        <f t="shared" si="189"/>
        <v>183.46</v>
      </c>
      <c r="AN110" s="326">
        <f t="shared" si="190"/>
        <v>0</v>
      </c>
      <c r="AO110" s="326">
        <f t="shared" si="191"/>
        <v>103.22</v>
      </c>
      <c r="AP110" s="326">
        <f t="shared" si="192"/>
        <v>0</v>
      </c>
      <c r="AQ110" s="326">
        <f t="shared" si="193"/>
        <v>337.25</v>
      </c>
      <c r="AR110" s="326">
        <f t="shared" si="194"/>
        <v>209.19</v>
      </c>
      <c r="AS110" s="326">
        <f t="shared" si="195"/>
        <v>248.64</v>
      </c>
    </row>
    <row r="111" spans="1:45" s="210" customFormat="1" outlineLevel="2" x14ac:dyDescent="0.25">
      <c r="A111" s="319"/>
      <c r="B111" s="357" t="str">
        <f t="shared" si="160"/>
        <v>Кабель АВБШв 2*50мк (N) - 1 ГОСТ 31996-2012</v>
      </c>
      <c r="C111" s="257">
        <v>2</v>
      </c>
      <c r="D111" s="34" t="s">
        <v>40</v>
      </c>
      <c r="E111" s="289">
        <v>50</v>
      </c>
      <c r="F111" s="275" t="str">
        <f t="shared" si="161"/>
        <v>мк</v>
      </c>
      <c r="G111" s="274">
        <v>7</v>
      </c>
      <c r="H111" s="34" t="s">
        <v>40</v>
      </c>
      <c r="I111" s="256">
        <v>3</v>
      </c>
      <c r="J111" s="61">
        <v>45.03</v>
      </c>
      <c r="K111" s="299">
        <v>8</v>
      </c>
      <c r="L111" s="15">
        <f t="shared" si="162"/>
        <v>1.25</v>
      </c>
      <c r="M111" s="61">
        <f t="shared" si="103"/>
        <v>1.5</v>
      </c>
      <c r="N111" s="61">
        <f t="shared" si="163"/>
        <v>10.5</v>
      </c>
      <c r="O111" s="61">
        <f t="shared" si="164"/>
        <v>11</v>
      </c>
      <c r="P111" s="61">
        <f t="shared" si="165"/>
        <v>22</v>
      </c>
      <c r="Q111" s="61">
        <f t="shared" si="104"/>
        <v>0</v>
      </c>
      <c r="R111" s="61">
        <f t="shared" si="166"/>
        <v>0.5</v>
      </c>
      <c r="S111" s="61">
        <f t="shared" si="105"/>
        <v>1.4</v>
      </c>
      <c r="T111" s="61">
        <f t="shared" si="167"/>
        <v>24.8</v>
      </c>
      <c r="U111" s="201">
        <f t="shared" si="106"/>
        <v>2</v>
      </c>
      <c r="V111" s="203">
        <f t="shared" si="107"/>
        <v>0.25</v>
      </c>
      <c r="W111" s="37" t="s">
        <v>40</v>
      </c>
      <c r="X111" s="202">
        <f t="shared" si="168"/>
        <v>40</v>
      </c>
      <c r="Y111" s="201">
        <f t="shared" si="148"/>
        <v>35</v>
      </c>
      <c r="Z111" s="61">
        <f t="shared" si="169"/>
        <v>25.8</v>
      </c>
      <c r="AA111" s="299">
        <f t="shared" si="170"/>
        <v>1.5999999999999999</v>
      </c>
      <c r="AB111" s="299">
        <f t="shared" si="171"/>
        <v>2</v>
      </c>
      <c r="AC111" s="299">
        <f t="shared" si="172"/>
        <v>29</v>
      </c>
      <c r="AD111" s="299">
        <f t="shared" si="173"/>
        <v>29.8</v>
      </c>
      <c r="AE111" s="61">
        <f t="shared" si="174"/>
        <v>244.86413400000001</v>
      </c>
      <c r="AF111" s="299">
        <v>0</v>
      </c>
      <c r="AG111" s="61">
        <f t="shared" si="175"/>
        <v>132.89899194514618</v>
      </c>
      <c r="AH111" s="15">
        <f t="shared" si="176"/>
        <v>0</v>
      </c>
      <c r="AI111" s="299">
        <f t="shared" si="177"/>
        <v>410.17890322329777</v>
      </c>
      <c r="AJ111" s="299">
        <f t="shared" si="178"/>
        <v>229.38590087598163</v>
      </c>
      <c r="AK111" s="299">
        <f t="shared" si="179"/>
        <v>268.99572937097241</v>
      </c>
      <c r="AL111" s="61">
        <f t="shared" si="180"/>
        <v>1286.323659415398</v>
      </c>
      <c r="AM111" s="326">
        <f t="shared" si="189"/>
        <v>248.54</v>
      </c>
      <c r="AN111" s="326">
        <f t="shared" si="190"/>
        <v>0</v>
      </c>
      <c r="AO111" s="326">
        <f t="shared" si="191"/>
        <v>137.15</v>
      </c>
      <c r="AP111" s="326">
        <f t="shared" si="192"/>
        <v>0</v>
      </c>
      <c r="AQ111" s="326">
        <f t="shared" si="193"/>
        <v>423.3</v>
      </c>
      <c r="AR111" s="326">
        <f t="shared" si="194"/>
        <v>236.27</v>
      </c>
      <c r="AS111" s="326">
        <f t="shared" si="195"/>
        <v>277.60000000000002</v>
      </c>
    </row>
    <row r="112" spans="1:45" s="210" customFormat="1" outlineLevel="2" x14ac:dyDescent="0.25">
      <c r="A112" s="319"/>
      <c r="B112" s="272" t="str">
        <f t="shared" si="160"/>
        <v>Кабель АВБШв 2*70мк (N) - 1 ГОСТ 31996-2012</v>
      </c>
      <c r="C112" s="257">
        <v>2</v>
      </c>
      <c r="D112" s="34" t="s">
        <v>40</v>
      </c>
      <c r="E112" s="289">
        <v>70</v>
      </c>
      <c r="F112" s="275" t="str">
        <f t="shared" si="161"/>
        <v>мк</v>
      </c>
      <c r="G112" s="274">
        <v>7</v>
      </c>
      <c r="H112" s="34" t="s">
        <v>40</v>
      </c>
      <c r="I112" s="256">
        <v>3.57</v>
      </c>
      <c r="J112" s="61">
        <v>65.16</v>
      </c>
      <c r="K112" s="299">
        <v>9.6</v>
      </c>
      <c r="L112" s="15">
        <f t="shared" si="162"/>
        <v>1.25</v>
      </c>
      <c r="M112" s="61">
        <f t="shared" si="103"/>
        <v>1.5</v>
      </c>
      <c r="N112" s="61">
        <f t="shared" si="163"/>
        <v>12.1</v>
      </c>
      <c r="O112" s="61">
        <f t="shared" si="164"/>
        <v>12.6</v>
      </c>
      <c r="P112" s="61">
        <f t="shared" si="165"/>
        <v>25.2</v>
      </c>
      <c r="Q112" s="61">
        <f t="shared" si="104"/>
        <v>0</v>
      </c>
      <c r="R112" s="61">
        <f t="shared" si="166"/>
        <v>0.6</v>
      </c>
      <c r="S112" s="61">
        <f t="shared" si="105"/>
        <v>1.6</v>
      </c>
      <c r="T112" s="61">
        <f t="shared" si="167"/>
        <v>28.4</v>
      </c>
      <c r="U112" s="201">
        <f t="shared" si="106"/>
        <v>2</v>
      </c>
      <c r="V112" s="203">
        <f t="shared" si="107"/>
        <v>0.25</v>
      </c>
      <c r="W112" s="37" t="s">
        <v>40</v>
      </c>
      <c r="X112" s="202">
        <f t="shared" si="168"/>
        <v>40</v>
      </c>
      <c r="Y112" s="201">
        <f t="shared" si="148"/>
        <v>35</v>
      </c>
      <c r="Z112" s="61">
        <f t="shared" si="169"/>
        <v>29.4</v>
      </c>
      <c r="AA112" s="299">
        <f t="shared" si="170"/>
        <v>1.5999999999999999</v>
      </c>
      <c r="AB112" s="299">
        <f t="shared" si="171"/>
        <v>2</v>
      </c>
      <c r="AC112" s="299">
        <f t="shared" si="172"/>
        <v>32.6</v>
      </c>
      <c r="AD112" s="299">
        <f t="shared" si="173"/>
        <v>33.4</v>
      </c>
      <c r="AE112" s="61">
        <f t="shared" si="174"/>
        <v>354.32704799999999</v>
      </c>
      <c r="AF112" s="299">
        <v>0</v>
      </c>
      <c r="AG112" s="61">
        <f t="shared" si="175"/>
        <v>155.28198006222345</v>
      </c>
      <c r="AH112" s="15">
        <f t="shared" si="176"/>
        <v>0</v>
      </c>
      <c r="AI112" s="299">
        <f t="shared" si="177"/>
        <v>537.72756495904332</v>
      </c>
      <c r="AJ112" s="299">
        <f t="shared" si="178"/>
        <v>262.02579190971812</v>
      </c>
      <c r="AK112" s="299">
        <f t="shared" si="179"/>
        <v>303.82970871397606</v>
      </c>
      <c r="AL112" s="61">
        <f t="shared" si="180"/>
        <v>1613.1920936449608</v>
      </c>
      <c r="AM112" s="266">
        <f t="shared" si="189"/>
        <v>359.64</v>
      </c>
      <c r="AN112" s="326">
        <f t="shared" si="190"/>
        <v>0</v>
      </c>
      <c r="AO112" s="266">
        <f t="shared" si="191"/>
        <v>160.25</v>
      </c>
      <c r="AP112" s="326">
        <f t="shared" si="192"/>
        <v>0</v>
      </c>
      <c r="AQ112" s="266">
        <f t="shared" si="193"/>
        <v>554.92999999999995</v>
      </c>
      <c r="AR112" s="266">
        <f t="shared" si="194"/>
        <v>269.89</v>
      </c>
      <c r="AS112" s="266">
        <f t="shared" si="195"/>
        <v>313.55</v>
      </c>
    </row>
    <row r="113" spans="1:45" s="210" customFormat="1" outlineLevel="2" x14ac:dyDescent="0.25">
      <c r="A113" s="319"/>
      <c r="B113" s="272" t="str">
        <f t="shared" si="160"/>
        <v>Кабель АВБШв 2*95мк (N) - 1 ГОСТ 31996-2012</v>
      </c>
      <c r="C113" s="257">
        <v>2</v>
      </c>
      <c r="D113" s="34" t="s">
        <v>40</v>
      </c>
      <c r="E113" s="289">
        <v>95</v>
      </c>
      <c r="F113" s="275" t="str">
        <f t="shared" si="161"/>
        <v>мк</v>
      </c>
      <c r="G113" s="274">
        <v>19</v>
      </c>
      <c r="H113" s="34" t="s">
        <v>40</v>
      </c>
      <c r="I113" s="256">
        <v>2.5</v>
      </c>
      <c r="J113" s="61">
        <v>90.21</v>
      </c>
      <c r="K113" s="299">
        <v>11.2</v>
      </c>
      <c r="L113" s="15">
        <f t="shared" si="162"/>
        <v>1.4300000000000002</v>
      </c>
      <c r="M113" s="61">
        <f t="shared" si="103"/>
        <v>1.7000000000000002</v>
      </c>
      <c r="N113" s="61">
        <f t="shared" si="163"/>
        <v>14.059999999999999</v>
      </c>
      <c r="O113" s="61">
        <f t="shared" si="164"/>
        <v>14.6</v>
      </c>
      <c r="P113" s="61">
        <f t="shared" si="165"/>
        <v>29.2</v>
      </c>
      <c r="Q113" s="61">
        <f t="shared" si="104"/>
        <v>0</v>
      </c>
      <c r="R113" s="61">
        <f t="shared" si="166"/>
        <v>0.6</v>
      </c>
      <c r="S113" s="61">
        <f t="shared" si="105"/>
        <v>1.6</v>
      </c>
      <c r="T113" s="61">
        <f t="shared" si="167"/>
        <v>32.4</v>
      </c>
      <c r="U113" s="201">
        <f t="shared" si="106"/>
        <v>2</v>
      </c>
      <c r="V113" s="203">
        <f t="shared" si="107"/>
        <v>0.25</v>
      </c>
      <c r="W113" s="37" t="s">
        <v>40</v>
      </c>
      <c r="X113" s="202">
        <f t="shared" si="168"/>
        <v>50</v>
      </c>
      <c r="Y113" s="201">
        <f t="shared" si="148"/>
        <v>35</v>
      </c>
      <c r="Z113" s="61">
        <f t="shared" si="169"/>
        <v>33.4</v>
      </c>
      <c r="AA113" s="299">
        <f t="shared" si="170"/>
        <v>1.77</v>
      </c>
      <c r="AB113" s="299">
        <f t="shared" si="171"/>
        <v>2.2000000000000002</v>
      </c>
      <c r="AC113" s="299">
        <f t="shared" si="172"/>
        <v>36.94</v>
      </c>
      <c r="AD113" s="299">
        <f t="shared" si="173"/>
        <v>37.799999999999997</v>
      </c>
      <c r="AE113" s="61">
        <f t="shared" si="174"/>
        <v>490.54393799999997</v>
      </c>
      <c r="AF113" s="299">
        <v>0</v>
      </c>
      <c r="AG113" s="61">
        <f t="shared" si="175"/>
        <v>204.52455391979339</v>
      </c>
      <c r="AH113" s="15">
        <f t="shared" si="176"/>
        <v>0</v>
      </c>
      <c r="AI113" s="299">
        <f t="shared" si="177"/>
        <v>685.50808338390709</v>
      </c>
      <c r="AJ113" s="299">
        <f t="shared" si="178"/>
        <v>298.2923375027587</v>
      </c>
      <c r="AK113" s="299">
        <f t="shared" si="179"/>
        <v>378.91628640889508</v>
      </c>
      <c r="AL113" s="61">
        <f t="shared" si="180"/>
        <v>2057.7851992153542</v>
      </c>
      <c r="AM113" s="266">
        <f t="shared" si="189"/>
        <v>497.9</v>
      </c>
      <c r="AN113" s="326">
        <f t="shared" si="190"/>
        <v>0</v>
      </c>
      <c r="AO113" s="266">
        <f t="shared" si="191"/>
        <v>211.07</v>
      </c>
      <c r="AP113" s="326">
        <f t="shared" si="192"/>
        <v>0</v>
      </c>
      <c r="AQ113" s="266">
        <f t="shared" si="193"/>
        <v>707.44</v>
      </c>
      <c r="AR113" s="266">
        <f t="shared" si="194"/>
        <v>307.24</v>
      </c>
      <c r="AS113" s="266">
        <f t="shared" si="195"/>
        <v>391.04</v>
      </c>
    </row>
    <row r="114" spans="1:45" s="210" customFormat="1" outlineLevel="2" x14ac:dyDescent="0.25">
      <c r="A114" s="319"/>
      <c r="B114" s="272" t="str">
        <f t="shared" si="160"/>
        <v>Кабель АВБШв 2*120мк (N) - 1 ГОСТ 31996-2012</v>
      </c>
      <c r="C114" s="257">
        <v>2</v>
      </c>
      <c r="D114" s="34" t="s">
        <v>40</v>
      </c>
      <c r="E114" s="289">
        <v>120</v>
      </c>
      <c r="F114" s="275" t="str">
        <f t="shared" si="161"/>
        <v>мк</v>
      </c>
      <c r="G114" s="274">
        <v>19</v>
      </c>
      <c r="H114" s="34" t="s">
        <v>40</v>
      </c>
      <c r="I114" s="256">
        <v>2.87</v>
      </c>
      <c r="J114" s="61">
        <v>114.09</v>
      </c>
      <c r="K114" s="299">
        <v>12.8</v>
      </c>
      <c r="L114" s="15">
        <f t="shared" si="162"/>
        <v>1.4300000000000002</v>
      </c>
      <c r="M114" s="61">
        <f t="shared" si="103"/>
        <v>1.7000000000000002</v>
      </c>
      <c r="N114" s="61">
        <f t="shared" si="163"/>
        <v>15.66</v>
      </c>
      <c r="O114" s="61">
        <f t="shared" si="164"/>
        <v>16.200000000000003</v>
      </c>
      <c r="P114" s="61">
        <f t="shared" si="165"/>
        <v>32.400000000000006</v>
      </c>
      <c r="Q114" s="61">
        <f t="shared" si="104"/>
        <v>0</v>
      </c>
      <c r="R114" s="61">
        <f t="shared" si="166"/>
        <v>0.6</v>
      </c>
      <c r="S114" s="61">
        <f t="shared" si="105"/>
        <v>1.6</v>
      </c>
      <c r="T114" s="61">
        <f t="shared" si="167"/>
        <v>35.600000000000009</v>
      </c>
      <c r="U114" s="201">
        <f t="shared" si="106"/>
        <v>2</v>
      </c>
      <c r="V114" s="203">
        <f t="shared" si="107"/>
        <v>0.25</v>
      </c>
      <c r="W114" s="37" t="s">
        <v>40</v>
      </c>
      <c r="X114" s="202">
        <f t="shared" si="168"/>
        <v>50</v>
      </c>
      <c r="Y114" s="201">
        <f t="shared" si="148"/>
        <v>35</v>
      </c>
      <c r="Z114" s="61">
        <f t="shared" si="169"/>
        <v>36.600000000000009</v>
      </c>
      <c r="AA114" s="299">
        <f t="shared" si="170"/>
        <v>1.77</v>
      </c>
      <c r="AB114" s="299">
        <f t="shared" si="171"/>
        <v>2.2000000000000002</v>
      </c>
      <c r="AC114" s="299">
        <f t="shared" si="172"/>
        <v>40.140000000000008</v>
      </c>
      <c r="AD114" s="299">
        <f t="shared" si="173"/>
        <v>41.000000000000007</v>
      </c>
      <c r="AE114" s="61">
        <f t="shared" si="174"/>
        <v>620.39860199999998</v>
      </c>
      <c r="AF114" s="299">
        <v>0</v>
      </c>
      <c r="AG114" s="61">
        <f t="shared" si="175"/>
        <v>229.89194045248095</v>
      </c>
      <c r="AH114" s="15">
        <f t="shared" si="176"/>
        <v>0</v>
      </c>
      <c r="AI114" s="299">
        <f t="shared" si="177"/>
        <v>816.39939970307262</v>
      </c>
      <c r="AJ114" s="299">
        <f t="shared" si="178"/>
        <v>327.30557397719127</v>
      </c>
      <c r="AK114" s="299">
        <f t="shared" si="179"/>
        <v>412.9761773220543</v>
      </c>
      <c r="AL114" s="61">
        <f t="shared" si="180"/>
        <v>2406.9716934547992</v>
      </c>
      <c r="AM114" s="266">
        <f t="shared" si="189"/>
        <v>629.70000000000005</v>
      </c>
      <c r="AN114" s="326">
        <f t="shared" si="190"/>
        <v>0</v>
      </c>
      <c r="AO114" s="266">
        <f t="shared" si="191"/>
        <v>237.25</v>
      </c>
      <c r="AP114" s="326">
        <f t="shared" si="192"/>
        <v>0</v>
      </c>
      <c r="AQ114" s="266">
        <f t="shared" si="193"/>
        <v>842.52</v>
      </c>
      <c r="AR114" s="266">
        <f t="shared" si="194"/>
        <v>337.12</v>
      </c>
      <c r="AS114" s="266">
        <f t="shared" si="195"/>
        <v>426.19</v>
      </c>
    </row>
    <row r="115" spans="1:45" s="210" customFormat="1" outlineLevel="2" x14ac:dyDescent="0.25">
      <c r="A115" s="319"/>
      <c r="B115" s="272" t="str">
        <f t="shared" si="160"/>
        <v>Кабель АВБШв 2*150мк (N) - 1 ГОСТ 31996-2012</v>
      </c>
      <c r="C115" s="257">
        <v>2</v>
      </c>
      <c r="D115" s="34" t="s">
        <v>40</v>
      </c>
      <c r="E115" s="289">
        <v>150</v>
      </c>
      <c r="F115" s="275" t="str">
        <f t="shared" si="161"/>
        <v>мк</v>
      </c>
      <c r="G115" s="274">
        <v>19</v>
      </c>
      <c r="H115" s="34" t="s">
        <v>40</v>
      </c>
      <c r="I115" s="256">
        <v>3.15</v>
      </c>
      <c r="J115" s="61">
        <v>140.13</v>
      </c>
      <c r="K115" s="299">
        <v>14.1</v>
      </c>
      <c r="L115" s="15">
        <f t="shared" si="162"/>
        <v>1.61</v>
      </c>
      <c r="M115" s="61">
        <f t="shared" si="103"/>
        <v>1.9000000000000001</v>
      </c>
      <c r="N115" s="61">
        <f t="shared" si="163"/>
        <v>17.32</v>
      </c>
      <c r="O115" s="61">
        <f t="shared" si="164"/>
        <v>17.899999999999999</v>
      </c>
      <c r="P115" s="61">
        <f t="shared" si="165"/>
        <v>35.799999999999997</v>
      </c>
      <c r="Q115" s="61">
        <f t="shared" si="104"/>
        <v>0</v>
      </c>
      <c r="R115" s="61">
        <f t="shared" si="166"/>
        <v>0.7</v>
      </c>
      <c r="S115" s="61">
        <f t="shared" si="105"/>
        <v>1.8</v>
      </c>
      <c r="T115" s="61">
        <f t="shared" si="167"/>
        <v>39.4</v>
      </c>
      <c r="U115" s="201">
        <f t="shared" si="106"/>
        <v>2</v>
      </c>
      <c r="V115" s="203">
        <f t="shared" si="107"/>
        <v>0.25</v>
      </c>
      <c r="W115" s="37" t="s">
        <v>40</v>
      </c>
      <c r="X115" s="202">
        <f t="shared" si="168"/>
        <v>50</v>
      </c>
      <c r="Y115" s="201">
        <f t="shared" si="148"/>
        <v>35</v>
      </c>
      <c r="Z115" s="61">
        <f t="shared" si="169"/>
        <v>40.4</v>
      </c>
      <c r="AA115" s="299">
        <f t="shared" si="170"/>
        <v>1.94</v>
      </c>
      <c r="AB115" s="299">
        <f t="shared" si="171"/>
        <v>2.4</v>
      </c>
      <c r="AC115" s="299">
        <f t="shared" si="172"/>
        <v>44.28</v>
      </c>
      <c r="AD115" s="299">
        <f t="shared" si="173"/>
        <v>45.199999999999996</v>
      </c>
      <c r="AE115" s="61">
        <f t="shared" si="174"/>
        <v>761.9989139999999</v>
      </c>
      <c r="AF115" s="299">
        <v>0</v>
      </c>
      <c r="AG115" s="61">
        <f t="shared" si="175"/>
        <v>283.51784948297859</v>
      </c>
      <c r="AH115" s="15">
        <f t="shared" si="176"/>
        <v>0</v>
      </c>
      <c r="AI115" s="299">
        <f t="shared" si="177"/>
        <v>1002.2905786086341</v>
      </c>
      <c r="AJ115" s="299">
        <f t="shared" si="178"/>
        <v>361.75879229057966</v>
      </c>
      <c r="AK115" s="299">
        <f t="shared" si="179"/>
        <v>496.96477196018509</v>
      </c>
      <c r="AL115" s="61">
        <f t="shared" si="180"/>
        <v>2906.5309063423774</v>
      </c>
      <c r="AM115" s="266">
        <f t="shared" si="189"/>
        <v>773.43</v>
      </c>
      <c r="AN115" s="326">
        <f t="shared" si="190"/>
        <v>0</v>
      </c>
      <c r="AO115" s="266">
        <f t="shared" si="191"/>
        <v>292.58999999999997</v>
      </c>
      <c r="AP115" s="326">
        <f t="shared" si="192"/>
        <v>0</v>
      </c>
      <c r="AQ115" s="266">
        <f t="shared" si="193"/>
        <v>1034.3599999999999</v>
      </c>
      <c r="AR115" s="266">
        <f t="shared" si="194"/>
        <v>372.61</v>
      </c>
      <c r="AS115" s="266">
        <f t="shared" si="195"/>
        <v>512.87</v>
      </c>
    </row>
    <row r="116" spans="1:45" s="210" customFormat="1" outlineLevel="2" x14ac:dyDescent="0.25">
      <c r="A116" s="319"/>
      <c r="B116" s="272" t="str">
        <f t="shared" si="160"/>
        <v>Кабель АВБШв 2*185мк (N) - 1 ГОСТ 31996-2012</v>
      </c>
      <c r="C116" s="257">
        <v>2</v>
      </c>
      <c r="D116" s="34" t="s">
        <v>40</v>
      </c>
      <c r="E116" s="289">
        <v>185</v>
      </c>
      <c r="F116" s="275" t="str">
        <f t="shared" si="161"/>
        <v>мк</v>
      </c>
      <c r="G116" s="274">
        <v>37</v>
      </c>
      <c r="H116" s="34" t="s">
        <v>40</v>
      </c>
      <c r="I116" s="256">
        <v>2.5</v>
      </c>
      <c r="J116" s="61">
        <v>176.01</v>
      </c>
      <c r="K116" s="299">
        <v>15.8</v>
      </c>
      <c r="L116" s="15">
        <f t="shared" si="162"/>
        <v>1.79</v>
      </c>
      <c r="M116" s="61">
        <f t="shared" si="103"/>
        <v>2.1</v>
      </c>
      <c r="N116" s="61">
        <f t="shared" si="163"/>
        <v>19.380000000000003</v>
      </c>
      <c r="O116" s="61">
        <f t="shared" si="164"/>
        <v>20</v>
      </c>
      <c r="P116" s="61">
        <f t="shared" si="165"/>
        <v>40</v>
      </c>
      <c r="Q116" s="61">
        <f t="shared" si="104"/>
        <v>0</v>
      </c>
      <c r="R116" s="61">
        <f t="shared" si="166"/>
        <v>0.7</v>
      </c>
      <c r="S116" s="61">
        <f t="shared" si="105"/>
        <v>1.8</v>
      </c>
      <c r="T116" s="61">
        <f t="shared" si="167"/>
        <v>43.6</v>
      </c>
      <c r="U116" s="201">
        <f t="shared" si="106"/>
        <v>2</v>
      </c>
      <c r="V116" s="203">
        <f t="shared" si="107"/>
        <v>0.25</v>
      </c>
      <c r="W116" s="37" t="s">
        <v>40</v>
      </c>
      <c r="X116" s="202">
        <f t="shared" si="168"/>
        <v>50</v>
      </c>
      <c r="Y116" s="201">
        <f t="shared" si="148"/>
        <v>35</v>
      </c>
      <c r="Z116" s="61">
        <f t="shared" si="169"/>
        <v>44.6</v>
      </c>
      <c r="AA116" s="299">
        <f t="shared" si="170"/>
        <v>1.94</v>
      </c>
      <c r="AB116" s="299">
        <f t="shared" si="171"/>
        <v>2.4</v>
      </c>
      <c r="AC116" s="299">
        <f t="shared" si="172"/>
        <v>48.480000000000004</v>
      </c>
      <c r="AD116" s="299">
        <f t="shared" si="173"/>
        <v>49.4</v>
      </c>
      <c r="AE116" s="61">
        <f t="shared" si="174"/>
        <v>957.10717799999998</v>
      </c>
      <c r="AF116" s="299">
        <v>0</v>
      </c>
      <c r="AG116" s="61">
        <f t="shared" si="175"/>
        <v>350.57355138372253</v>
      </c>
      <c r="AH116" s="15">
        <f t="shared" si="176"/>
        <v>0</v>
      </c>
      <c r="AI116" s="299">
        <f t="shared" si="177"/>
        <v>1210.5687467636765</v>
      </c>
      <c r="AJ116" s="299">
        <f t="shared" si="178"/>
        <v>399.83866516327225</v>
      </c>
      <c r="AK116" s="299">
        <f t="shared" si="179"/>
        <v>545.73234304039022</v>
      </c>
      <c r="AL116" s="61">
        <f t="shared" si="180"/>
        <v>3463.8204843510616</v>
      </c>
      <c r="AM116" s="266">
        <f t="shared" si="189"/>
        <v>971.46</v>
      </c>
      <c r="AN116" s="326">
        <f t="shared" si="190"/>
        <v>0</v>
      </c>
      <c r="AO116" s="266">
        <f t="shared" si="191"/>
        <v>361.79</v>
      </c>
      <c r="AP116" s="326">
        <f t="shared" si="192"/>
        <v>0</v>
      </c>
      <c r="AQ116" s="266">
        <f t="shared" si="193"/>
        <v>1249.31</v>
      </c>
      <c r="AR116" s="266">
        <f t="shared" si="194"/>
        <v>411.83</v>
      </c>
      <c r="AS116" s="266">
        <f t="shared" si="195"/>
        <v>563.20000000000005</v>
      </c>
    </row>
    <row r="117" spans="1:45" s="210" customFormat="1" outlineLevel="2" x14ac:dyDescent="0.25">
      <c r="A117" s="319"/>
      <c r="B117" s="272" t="str">
        <f t="shared" si="160"/>
        <v>Кабель АВБШв 2*240мк (N) - 1 ГОСТ 31996-2012</v>
      </c>
      <c r="C117" s="257">
        <v>2</v>
      </c>
      <c r="D117" s="34" t="s">
        <v>40</v>
      </c>
      <c r="E117" s="289">
        <v>240</v>
      </c>
      <c r="F117" s="275" t="str">
        <f t="shared" si="161"/>
        <v>мк</v>
      </c>
      <c r="G117" s="274">
        <v>37</v>
      </c>
      <c r="H117" s="34" t="s">
        <v>40</v>
      </c>
      <c r="I117" s="256">
        <v>2.87</v>
      </c>
      <c r="J117" s="61">
        <v>230.93</v>
      </c>
      <c r="K117" s="299">
        <v>18.399999999999999</v>
      </c>
      <c r="L117" s="15">
        <f t="shared" si="162"/>
        <v>1.9700000000000002</v>
      </c>
      <c r="M117" s="61">
        <f t="shared" si="103"/>
        <v>2.3000000000000003</v>
      </c>
      <c r="N117" s="61">
        <f t="shared" si="163"/>
        <v>22.34</v>
      </c>
      <c r="O117" s="61">
        <f t="shared" si="164"/>
        <v>23</v>
      </c>
      <c r="P117" s="61">
        <f t="shared" si="165"/>
        <v>46</v>
      </c>
      <c r="Q117" s="61">
        <f t="shared" si="104"/>
        <v>0</v>
      </c>
      <c r="R117" s="61">
        <f t="shared" si="166"/>
        <v>0.8</v>
      </c>
      <c r="S117" s="61">
        <f t="shared" si="105"/>
        <v>2</v>
      </c>
      <c r="T117" s="61">
        <f t="shared" si="167"/>
        <v>50</v>
      </c>
      <c r="U117" s="201">
        <f t="shared" si="106"/>
        <v>2</v>
      </c>
      <c r="V117" s="203">
        <f t="shared" si="107"/>
        <v>0.5</v>
      </c>
      <c r="W117" s="37" t="s">
        <v>40</v>
      </c>
      <c r="X117" s="202">
        <f t="shared" si="168"/>
        <v>50</v>
      </c>
      <c r="Y117" s="201">
        <f t="shared" si="148"/>
        <v>35</v>
      </c>
      <c r="Z117" s="61">
        <f t="shared" si="169"/>
        <v>52</v>
      </c>
      <c r="AA117" s="299">
        <f t="shared" si="170"/>
        <v>2.11</v>
      </c>
      <c r="AB117" s="299">
        <f t="shared" si="171"/>
        <v>2.6</v>
      </c>
      <c r="AC117" s="299">
        <f t="shared" si="172"/>
        <v>56.22</v>
      </c>
      <c r="AD117" s="299">
        <f t="shared" si="173"/>
        <v>57.2</v>
      </c>
      <c r="AE117" s="61">
        <f t="shared" si="174"/>
        <v>1255.751154</v>
      </c>
      <c r="AF117" s="299">
        <v>0</v>
      </c>
      <c r="AG117" s="61">
        <f t="shared" si="175"/>
        <v>444.02252677252005</v>
      </c>
      <c r="AH117" s="15">
        <f t="shared" si="176"/>
        <v>0</v>
      </c>
      <c r="AI117" s="299">
        <f t="shared" si="177"/>
        <v>1585.5618122667684</v>
      </c>
      <c r="AJ117" s="299">
        <f t="shared" si="178"/>
        <v>924.79691262253448</v>
      </c>
      <c r="AK117" s="299">
        <f t="shared" si="179"/>
        <v>686.80995937955493</v>
      </c>
      <c r="AL117" s="61">
        <f t="shared" si="180"/>
        <v>4896.9423650413783</v>
      </c>
      <c r="AM117" s="266">
        <f t="shared" si="189"/>
        <v>1274.5899999999999</v>
      </c>
      <c r="AN117" s="326">
        <f t="shared" si="190"/>
        <v>0</v>
      </c>
      <c r="AO117" s="266">
        <f t="shared" si="191"/>
        <v>458.23</v>
      </c>
      <c r="AP117" s="326">
        <f t="shared" si="192"/>
        <v>0</v>
      </c>
      <c r="AQ117" s="266">
        <f t="shared" si="193"/>
        <v>1636.3</v>
      </c>
      <c r="AR117" s="266">
        <f t="shared" si="194"/>
        <v>952.54</v>
      </c>
      <c r="AS117" s="266">
        <f t="shared" si="195"/>
        <v>708.79</v>
      </c>
    </row>
    <row r="118" spans="1:45" s="210" customFormat="1" outlineLevel="1" x14ac:dyDescent="0.25">
      <c r="A118" s="359">
        <v>2</v>
      </c>
      <c r="B118" s="272"/>
      <c r="C118" s="292"/>
      <c r="D118" s="211"/>
      <c r="E118" s="288"/>
      <c r="F118" s="275"/>
      <c r="G118" s="281"/>
      <c r="H118" s="196"/>
      <c r="I118" s="211"/>
      <c r="J118" s="196"/>
      <c r="K118" s="196"/>
      <c r="L118" s="196"/>
      <c r="M118" s="61"/>
      <c r="N118" s="196"/>
      <c r="O118" s="196"/>
      <c r="P118" s="196"/>
      <c r="Q118" s="61" t="str">
        <f t="shared" si="104"/>
        <v/>
      </c>
      <c r="R118" s="196"/>
      <c r="S118" s="61" t="str">
        <f t="shared" si="105"/>
        <v/>
      </c>
      <c r="T118" s="196"/>
      <c r="U118" s="196"/>
      <c r="V118" s="203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</row>
    <row r="119" spans="1:45" s="210" customFormat="1" outlineLevel="2" x14ac:dyDescent="0.25">
      <c r="A119" s="319"/>
      <c r="B119" s="357" t="str">
        <f t="shared" ref="B119:B136" si="196">CONCATENATE("Кабель ",$A$166," ",C119,"*",E119,F119,IF(OR(C119=2,C119=4)," (N)",IF(OR(C119=3,C119=5)," (N, PE)",""))," - 1 ГОСТ 31996-2012")</f>
        <v>Кабель АВБШв 3*2,5ок (N, PE) - 1 ГОСТ 31996-2012</v>
      </c>
      <c r="C119" s="257">
        <v>3</v>
      </c>
      <c r="D119" s="34" t="s">
        <v>40</v>
      </c>
      <c r="E119" s="289">
        <v>2.5</v>
      </c>
      <c r="F119" s="275" t="str">
        <f t="shared" si="102"/>
        <v>ок</v>
      </c>
      <c r="G119" s="274">
        <v>1</v>
      </c>
      <c r="H119" s="34" t="s">
        <v>40</v>
      </c>
      <c r="I119" s="256">
        <v>1.76</v>
      </c>
      <c r="J119" s="61">
        <v>2.4300000000000002</v>
      </c>
      <c r="K119" s="61">
        <f>I119</f>
        <v>1.76</v>
      </c>
      <c r="L119" s="15">
        <f t="shared" si="141"/>
        <v>0.71000000000000008</v>
      </c>
      <c r="M119" s="61">
        <f t="shared" si="103"/>
        <v>0.9</v>
      </c>
      <c r="N119" s="61">
        <f t="shared" si="142"/>
        <v>3.18</v>
      </c>
      <c r="O119" s="61">
        <f t="shared" si="143"/>
        <v>3.56</v>
      </c>
      <c r="P119" s="61">
        <f t="shared" si="144"/>
        <v>7.6539999999999999</v>
      </c>
      <c r="Q119" s="61">
        <f t="shared" si="104"/>
        <v>0</v>
      </c>
      <c r="R119" s="61">
        <f t="shared" si="145"/>
        <v>0.5</v>
      </c>
      <c r="S119" s="61">
        <f t="shared" si="105"/>
        <v>1.4</v>
      </c>
      <c r="T119" s="61">
        <f t="shared" si="146"/>
        <v>10.454000000000001</v>
      </c>
      <c r="U119" s="201">
        <f t="shared" si="106"/>
        <v>2</v>
      </c>
      <c r="V119" s="203">
        <f t="shared" si="107"/>
        <v>0.25</v>
      </c>
      <c r="W119" s="37" t="s">
        <v>40</v>
      </c>
      <c r="X119" s="202">
        <f t="shared" si="147"/>
        <v>20</v>
      </c>
      <c r="Y119" s="201">
        <f t="shared" si="148"/>
        <v>35</v>
      </c>
      <c r="Z119" s="61">
        <f t="shared" si="149"/>
        <v>11.454000000000001</v>
      </c>
      <c r="AA119" s="271">
        <f t="shared" si="150"/>
        <v>1.43</v>
      </c>
      <c r="AB119" s="271">
        <f t="shared" si="151"/>
        <v>1.8</v>
      </c>
      <c r="AC119" s="271">
        <f t="shared" si="152"/>
        <v>14.314</v>
      </c>
      <c r="AD119" s="271">
        <f t="shared" si="153"/>
        <v>15.054</v>
      </c>
      <c r="AE119" s="61">
        <f t="shared" si="154"/>
        <v>19.844022300811776</v>
      </c>
      <c r="AF119" s="271">
        <v>0</v>
      </c>
      <c r="AG119" s="61">
        <f t="shared" si="155"/>
        <v>30.445950881978952</v>
      </c>
      <c r="AH119" s="15">
        <f t="shared" si="156"/>
        <v>0</v>
      </c>
      <c r="AI119" s="271">
        <f t="shared" si="100"/>
        <v>77.707445508569023</v>
      </c>
      <c r="AJ119" s="271">
        <f t="shared" si="157"/>
        <v>99.315935106541602</v>
      </c>
      <c r="AK119" s="271">
        <f t="shared" si="158"/>
        <v>115.42239055304253</v>
      </c>
      <c r="AL119" s="61">
        <f t="shared" si="159"/>
        <v>342.73574435094389</v>
      </c>
      <c r="AM119" s="326">
        <f t="shared" ref="AM119" si="197">ROUND(AE119*1.015,2)</f>
        <v>20.14</v>
      </c>
      <c r="AN119" s="265">
        <f t="shared" ref="AN119" si="198">ROUND(AF119*1.015,2)</f>
        <v>0</v>
      </c>
      <c r="AO119" s="326">
        <f t="shared" ref="AO119" si="199">ROUND(AG119*1.032,2)</f>
        <v>31.42</v>
      </c>
      <c r="AP119" s="265">
        <f t="shared" ref="AP119" si="200">ROUND(AH119*1.032,2)</f>
        <v>0</v>
      </c>
      <c r="AQ119" s="326">
        <f t="shared" ref="AQ119" si="201">ROUND(AI119*1.032,2)</f>
        <v>80.19</v>
      </c>
      <c r="AR119" s="326">
        <f t="shared" ref="AR119" si="202">ROUND(AJ119*1.03,2)</f>
        <v>102.3</v>
      </c>
      <c r="AS119" s="326">
        <f t="shared" ref="AS119" si="203">ROUND(AK119*1.032,2)</f>
        <v>119.12</v>
      </c>
    </row>
    <row r="120" spans="1:45" s="210" customFormat="1" outlineLevel="2" x14ac:dyDescent="0.25">
      <c r="A120" s="319"/>
      <c r="B120" s="357" t="str">
        <f t="shared" si="196"/>
        <v>Кабель АВБШв 3*4ок (N, PE) - 1 ГОСТ 31996-2012</v>
      </c>
      <c r="C120" s="257">
        <v>3</v>
      </c>
      <c r="D120" s="34" t="s">
        <v>40</v>
      </c>
      <c r="E120" s="289">
        <v>4</v>
      </c>
      <c r="F120" s="275" t="str">
        <f t="shared" si="102"/>
        <v>ок</v>
      </c>
      <c r="G120" s="274">
        <v>1</v>
      </c>
      <c r="H120" s="34" t="s">
        <v>40</v>
      </c>
      <c r="I120" s="256">
        <v>2.23</v>
      </c>
      <c r="J120" s="61">
        <v>3.91</v>
      </c>
      <c r="K120" s="61">
        <f t="shared" ref="K120:K125" si="204">I120</f>
        <v>2.23</v>
      </c>
      <c r="L120" s="15">
        <f t="shared" si="141"/>
        <v>0.89000000000000012</v>
      </c>
      <c r="M120" s="61">
        <f t="shared" si="103"/>
        <v>1.1000000000000001</v>
      </c>
      <c r="N120" s="61">
        <f t="shared" si="142"/>
        <v>4.01</v>
      </c>
      <c r="O120" s="61">
        <f t="shared" si="143"/>
        <v>4.43</v>
      </c>
      <c r="P120" s="61">
        <f t="shared" si="144"/>
        <v>9.5244999999999997</v>
      </c>
      <c r="Q120" s="61">
        <f t="shared" si="104"/>
        <v>0</v>
      </c>
      <c r="R120" s="61">
        <f t="shared" si="145"/>
        <v>0.5</v>
      </c>
      <c r="S120" s="61">
        <f t="shared" si="105"/>
        <v>1.4</v>
      </c>
      <c r="T120" s="61">
        <f t="shared" si="146"/>
        <v>12.3245</v>
      </c>
      <c r="U120" s="201">
        <f t="shared" si="106"/>
        <v>2</v>
      </c>
      <c r="V120" s="203">
        <f t="shared" si="107"/>
        <v>0.25</v>
      </c>
      <c r="W120" s="37" t="s">
        <v>40</v>
      </c>
      <c r="X120" s="202">
        <f t="shared" si="147"/>
        <v>20</v>
      </c>
      <c r="Y120" s="201">
        <f t="shared" si="148"/>
        <v>35</v>
      </c>
      <c r="Z120" s="61">
        <f t="shared" si="149"/>
        <v>13.3245</v>
      </c>
      <c r="AA120" s="271">
        <f t="shared" si="150"/>
        <v>1.43</v>
      </c>
      <c r="AB120" s="271">
        <f t="shared" si="151"/>
        <v>1.8</v>
      </c>
      <c r="AC120" s="271">
        <f t="shared" si="152"/>
        <v>16.1845</v>
      </c>
      <c r="AD120" s="271">
        <f t="shared" si="153"/>
        <v>16.924500000000002</v>
      </c>
      <c r="AE120" s="61">
        <f t="shared" si="154"/>
        <v>31.857676426816521</v>
      </c>
      <c r="AF120" s="271">
        <v>0</v>
      </c>
      <c r="AG120" s="61">
        <f t="shared" si="155"/>
        <v>46.584594018667026</v>
      </c>
      <c r="AH120" s="15">
        <f t="shared" si="156"/>
        <v>0</v>
      </c>
      <c r="AI120" s="271">
        <f t="shared" si="100"/>
        <v>101.26834467382457</v>
      </c>
      <c r="AJ120" s="271">
        <f t="shared" si="157"/>
        <v>116.2750784894872</v>
      </c>
      <c r="AK120" s="271">
        <f t="shared" si="158"/>
        <v>131.71163014331461</v>
      </c>
      <c r="AL120" s="61">
        <f t="shared" si="159"/>
        <v>427.69732375210992</v>
      </c>
      <c r="AM120" s="326">
        <f t="shared" ref="AM120:AM128" si="205">ROUND(AE120*1.015,2)</f>
        <v>32.340000000000003</v>
      </c>
      <c r="AN120" s="265">
        <f t="shared" ref="AN120:AN128" si="206">ROUND(AF120*1.015,2)</f>
        <v>0</v>
      </c>
      <c r="AO120" s="326">
        <f t="shared" ref="AO120:AO128" si="207">ROUND(AG120*1.032,2)</f>
        <v>48.08</v>
      </c>
      <c r="AP120" s="265">
        <f t="shared" ref="AP120:AP128" si="208">ROUND(AH120*1.032,2)</f>
        <v>0</v>
      </c>
      <c r="AQ120" s="326">
        <f t="shared" ref="AQ120:AQ128" si="209">ROUND(AI120*1.032,2)</f>
        <v>104.51</v>
      </c>
      <c r="AR120" s="326">
        <f t="shared" ref="AR120:AR128" si="210">ROUND(AJ120*1.03,2)</f>
        <v>119.76</v>
      </c>
      <c r="AS120" s="326">
        <f t="shared" ref="AS120:AS128" si="211">ROUND(AK120*1.032,2)</f>
        <v>135.93</v>
      </c>
    </row>
    <row r="121" spans="1:45" s="207" customFormat="1" outlineLevel="2" x14ac:dyDescent="0.25">
      <c r="A121" s="318"/>
      <c r="B121" s="357" t="str">
        <f t="shared" si="196"/>
        <v>Кабель АВБШв 3*6ок (N, PE) - 1 ГОСТ 31996-2012</v>
      </c>
      <c r="C121" s="257">
        <v>3</v>
      </c>
      <c r="D121" s="34" t="s">
        <v>40</v>
      </c>
      <c r="E121" s="289">
        <v>6</v>
      </c>
      <c r="F121" s="276" t="str">
        <f t="shared" si="102"/>
        <v>ок</v>
      </c>
      <c r="G121" s="274">
        <v>1</v>
      </c>
      <c r="H121" s="34" t="s">
        <v>40</v>
      </c>
      <c r="I121" s="256">
        <v>2.69</v>
      </c>
      <c r="J121" s="61">
        <v>5.68</v>
      </c>
      <c r="K121" s="61">
        <f t="shared" si="204"/>
        <v>2.69</v>
      </c>
      <c r="L121" s="15">
        <f t="shared" si="141"/>
        <v>0.89000000000000012</v>
      </c>
      <c r="M121" s="61">
        <f t="shared" si="103"/>
        <v>1.1000000000000001</v>
      </c>
      <c r="N121" s="61">
        <f t="shared" si="142"/>
        <v>4.4700000000000006</v>
      </c>
      <c r="O121" s="61">
        <f t="shared" si="143"/>
        <v>4.8900000000000006</v>
      </c>
      <c r="P121" s="61">
        <f t="shared" si="144"/>
        <v>10.513500000000001</v>
      </c>
      <c r="Q121" s="61">
        <f t="shared" si="104"/>
        <v>0</v>
      </c>
      <c r="R121" s="61">
        <f t="shared" si="145"/>
        <v>0.5</v>
      </c>
      <c r="S121" s="61">
        <f t="shared" si="105"/>
        <v>1.4</v>
      </c>
      <c r="T121" s="61">
        <f t="shared" si="146"/>
        <v>13.313500000000001</v>
      </c>
      <c r="U121" s="201">
        <f t="shared" si="106"/>
        <v>2</v>
      </c>
      <c r="V121" s="203">
        <f t="shared" si="107"/>
        <v>0.25</v>
      </c>
      <c r="W121" s="37" t="s">
        <v>40</v>
      </c>
      <c r="X121" s="202">
        <f t="shared" si="147"/>
        <v>30</v>
      </c>
      <c r="Y121" s="201">
        <f t="shared" si="148"/>
        <v>35</v>
      </c>
      <c r="Z121" s="61">
        <f t="shared" si="149"/>
        <v>14.313500000000001</v>
      </c>
      <c r="AA121" s="271">
        <f t="shared" si="150"/>
        <v>1.43</v>
      </c>
      <c r="AB121" s="271">
        <f t="shared" si="151"/>
        <v>1.8</v>
      </c>
      <c r="AC121" s="271">
        <f t="shared" si="152"/>
        <v>17.173500000000001</v>
      </c>
      <c r="AD121" s="271">
        <f t="shared" si="153"/>
        <v>17.913500000000003</v>
      </c>
      <c r="AE121" s="61">
        <f t="shared" si="154"/>
        <v>46.356317720462314</v>
      </c>
      <c r="AF121" s="271">
        <v>0</v>
      </c>
      <c r="AG121" s="61">
        <f t="shared" si="155"/>
        <v>53.019703102326744</v>
      </c>
      <c r="AH121" s="15">
        <f t="shared" si="156"/>
        <v>0</v>
      </c>
      <c r="AI121" s="271">
        <f>IF(C121&gt;1,(PI()*T121^2/4-PI()*O121^2*(C121+2)/8-C121*(SIN(PI()*(C121-2)/C121))/2*(P121/2-O121/2)^2)*$AI$9,PI()*(P121+S121)*S121*1.07*$AI$9)</f>
        <v>114.78578633328611</v>
      </c>
      <c r="AJ121" s="271">
        <f t="shared" si="157"/>
        <v>125.24198188736649</v>
      </c>
      <c r="AK121" s="271">
        <f t="shared" si="158"/>
        <v>140.32433153587226</v>
      </c>
      <c r="AL121" s="61">
        <f t="shared" si="159"/>
        <v>479.7281205793139</v>
      </c>
      <c r="AM121" s="326">
        <f t="shared" si="205"/>
        <v>47.05</v>
      </c>
      <c r="AN121" s="265">
        <f t="shared" si="206"/>
        <v>0</v>
      </c>
      <c r="AO121" s="326">
        <f t="shared" si="207"/>
        <v>54.72</v>
      </c>
      <c r="AP121" s="265">
        <f t="shared" si="208"/>
        <v>0</v>
      </c>
      <c r="AQ121" s="326">
        <f t="shared" si="209"/>
        <v>118.46</v>
      </c>
      <c r="AR121" s="326">
        <f t="shared" si="210"/>
        <v>129</v>
      </c>
      <c r="AS121" s="326">
        <f t="shared" si="211"/>
        <v>144.81</v>
      </c>
    </row>
    <row r="122" spans="1:45" s="210" customFormat="1" outlineLevel="2" x14ac:dyDescent="0.25">
      <c r="A122" s="319"/>
      <c r="B122" s="357" t="str">
        <f t="shared" si="196"/>
        <v>Кабель АВБШв 3*10ок (N, PE) - 1 ГОСТ 31996-2012</v>
      </c>
      <c r="C122" s="257">
        <v>3</v>
      </c>
      <c r="D122" s="34" t="s">
        <v>40</v>
      </c>
      <c r="E122" s="289">
        <v>10</v>
      </c>
      <c r="F122" s="275" t="str">
        <f t="shared" si="102"/>
        <v>ок</v>
      </c>
      <c r="G122" s="274">
        <v>1</v>
      </c>
      <c r="H122" s="34" t="s">
        <v>40</v>
      </c>
      <c r="I122" s="256">
        <v>3.46</v>
      </c>
      <c r="J122" s="61">
        <v>9.4</v>
      </c>
      <c r="K122" s="61">
        <f t="shared" si="204"/>
        <v>3.46</v>
      </c>
      <c r="L122" s="15">
        <f t="shared" si="141"/>
        <v>0.89000000000000012</v>
      </c>
      <c r="M122" s="61">
        <f t="shared" si="103"/>
        <v>1.1000000000000001</v>
      </c>
      <c r="N122" s="61">
        <f t="shared" si="142"/>
        <v>5.24</v>
      </c>
      <c r="O122" s="61">
        <f t="shared" si="143"/>
        <v>5.66</v>
      </c>
      <c r="P122" s="61">
        <f t="shared" si="144"/>
        <v>12.169</v>
      </c>
      <c r="Q122" s="61">
        <f t="shared" si="104"/>
        <v>0</v>
      </c>
      <c r="R122" s="61">
        <f t="shared" si="145"/>
        <v>0.5</v>
      </c>
      <c r="S122" s="61">
        <f t="shared" si="105"/>
        <v>1.4</v>
      </c>
      <c r="T122" s="61">
        <f t="shared" si="146"/>
        <v>14.969000000000001</v>
      </c>
      <c r="U122" s="201">
        <f t="shared" si="106"/>
        <v>2</v>
      </c>
      <c r="V122" s="203">
        <f t="shared" si="107"/>
        <v>0.25</v>
      </c>
      <c r="W122" s="37" t="s">
        <v>40</v>
      </c>
      <c r="X122" s="202">
        <f t="shared" si="147"/>
        <v>30</v>
      </c>
      <c r="Y122" s="201">
        <f t="shared" si="148"/>
        <v>35</v>
      </c>
      <c r="Z122" s="61">
        <f t="shared" si="149"/>
        <v>15.969000000000001</v>
      </c>
      <c r="AA122" s="271">
        <f t="shared" si="150"/>
        <v>1.43</v>
      </c>
      <c r="AB122" s="271">
        <f t="shared" si="151"/>
        <v>1.8</v>
      </c>
      <c r="AC122" s="271">
        <f t="shared" si="152"/>
        <v>18.829000000000001</v>
      </c>
      <c r="AD122" s="271">
        <f t="shared" si="153"/>
        <v>19.569000000000003</v>
      </c>
      <c r="AE122" s="61">
        <f t="shared" si="154"/>
        <v>76.693148688145101</v>
      </c>
      <c r="AF122" s="271">
        <v>0</v>
      </c>
      <c r="AG122" s="61">
        <f t="shared" si="155"/>
        <v>63.791516133670179</v>
      </c>
      <c r="AH122" s="15">
        <f t="shared" si="156"/>
        <v>0</v>
      </c>
      <c r="AI122" s="271">
        <f t="shared" ref="AI122:AI164" si="212">IF(C122&gt;1,(PI()*T122^2/4-PI()*O122^2*(C122+2)/8-C122*(SIN(PI()*(C122-2)/C122))/2*(P122/2-O122/2)^2)*$AI$9,PI()*(P122+S122)*S122*1.07*$AI$9)</f>
        <v>139.05367639861694</v>
      </c>
      <c r="AJ122" s="271">
        <f t="shared" si="157"/>
        <v>140.25179844468616</v>
      </c>
      <c r="AK122" s="271">
        <f t="shared" si="158"/>
        <v>154.74124473645787</v>
      </c>
      <c r="AL122" s="61">
        <f t="shared" si="159"/>
        <v>574.53138440157636</v>
      </c>
      <c r="AM122" s="326">
        <f t="shared" si="205"/>
        <v>77.84</v>
      </c>
      <c r="AN122" s="265">
        <f t="shared" si="206"/>
        <v>0</v>
      </c>
      <c r="AO122" s="326">
        <f t="shared" si="207"/>
        <v>65.83</v>
      </c>
      <c r="AP122" s="265">
        <f t="shared" si="208"/>
        <v>0</v>
      </c>
      <c r="AQ122" s="326">
        <f t="shared" si="209"/>
        <v>143.5</v>
      </c>
      <c r="AR122" s="326">
        <f t="shared" si="210"/>
        <v>144.46</v>
      </c>
      <c r="AS122" s="326">
        <f t="shared" si="211"/>
        <v>159.69</v>
      </c>
    </row>
    <row r="123" spans="1:45" s="210" customFormat="1" outlineLevel="2" x14ac:dyDescent="0.25">
      <c r="A123" s="319"/>
      <c r="B123" s="357" t="str">
        <f t="shared" si="196"/>
        <v>Кабель АВБШв 3*16ок (N, PE) - 1 ГОСТ 31996-2012</v>
      </c>
      <c r="C123" s="257">
        <v>3</v>
      </c>
      <c r="D123" s="34" t="s">
        <v>40</v>
      </c>
      <c r="E123" s="289">
        <v>16</v>
      </c>
      <c r="F123" s="275" t="str">
        <f t="shared" si="102"/>
        <v>ок</v>
      </c>
      <c r="G123" s="274">
        <v>1</v>
      </c>
      <c r="H123" s="34" t="s">
        <v>40</v>
      </c>
      <c r="I123" s="256">
        <v>4.41</v>
      </c>
      <c r="J123" s="61">
        <v>15.27</v>
      </c>
      <c r="K123" s="61">
        <f t="shared" si="204"/>
        <v>4.41</v>
      </c>
      <c r="L123" s="15">
        <f t="shared" si="141"/>
        <v>0.89000000000000012</v>
      </c>
      <c r="M123" s="61">
        <f t="shared" si="103"/>
        <v>1.1000000000000001</v>
      </c>
      <c r="N123" s="61">
        <f t="shared" si="142"/>
        <v>6.19</v>
      </c>
      <c r="O123" s="61">
        <f t="shared" si="143"/>
        <v>6.61</v>
      </c>
      <c r="P123" s="61">
        <f t="shared" si="144"/>
        <v>14.211500000000001</v>
      </c>
      <c r="Q123" s="61">
        <f t="shared" si="104"/>
        <v>0</v>
      </c>
      <c r="R123" s="61">
        <f t="shared" si="145"/>
        <v>0.5</v>
      </c>
      <c r="S123" s="61">
        <f t="shared" si="105"/>
        <v>1.4</v>
      </c>
      <c r="T123" s="61">
        <f t="shared" si="146"/>
        <v>17.011500000000002</v>
      </c>
      <c r="U123" s="201">
        <f t="shared" si="106"/>
        <v>2</v>
      </c>
      <c r="V123" s="203">
        <f t="shared" si="107"/>
        <v>0.25</v>
      </c>
      <c r="W123" s="37" t="s">
        <v>40</v>
      </c>
      <c r="X123" s="202">
        <f t="shared" si="147"/>
        <v>30</v>
      </c>
      <c r="Y123" s="201">
        <f t="shared" si="148"/>
        <v>35</v>
      </c>
      <c r="Z123" s="61">
        <f t="shared" si="149"/>
        <v>18.011500000000002</v>
      </c>
      <c r="AA123" s="271">
        <f t="shared" si="150"/>
        <v>1.43</v>
      </c>
      <c r="AB123" s="271">
        <f t="shared" si="151"/>
        <v>1.8</v>
      </c>
      <c r="AC123" s="271">
        <f t="shared" si="152"/>
        <v>20.871500000000001</v>
      </c>
      <c r="AD123" s="271">
        <f t="shared" si="153"/>
        <v>21.611500000000003</v>
      </c>
      <c r="AE123" s="61">
        <f t="shared" si="154"/>
        <v>124.58953063933932</v>
      </c>
      <c r="AF123" s="271">
        <v>0</v>
      </c>
      <c r="AG123" s="61">
        <f t="shared" si="155"/>
        <v>77.081415328184789</v>
      </c>
      <c r="AH123" s="15">
        <f t="shared" si="156"/>
        <v>0</v>
      </c>
      <c r="AI123" s="271">
        <f t="shared" si="212"/>
        <v>171.82551475786443</v>
      </c>
      <c r="AJ123" s="271">
        <f t="shared" si="157"/>
        <v>158.77040328813248</v>
      </c>
      <c r="AK123" s="271">
        <f t="shared" si="158"/>
        <v>172.52834543847914</v>
      </c>
      <c r="AL123" s="61">
        <f t="shared" si="159"/>
        <v>704.79520945200022</v>
      </c>
      <c r="AM123" s="326">
        <f t="shared" si="205"/>
        <v>126.46</v>
      </c>
      <c r="AN123" s="265">
        <f t="shared" si="206"/>
        <v>0</v>
      </c>
      <c r="AO123" s="326">
        <f t="shared" si="207"/>
        <v>79.55</v>
      </c>
      <c r="AP123" s="265">
        <f t="shared" si="208"/>
        <v>0</v>
      </c>
      <c r="AQ123" s="326">
        <f t="shared" si="209"/>
        <v>177.32</v>
      </c>
      <c r="AR123" s="326">
        <f t="shared" si="210"/>
        <v>163.53</v>
      </c>
      <c r="AS123" s="326">
        <f t="shared" si="211"/>
        <v>178.05</v>
      </c>
    </row>
    <row r="124" spans="1:45" s="210" customFormat="1" outlineLevel="2" x14ac:dyDescent="0.25">
      <c r="A124" s="319"/>
      <c r="B124" s="357" t="str">
        <f t="shared" si="196"/>
        <v>Кабель АВБШв 3*25ок (N, PE) - 1 ГОСТ 31996-2012</v>
      </c>
      <c r="C124" s="257">
        <v>3</v>
      </c>
      <c r="D124" s="34" t="s">
        <v>40</v>
      </c>
      <c r="E124" s="289">
        <v>25</v>
      </c>
      <c r="F124" s="275" t="str">
        <f t="shared" si="102"/>
        <v>ок</v>
      </c>
      <c r="G124" s="274">
        <v>1</v>
      </c>
      <c r="H124" s="34" t="s">
        <v>40</v>
      </c>
      <c r="I124" s="256">
        <v>5.54</v>
      </c>
      <c r="J124" s="61">
        <v>24.11</v>
      </c>
      <c r="K124" s="61">
        <f t="shared" si="204"/>
        <v>5.54</v>
      </c>
      <c r="L124" s="15">
        <f t="shared" si="141"/>
        <v>1.07</v>
      </c>
      <c r="M124" s="61">
        <f t="shared" si="103"/>
        <v>1.3</v>
      </c>
      <c r="N124" s="61">
        <f t="shared" si="142"/>
        <v>7.68</v>
      </c>
      <c r="O124" s="61">
        <f t="shared" si="143"/>
        <v>8.14</v>
      </c>
      <c r="P124" s="61">
        <f t="shared" si="144"/>
        <v>17.501000000000001</v>
      </c>
      <c r="Q124" s="61">
        <f t="shared" si="104"/>
        <v>0</v>
      </c>
      <c r="R124" s="61">
        <f t="shared" si="145"/>
        <v>0.5</v>
      </c>
      <c r="S124" s="61">
        <f t="shared" si="105"/>
        <v>1.4</v>
      </c>
      <c r="T124" s="61">
        <f t="shared" si="146"/>
        <v>20.301000000000002</v>
      </c>
      <c r="U124" s="201">
        <f t="shared" si="106"/>
        <v>2</v>
      </c>
      <c r="V124" s="203">
        <f t="shared" si="107"/>
        <v>0.25</v>
      </c>
      <c r="W124" s="37" t="s">
        <v>40</v>
      </c>
      <c r="X124" s="202">
        <f t="shared" si="147"/>
        <v>30</v>
      </c>
      <c r="Y124" s="201">
        <f t="shared" si="148"/>
        <v>35</v>
      </c>
      <c r="Z124" s="61">
        <f t="shared" si="149"/>
        <v>21.301000000000002</v>
      </c>
      <c r="AA124" s="271">
        <f t="shared" si="150"/>
        <v>1.5999999999999999</v>
      </c>
      <c r="AB124" s="271">
        <f t="shared" si="151"/>
        <v>2</v>
      </c>
      <c r="AC124" s="271">
        <f t="shared" si="152"/>
        <v>24.501000000000001</v>
      </c>
      <c r="AD124" s="271">
        <f t="shared" si="153"/>
        <v>25.301000000000002</v>
      </c>
      <c r="AE124" s="61">
        <f t="shared" si="154"/>
        <v>196.61828346061296</v>
      </c>
      <c r="AF124" s="271">
        <v>0</v>
      </c>
      <c r="AG124" s="61">
        <f t="shared" si="155"/>
        <v>113.08496041877895</v>
      </c>
      <c r="AH124" s="15">
        <f t="shared" si="156"/>
        <v>0</v>
      </c>
      <c r="AI124" s="271">
        <f t="shared" si="212"/>
        <v>231.17929059091463</v>
      </c>
      <c r="AJ124" s="271">
        <f t="shared" si="157"/>
        <v>188.59510372020924</v>
      </c>
      <c r="AK124" s="271">
        <f t="shared" si="158"/>
        <v>225.46293129759096</v>
      </c>
      <c r="AL124" s="61">
        <f t="shared" si="159"/>
        <v>954.9405694881068</v>
      </c>
      <c r="AM124" s="326">
        <f t="shared" si="205"/>
        <v>199.57</v>
      </c>
      <c r="AN124" s="265">
        <f t="shared" si="206"/>
        <v>0</v>
      </c>
      <c r="AO124" s="326">
        <f t="shared" si="207"/>
        <v>116.7</v>
      </c>
      <c r="AP124" s="265">
        <f t="shared" si="208"/>
        <v>0</v>
      </c>
      <c r="AQ124" s="326">
        <f t="shared" si="209"/>
        <v>238.58</v>
      </c>
      <c r="AR124" s="326">
        <f t="shared" si="210"/>
        <v>194.25</v>
      </c>
      <c r="AS124" s="326">
        <f t="shared" si="211"/>
        <v>232.68</v>
      </c>
    </row>
    <row r="125" spans="1:45" s="210" customFormat="1" outlineLevel="2" x14ac:dyDescent="0.25">
      <c r="A125" s="319"/>
      <c r="B125" s="357" t="str">
        <f t="shared" si="196"/>
        <v>Кабель АВБШв 3*35ок (N, PE) - 1 ГОСТ 31996-2012</v>
      </c>
      <c r="C125" s="257">
        <v>3</v>
      </c>
      <c r="D125" s="34" t="s">
        <v>40</v>
      </c>
      <c r="E125" s="289">
        <v>35</v>
      </c>
      <c r="F125" s="275" t="str">
        <f t="shared" si="102"/>
        <v>ок</v>
      </c>
      <c r="G125" s="274">
        <v>1</v>
      </c>
      <c r="H125" s="34" t="s">
        <v>40</v>
      </c>
      <c r="I125" s="256">
        <v>6.51</v>
      </c>
      <c r="J125" s="61">
        <v>33.29</v>
      </c>
      <c r="K125" s="61">
        <f t="shared" si="204"/>
        <v>6.51</v>
      </c>
      <c r="L125" s="15">
        <f t="shared" si="141"/>
        <v>1.07</v>
      </c>
      <c r="M125" s="61">
        <f t="shared" si="103"/>
        <v>1.3</v>
      </c>
      <c r="N125" s="61">
        <f t="shared" si="142"/>
        <v>8.65</v>
      </c>
      <c r="O125" s="61">
        <f t="shared" si="143"/>
        <v>9.11</v>
      </c>
      <c r="P125" s="61">
        <f t="shared" si="144"/>
        <v>19.586499999999997</v>
      </c>
      <c r="Q125" s="61">
        <f t="shared" si="104"/>
        <v>0</v>
      </c>
      <c r="R125" s="61">
        <f t="shared" si="145"/>
        <v>0.5</v>
      </c>
      <c r="S125" s="61">
        <f t="shared" si="105"/>
        <v>1.4</v>
      </c>
      <c r="T125" s="61">
        <f t="shared" si="146"/>
        <v>22.386499999999998</v>
      </c>
      <c r="U125" s="201">
        <f t="shared" si="106"/>
        <v>2</v>
      </c>
      <c r="V125" s="203">
        <f t="shared" si="107"/>
        <v>0.25</v>
      </c>
      <c r="W125" s="37" t="s">
        <v>40</v>
      </c>
      <c r="X125" s="202">
        <f t="shared" si="147"/>
        <v>40</v>
      </c>
      <c r="Y125" s="201">
        <f t="shared" si="148"/>
        <v>35</v>
      </c>
      <c r="Z125" s="61">
        <f t="shared" si="149"/>
        <v>23.386499999999998</v>
      </c>
      <c r="AA125" s="271">
        <f t="shared" si="150"/>
        <v>1.5999999999999999</v>
      </c>
      <c r="AB125" s="271">
        <f t="shared" si="151"/>
        <v>2</v>
      </c>
      <c r="AC125" s="271">
        <f t="shared" si="152"/>
        <v>26.586499999999997</v>
      </c>
      <c r="AD125" s="271">
        <f t="shared" si="153"/>
        <v>27.386499999999998</v>
      </c>
      <c r="AE125" s="61">
        <f t="shared" si="154"/>
        <v>271.49782073561244</v>
      </c>
      <c r="AF125" s="271">
        <v>0</v>
      </c>
      <c r="AG125" s="61">
        <f t="shared" si="155"/>
        <v>129.12186270038941</v>
      </c>
      <c r="AH125" s="15">
        <f t="shared" si="156"/>
        <v>0</v>
      </c>
      <c r="AI125" s="271">
        <f t="shared" si="212"/>
        <v>273.01016567269085</v>
      </c>
      <c r="AJ125" s="271">
        <f t="shared" si="157"/>
        <v>207.50357392878072</v>
      </c>
      <c r="AK125" s="271">
        <f t="shared" si="158"/>
        <v>245.64244905310042</v>
      </c>
      <c r="AL125" s="61">
        <f t="shared" si="159"/>
        <v>1126.7758720905738</v>
      </c>
      <c r="AM125" s="326">
        <f t="shared" si="205"/>
        <v>275.57</v>
      </c>
      <c r="AN125" s="265">
        <f t="shared" si="206"/>
        <v>0</v>
      </c>
      <c r="AO125" s="326">
        <f t="shared" si="207"/>
        <v>133.25</v>
      </c>
      <c r="AP125" s="265">
        <f t="shared" si="208"/>
        <v>0</v>
      </c>
      <c r="AQ125" s="326">
        <f t="shared" si="209"/>
        <v>281.75</v>
      </c>
      <c r="AR125" s="326">
        <f t="shared" si="210"/>
        <v>213.73</v>
      </c>
      <c r="AS125" s="326">
        <f t="shared" si="211"/>
        <v>253.5</v>
      </c>
    </row>
    <row r="126" spans="1:45" s="210" customFormat="1" outlineLevel="2" x14ac:dyDescent="0.25">
      <c r="A126" s="319"/>
      <c r="B126" s="357" t="str">
        <f t="shared" si="196"/>
        <v>Кабель АВБШв 3*25мк (N, PE) - 1 ГОСТ 31996-2012</v>
      </c>
      <c r="C126" s="257">
        <v>3</v>
      </c>
      <c r="D126" s="34" t="s">
        <v>40</v>
      </c>
      <c r="E126" s="289">
        <v>25</v>
      </c>
      <c r="F126" s="275" t="str">
        <f t="shared" si="102"/>
        <v>мк</v>
      </c>
      <c r="G126" s="274">
        <v>7</v>
      </c>
      <c r="H126" s="34" t="s">
        <v>40</v>
      </c>
      <c r="I126" s="256">
        <v>2.19</v>
      </c>
      <c r="J126" s="61">
        <v>24.05</v>
      </c>
      <c r="K126" s="271">
        <v>5.84</v>
      </c>
      <c r="L126" s="15">
        <f t="shared" si="141"/>
        <v>1.07</v>
      </c>
      <c r="M126" s="61">
        <f t="shared" si="103"/>
        <v>1.3</v>
      </c>
      <c r="N126" s="61">
        <f t="shared" si="142"/>
        <v>7.98</v>
      </c>
      <c r="O126" s="61">
        <f t="shared" si="143"/>
        <v>8.44</v>
      </c>
      <c r="P126" s="61">
        <f t="shared" si="144"/>
        <v>18.145999999999997</v>
      </c>
      <c r="Q126" s="61">
        <f t="shared" si="104"/>
        <v>0</v>
      </c>
      <c r="R126" s="61">
        <f t="shared" si="145"/>
        <v>0.5</v>
      </c>
      <c r="S126" s="61">
        <f t="shared" si="105"/>
        <v>1.4</v>
      </c>
      <c r="T126" s="61">
        <f t="shared" si="146"/>
        <v>20.945999999999998</v>
      </c>
      <c r="U126" s="201">
        <f t="shared" si="106"/>
        <v>2</v>
      </c>
      <c r="V126" s="203">
        <f t="shared" si="107"/>
        <v>0.25</v>
      </c>
      <c r="W126" s="37" t="s">
        <v>40</v>
      </c>
      <c r="X126" s="202">
        <f t="shared" si="147"/>
        <v>30</v>
      </c>
      <c r="Y126" s="201">
        <f t="shared" si="148"/>
        <v>35</v>
      </c>
      <c r="Z126" s="61">
        <f t="shared" si="149"/>
        <v>21.945999999999998</v>
      </c>
      <c r="AA126" s="271">
        <f t="shared" si="150"/>
        <v>1.5999999999999999</v>
      </c>
      <c r="AB126" s="271">
        <f t="shared" si="151"/>
        <v>2</v>
      </c>
      <c r="AC126" s="271">
        <f t="shared" si="152"/>
        <v>25.145999999999997</v>
      </c>
      <c r="AD126" s="271">
        <f t="shared" si="153"/>
        <v>25.945999999999998</v>
      </c>
      <c r="AE126" s="61">
        <f t="shared" si="154"/>
        <v>196.16863499999999</v>
      </c>
      <c r="AF126" s="271">
        <v>0</v>
      </c>
      <c r="AG126" s="61">
        <f t="shared" si="155"/>
        <v>129.84930981419441</v>
      </c>
      <c r="AH126" s="15">
        <f t="shared" si="156"/>
        <v>0</v>
      </c>
      <c r="AI126" s="271">
        <f t="shared" si="212"/>
        <v>243.76843844257127</v>
      </c>
      <c r="AJ126" s="271">
        <f t="shared" si="157"/>
        <v>194.44308419708702</v>
      </c>
      <c r="AK126" s="271">
        <f t="shared" si="158"/>
        <v>231.70401926321247</v>
      </c>
      <c r="AL126" s="61">
        <f t="shared" si="159"/>
        <v>995.93348671706519</v>
      </c>
      <c r="AM126" s="326">
        <f t="shared" si="205"/>
        <v>199.11</v>
      </c>
      <c r="AN126" s="265">
        <f t="shared" si="206"/>
        <v>0</v>
      </c>
      <c r="AO126" s="326">
        <f t="shared" si="207"/>
        <v>134</v>
      </c>
      <c r="AP126" s="265">
        <f t="shared" si="208"/>
        <v>0</v>
      </c>
      <c r="AQ126" s="326">
        <f t="shared" si="209"/>
        <v>251.57</v>
      </c>
      <c r="AR126" s="326">
        <f t="shared" si="210"/>
        <v>200.28</v>
      </c>
      <c r="AS126" s="326">
        <f t="shared" si="211"/>
        <v>239.12</v>
      </c>
    </row>
    <row r="127" spans="1:45" s="210" customFormat="1" outlineLevel="2" x14ac:dyDescent="0.25">
      <c r="A127" s="319"/>
      <c r="B127" s="357" t="str">
        <f t="shared" si="196"/>
        <v>Кабель АВБШв 3*35мк (N, PE) - 1 ГОСТ 31996-2012</v>
      </c>
      <c r="C127" s="257">
        <v>3</v>
      </c>
      <c r="D127" s="34" t="s">
        <v>40</v>
      </c>
      <c r="E127" s="289">
        <v>35</v>
      </c>
      <c r="F127" s="275" t="str">
        <f t="shared" si="102"/>
        <v>мк</v>
      </c>
      <c r="G127" s="274">
        <v>7</v>
      </c>
      <c r="H127" s="34" t="s">
        <v>40</v>
      </c>
      <c r="I127" s="256">
        <v>2.5499999999999998</v>
      </c>
      <c r="J127" s="61">
        <v>33.24</v>
      </c>
      <c r="K127" s="271">
        <v>6.95</v>
      </c>
      <c r="L127" s="15">
        <f t="shared" si="141"/>
        <v>1.07</v>
      </c>
      <c r="M127" s="61">
        <f t="shared" si="103"/>
        <v>1.3</v>
      </c>
      <c r="N127" s="61">
        <f t="shared" si="142"/>
        <v>9.09</v>
      </c>
      <c r="O127" s="61">
        <f t="shared" si="143"/>
        <v>9.5500000000000007</v>
      </c>
      <c r="P127" s="61">
        <f t="shared" si="144"/>
        <v>20.532500000000002</v>
      </c>
      <c r="Q127" s="61">
        <f t="shared" si="104"/>
        <v>0</v>
      </c>
      <c r="R127" s="61">
        <f t="shared" si="145"/>
        <v>0.5</v>
      </c>
      <c r="S127" s="61">
        <f t="shared" si="105"/>
        <v>1.4</v>
      </c>
      <c r="T127" s="61">
        <f t="shared" si="146"/>
        <v>23.332500000000003</v>
      </c>
      <c r="U127" s="201">
        <f t="shared" si="106"/>
        <v>2</v>
      </c>
      <c r="V127" s="203">
        <f t="shared" si="107"/>
        <v>0.25</v>
      </c>
      <c r="W127" s="37" t="s">
        <v>40</v>
      </c>
      <c r="X127" s="202">
        <f t="shared" si="147"/>
        <v>40</v>
      </c>
      <c r="Y127" s="201">
        <f t="shared" si="148"/>
        <v>35</v>
      </c>
      <c r="Z127" s="61">
        <f t="shared" si="149"/>
        <v>24.332500000000003</v>
      </c>
      <c r="AA127" s="271">
        <f t="shared" si="150"/>
        <v>1.5999999999999999</v>
      </c>
      <c r="AB127" s="271">
        <f t="shared" si="151"/>
        <v>2</v>
      </c>
      <c r="AC127" s="271">
        <f t="shared" si="152"/>
        <v>27.532500000000002</v>
      </c>
      <c r="AD127" s="271">
        <f t="shared" si="153"/>
        <v>28.332500000000003</v>
      </c>
      <c r="AE127" s="61">
        <f t="shared" si="154"/>
        <v>271.12870800000002</v>
      </c>
      <c r="AF127" s="271">
        <v>0</v>
      </c>
      <c r="AG127" s="61">
        <f t="shared" si="155"/>
        <v>150.03596722228349</v>
      </c>
      <c r="AH127" s="15">
        <f t="shared" si="156"/>
        <v>0</v>
      </c>
      <c r="AI127" s="271">
        <f t="shared" si="212"/>
        <v>293.05985000925403</v>
      </c>
      <c r="AJ127" s="271">
        <f t="shared" si="157"/>
        <v>216.08061196153486</v>
      </c>
      <c r="AK127" s="271">
        <f t="shared" si="158"/>
        <v>254.79604473601196</v>
      </c>
      <c r="AL127" s="61">
        <f t="shared" si="159"/>
        <v>1185.1011819290843</v>
      </c>
      <c r="AM127" s="326">
        <f t="shared" si="205"/>
        <v>275.2</v>
      </c>
      <c r="AN127" s="265">
        <f t="shared" si="206"/>
        <v>0</v>
      </c>
      <c r="AO127" s="326">
        <f t="shared" si="207"/>
        <v>154.84</v>
      </c>
      <c r="AP127" s="265">
        <f t="shared" si="208"/>
        <v>0</v>
      </c>
      <c r="AQ127" s="326">
        <f t="shared" si="209"/>
        <v>302.44</v>
      </c>
      <c r="AR127" s="326">
        <f t="shared" si="210"/>
        <v>222.56</v>
      </c>
      <c r="AS127" s="326">
        <f t="shared" si="211"/>
        <v>262.95</v>
      </c>
    </row>
    <row r="128" spans="1:45" s="210" customFormat="1" outlineLevel="2" x14ac:dyDescent="0.25">
      <c r="A128" s="319"/>
      <c r="B128" s="357" t="str">
        <f t="shared" si="196"/>
        <v>Кабель АВБШв 3*50мк (N, PE) - 1 ГОСТ 31996-2012</v>
      </c>
      <c r="C128" s="257">
        <v>3</v>
      </c>
      <c r="D128" s="34" t="s">
        <v>40</v>
      </c>
      <c r="E128" s="289">
        <v>50</v>
      </c>
      <c r="F128" s="275" t="str">
        <f t="shared" si="102"/>
        <v>мк</v>
      </c>
      <c r="G128" s="274">
        <v>7</v>
      </c>
      <c r="H128" s="34" t="s">
        <v>40</v>
      </c>
      <c r="I128" s="256">
        <v>3</v>
      </c>
      <c r="J128" s="61">
        <v>45.03</v>
      </c>
      <c r="K128" s="271">
        <v>8</v>
      </c>
      <c r="L128" s="15">
        <f t="shared" si="141"/>
        <v>1.25</v>
      </c>
      <c r="M128" s="61">
        <f t="shared" si="103"/>
        <v>1.5</v>
      </c>
      <c r="N128" s="61">
        <f t="shared" si="142"/>
        <v>10.5</v>
      </c>
      <c r="O128" s="61">
        <f t="shared" si="143"/>
        <v>11</v>
      </c>
      <c r="P128" s="61">
        <f t="shared" si="144"/>
        <v>23.65</v>
      </c>
      <c r="Q128" s="61">
        <f t="shared" si="104"/>
        <v>0</v>
      </c>
      <c r="R128" s="61">
        <f t="shared" si="145"/>
        <v>0.5</v>
      </c>
      <c r="S128" s="61">
        <f t="shared" si="105"/>
        <v>1.4</v>
      </c>
      <c r="T128" s="61">
        <f t="shared" si="146"/>
        <v>26.45</v>
      </c>
      <c r="U128" s="201">
        <f t="shared" si="106"/>
        <v>2</v>
      </c>
      <c r="V128" s="203">
        <f t="shared" si="107"/>
        <v>0.25</v>
      </c>
      <c r="W128" s="37" t="s">
        <v>40</v>
      </c>
      <c r="X128" s="202">
        <f t="shared" si="147"/>
        <v>40</v>
      </c>
      <c r="Y128" s="201">
        <f t="shared" si="148"/>
        <v>35</v>
      </c>
      <c r="Z128" s="61">
        <f t="shared" si="149"/>
        <v>27.45</v>
      </c>
      <c r="AA128" s="271">
        <f t="shared" si="150"/>
        <v>1.5999999999999999</v>
      </c>
      <c r="AB128" s="271">
        <f t="shared" si="151"/>
        <v>2</v>
      </c>
      <c r="AC128" s="271">
        <f t="shared" si="152"/>
        <v>30.65</v>
      </c>
      <c r="AD128" s="271">
        <f t="shared" si="153"/>
        <v>31.45</v>
      </c>
      <c r="AE128" s="61">
        <f t="shared" si="154"/>
        <v>367.296201</v>
      </c>
      <c r="AF128" s="271">
        <v>0</v>
      </c>
      <c r="AG128" s="61">
        <f t="shared" si="155"/>
        <v>199.34848791771927</v>
      </c>
      <c r="AH128" s="15">
        <f t="shared" si="156"/>
        <v>0</v>
      </c>
      <c r="AI128" s="271">
        <f t="shared" si="212"/>
        <v>363.88064000977425</v>
      </c>
      <c r="AJ128" s="271">
        <f t="shared" si="157"/>
        <v>244.34585093311088</v>
      </c>
      <c r="AK128" s="271">
        <f t="shared" si="158"/>
        <v>284.96130323651579</v>
      </c>
      <c r="AL128" s="61">
        <f t="shared" si="159"/>
        <v>1459.8324830971201</v>
      </c>
      <c r="AM128" s="326">
        <f t="shared" si="205"/>
        <v>372.81</v>
      </c>
      <c r="AN128" s="265">
        <f t="shared" si="206"/>
        <v>0</v>
      </c>
      <c r="AO128" s="326">
        <f t="shared" si="207"/>
        <v>205.73</v>
      </c>
      <c r="AP128" s="265">
        <f t="shared" si="208"/>
        <v>0</v>
      </c>
      <c r="AQ128" s="326">
        <f t="shared" si="209"/>
        <v>375.52</v>
      </c>
      <c r="AR128" s="326">
        <f t="shared" si="210"/>
        <v>251.68</v>
      </c>
      <c r="AS128" s="326">
        <f t="shared" si="211"/>
        <v>294.08</v>
      </c>
    </row>
    <row r="129" spans="1:45" s="210" customFormat="1" outlineLevel="2" x14ac:dyDescent="0.25">
      <c r="A129" s="319"/>
      <c r="B129" s="272" t="str">
        <f t="shared" si="196"/>
        <v>Кабель АВБШв 3*70мк (N, PE) - 1 ГОСТ 31996-2012</v>
      </c>
      <c r="C129" s="257">
        <v>3</v>
      </c>
      <c r="D129" s="34" t="s">
        <v>40</v>
      </c>
      <c r="E129" s="289">
        <v>70</v>
      </c>
      <c r="F129" s="275" t="str">
        <f t="shared" si="102"/>
        <v>мк</v>
      </c>
      <c r="G129" s="274">
        <v>7</v>
      </c>
      <c r="H129" s="34" t="s">
        <v>40</v>
      </c>
      <c r="I129" s="256">
        <v>3.57</v>
      </c>
      <c r="J129" s="61">
        <v>65.16</v>
      </c>
      <c r="K129" s="271">
        <v>9.6</v>
      </c>
      <c r="L129" s="15">
        <f t="shared" si="141"/>
        <v>1.25</v>
      </c>
      <c r="M129" s="61">
        <f t="shared" si="103"/>
        <v>1.5</v>
      </c>
      <c r="N129" s="61">
        <f t="shared" si="142"/>
        <v>12.1</v>
      </c>
      <c r="O129" s="61">
        <f t="shared" si="143"/>
        <v>12.6</v>
      </c>
      <c r="P129" s="61">
        <f t="shared" si="144"/>
        <v>27.09</v>
      </c>
      <c r="Q129" s="61">
        <f t="shared" si="104"/>
        <v>0</v>
      </c>
      <c r="R129" s="61">
        <f t="shared" si="145"/>
        <v>0.6</v>
      </c>
      <c r="S129" s="61">
        <f t="shared" si="105"/>
        <v>1.6</v>
      </c>
      <c r="T129" s="61">
        <f t="shared" si="146"/>
        <v>30.29</v>
      </c>
      <c r="U129" s="201">
        <f t="shared" si="106"/>
        <v>2</v>
      </c>
      <c r="V129" s="203">
        <f t="shared" si="107"/>
        <v>0.25</v>
      </c>
      <c r="W129" s="37" t="s">
        <v>40</v>
      </c>
      <c r="X129" s="202">
        <f t="shared" si="147"/>
        <v>40</v>
      </c>
      <c r="Y129" s="201">
        <f t="shared" si="148"/>
        <v>35</v>
      </c>
      <c r="Z129" s="61">
        <f t="shared" si="149"/>
        <v>31.29</v>
      </c>
      <c r="AA129" s="271">
        <f t="shared" si="150"/>
        <v>1.77</v>
      </c>
      <c r="AB129" s="271">
        <f t="shared" si="151"/>
        <v>2.2000000000000002</v>
      </c>
      <c r="AC129" s="271">
        <f t="shared" si="152"/>
        <v>34.83</v>
      </c>
      <c r="AD129" s="271">
        <f t="shared" si="153"/>
        <v>35.69</v>
      </c>
      <c r="AE129" s="61">
        <f t="shared" si="154"/>
        <v>531.49057200000004</v>
      </c>
      <c r="AF129" s="271">
        <v>0</v>
      </c>
      <c r="AG129" s="61">
        <f t="shared" si="155"/>
        <v>232.92297009333515</v>
      </c>
      <c r="AH129" s="15">
        <f t="shared" si="156"/>
        <v>0</v>
      </c>
      <c r="AI129" s="271">
        <f t="shared" si="212"/>
        <v>476.95095474739031</v>
      </c>
      <c r="AJ129" s="271">
        <f t="shared" si="157"/>
        <v>279.16173470242978</v>
      </c>
      <c r="AK129" s="271">
        <f t="shared" si="158"/>
        <v>356.45804583803078</v>
      </c>
      <c r="AL129" s="61">
        <f t="shared" si="159"/>
        <v>1876.9842773811861</v>
      </c>
    </row>
    <row r="130" spans="1:45" s="210" customFormat="1" outlineLevel="2" x14ac:dyDescent="0.25">
      <c r="A130" s="319"/>
      <c r="B130" s="272" t="str">
        <f t="shared" si="196"/>
        <v>Кабель АВБШв 3*95мк (N, PE) - 1 ГОСТ 31996-2012</v>
      </c>
      <c r="C130" s="257">
        <v>3</v>
      </c>
      <c r="D130" s="34" t="s">
        <v>40</v>
      </c>
      <c r="E130" s="289">
        <v>95</v>
      </c>
      <c r="F130" s="275" t="str">
        <f t="shared" si="102"/>
        <v>мк</v>
      </c>
      <c r="G130" s="274">
        <v>19</v>
      </c>
      <c r="H130" s="34" t="s">
        <v>40</v>
      </c>
      <c r="I130" s="256">
        <v>2.5</v>
      </c>
      <c r="J130" s="61">
        <v>90.21</v>
      </c>
      <c r="K130" s="271">
        <v>11.2</v>
      </c>
      <c r="L130" s="15">
        <f t="shared" si="141"/>
        <v>1.4300000000000002</v>
      </c>
      <c r="M130" s="61">
        <f t="shared" si="103"/>
        <v>1.7000000000000002</v>
      </c>
      <c r="N130" s="61">
        <f t="shared" si="142"/>
        <v>14.059999999999999</v>
      </c>
      <c r="O130" s="61">
        <f t="shared" si="143"/>
        <v>14.6</v>
      </c>
      <c r="P130" s="61">
        <f t="shared" si="144"/>
        <v>31.389999999999997</v>
      </c>
      <c r="Q130" s="61">
        <f t="shared" si="104"/>
        <v>0</v>
      </c>
      <c r="R130" s="61">
        <f t="shared" si="145"/>
        <v>0.6</v>
      </c>
      <c r="S130" s="61">
        <f t="shared" si="105"/>
        <v>1.6</v>
      </c>
      <c r="T130" s="61">
        <f t="shared" si="146"/>
        <v>34.589999999999996</v>
      </c>
      <c r="U130" s="201">
        <f t="shared" si="106"/>
        <v>2</v>
      </c>
      <c r="V130" s="203">
        <f t="shared" si="107"/>
        <v>0.25</v>
      </c>
      <c r="W130" s="37" t="s">
        <v>40</v>
      </c>
      <c r="X130" s="202">
        <f t="shared" si="147"/>
        <v>50</v>
      </c>
      <c r="Y130" s="201">
        <f t="shared" si="148"/>
        <v>35</v>
      </c>
      <c r="Z130" s="61">
        <f t="shared" si="149"/>
        <v>35.589999999999996</v>
      </c>
      <c r="AA130" s="271">
        <f t="shared" si="150"/>
        <v>1.77</v>
      </c>
      <c r="AB130" s="271">
        <f t="shared" si="151"/>
        <v>2.2000000000000002</v>
      </c>
      <c r="AC130" s="271">
        <f t="shared" si="152"/>
        <v>39.129999999999995</v>
      </c>
      <c r="AD130" s="271">
        <f t="shared" si="153"/>
        <v>39.989999999999995</v>
      </c>
      <c r="AE130" s="61">
        <f t="shared" si="154"/>
        <v>735.81590699999992</v>
      </c>
      <c r="AF130" s="271">
        <v>0</v>
      </c>
      <c r="AG130" s="61">
        <f t="shared" si="155"/>
        <v>306.78683087969011</v>
      </c>
      <c r="AH130" s="15">
        <f t="shared" si="156"/>
        <v>0</v>
      </c>
      <c r="AI130" s="271">
        <f t="shared" si="212"/>
        <v>601.45977502451876</v>
      </c>
      <c r="AJ130" s="271">
        <f t="shared" si="157"/>
        <v>318.14827121494835</v>
      </c>
      <c r="AK130" s="271">
        <f t="shared" si="158"/>
        <v>402.22602425258833</v>
      </c>
      <c r="AL130" s="61">
        <f t="shared" si="159"/>
        <v>2364.4368083717454</v>
      </c>
    </row>
    <row r="131" spans="1:45" s="210" customFormat="1" outlineLevel="2" x14ac:dyDescent="0.25">
      <c r="A131" s="319"/>
      <c r="B131" s="272" t="str">
        <f t="shared" si="196"/>
        <v>Кабель АВБШв 3*120мк (N, PE) - 1 ГОСТ 31996-2012</v>
      </c>
      <c r="C131" s="257">
        <v>3</v>
      </c>
      <c r="D131" s="34" t="s">
        <v>40</v>
      </c>
      <c r="E131" s="289">
        <v>120</v>
      </c>
      <c r="F131" s="275" t="str">
        <f t="shared" si="102"/>
        <v>мк</v>
      </c>
      <c r="G131" s="274">
        <v>19</v>
      </c>
      <c r="H131" s="34" t="s">
        <v>40</v>
      </c>
      <c r="I131" s="256">
        <v>2.87</v>
      </c>
      <c r="J131" s="61">
        <v>114.09</v>
      </c>
      <c r="K131" s="271">
        <v>12.8</v>
      </c>
      <c r="L131" s="15">
        <f t="shared" si="141"/>
        <v>1.4300000000000002</v>
      </c>
      <c r="M131" s="61">
        <f t="shared" si="103"/>
        <v>1.7000000000000002</v>
      </c>
      <c r="N131" s="61">
        <f t="shared" si="142"/>
        <v>15.66</v>
      </c>
      <c r="O131" s="61">
        <f t="shared" si="143"/>
        <v>16.200000000000003</v>
      </c>
      <c r="P131" s="61">
        <f t="shared" si="144"/>
        <v>34.830000000000005</v>
      </c>
      <c r="Q131" s="61">
        <f t="shared" si="104"/>
        <v>0</v>
      </c>
      <c r="R131" s="61">
        <f t="shared" si="145"/>
        <v>0.6</v>
      </c>
      <c r="S131" s="61">
        <f t="shared" si="105"/>
        <v>1.6</v>
      </c>
      <c r="T131" s="61">
        <f t="shared" si="146"/>
        <v>38.030000000000008</v>
      </c>
      <c r="U131" s="201">
        <f t="shared" si="106"/>
        <v>2</v>
      </c>
      <c r="V131" s="203">
        <f t="shared" si="107"/>
        <v>0.25</v>
      </c>
      <c r="W131" s="37" t="s">
        <v>40</v>
      </c>
      <c r="X131" s="202">
        <f t="shared" si="147"/>
        <v>50</v>
      </c>
      <c r="Y131" s="201">
        <f t="shared" si="148"/>
        <v>35</v>
      </c>
      <c r="Z131" s="61">
        <f t="shared" si="149"/>
        <v>39.030000000000008</v>
      </c>
      <c r="AA131" s="271">
        <f t="shared" si="150"/>
        <v>1.77</v>
      </c>
      <c r="AB131" s="271">
        <f t="shared" si="151"/>
        <v>2.2000000000000002</v>
      </c>
      <c r="AC131" s="271">
        <f t="shared" si="152"/>
        <v>42.570000000000007</v>
      </c>
      <c r="AD131" s="271">
        <f t="shared" si="153"/>
        <v>43.430000000000007</v>
      </c>
      <c r="AE131" s="61">
        <f t="shared" si="154"/>
        <v>930.59790299999997</v>
      </c>
      <c r="AF131" s="271">
        <v>0</v>
      </c>
      <c r="AG131" s="61">
        <f t="shared" si="155"/>
        <v>344.83791067872147</v>
      </c>
      <c r="AH131" s="15">
        <f t="shared" si="156"/>
        <v>0</v>
      </c>
      <c r="AI131" s="271">
        <f t="shared" si="212"/>
        <v>711.04613711139575</v>
      </c>
      <c r="AJ131" s="271">
        <f t="shared" si="157"/>
        <v>349.33750042496337</v>
      </c>
      <c r="AK131" s="271">
        <f t="shared" si="158"/>
        <v>438.84040698423456</v>
      </c>
      <c r="AL131" s="61">
        <f t="shared" si="159"/>
        <v>2774.6598581993148</v>
      </c>
    </row>
    <row r="132" spans="1:45" s="210" customFormat="1" outlineLevel="2" x14ac:dyDescent="0.25">
      <c r="A132" s="319"/>
      <c r="B132" s="272" t="str">
        <f t="shared" si="196"/>
        <v>Кабель АВБШв 3*150мк (N, PE) - 1 ГОСТ 31996-2012</v>
      </c>
      <c r="C132" s="257">
        <v>3</v>
      </c>
      <c r="D132" s="34" t="s">
        <v>40</v>
      </c>
      <c r="E132" s="289">
        <v>150</v>
      </c>
      <c r="F132" s="275" t="str">
        <f t="shared" si="102"/>
        <v>мк</v>
      </c>
      <c r="G132" s="274">
        <v>19</v>
      </c>
      <c r="H132" s="34" t="s">
        <v>40</v>
      </c>
      <c r="I132" s="256">
        <v>3.15</v>
      </c>
      <c r="J132" s="61">
        <v>140.13</v>
      </c>
      <c r="K132" s="271">
        <v>14.1</v>
      </c>
      <c r="L132" s="15">
        <f t="shared" si="141"/>
        <v>1.61</v>
      </c>
      <c r="M132" s="61">
        <f t="shared" si="103"/>
        <v>1.9000000000000001</v>
      </c>
      <c r="N132" s="61">
        <f t="shared" si="142"/>
        <v>17.32</v>
      </c>
      <c r="O132" s="61">
        <f t="shared" si="143"/>
        <v>17.899999999999999</v>
      </c>
      <c r="P132" s="61">
        <f t="shared" si="144"/>
        <v>38.484999999999992</v>
      </c>
      <c r="Q132" s="61">
        <f t="shared" si="104"/>
        <v>0</v>
      </c>
      <c r="R132" s="61">
        <f t="shared" si="145"/>
        <v>0.7</v>
      </c>
      <c r="S132" s="61">
        <f t="shared" si="105"/>
        <v>1.8</v>
      </c>
      <c r="T132" s="61">
        <f t="shared" si="146"/>
        <v>42.084999999999994</v>
      </c>
      <c r="U132" s="201">
        <f t="shared" si="106"/>
        <v>2</v>
      </c>
      <c r="V132" s="203">
        <f t="shared" si="107"/>
        <v>0.25</v>
      </c>
      <c r="W132" s="37" t="s">
        <v>40</v>
      </c>
      <c r="X132" s="202">
        <f t="shared" si="147"/>
        <v>50</v>
      </c>
      <c r="Y132" s="201">
        <f t="shared" si="148"/>
        <v>35</v>
      </c>
      <c r="Z132" s="61">
        <f t="shared" si="149"/>
        <v>43.084999999999994</v>
      </c>
      <c r="AA132" s="271">
        <f t="shared" si="150"/>
        <v>1.94</v>
      </c>
      <c r="AB132" s="271">
        <f t="shared" si="151"/>
        <v>2.4</v>
      </c>
      <c r="AC132" s="271">
        <f t="shared" si="152"/>
        <v>46.964999999999996</v>
      </c>
      <c r="AD132" s="271">
        <f t="shared" si="153"/>
        <v>47.884999999999991</v>
      </c>
      <c r="AE132" s="61">
        <f t="shared" si="154"/>
        <v>1142.9983709999997</v>
      </c>
      <c r="AF132" s="271">
        <v>0</v>
      </c>
      <c r="AG132" s="61">
        <f t="shared" si="155"/>
        <v>425.27677422446783</v>
      </c>
      <c r="AH132" s="15">
        <f t="shared" si="156"/>
        <v>0</v>
      </c>
      <c r="AI132" s="271">
        <f t="shared" si="212"/>
        <v>874.04504525973982</v>
      </c>
      <c r="AJ132" s="271">
        <f t="shared" si="157"/>
        <v>386.1027110199081</v>
      </c>
      <c r="AK132" s="271">
        <f t="shared" si="158"/>
        <v>528.14118347217322</v>
      </c>
      <c r="AL132" s="61">
        <f t="shared" si="159"/>
        <v>3356.5640849762885</v>
      </c>
    </row>
    <row r="133" spans="1:45" s="210" customFormat="1" outlineLevel="2" x14ac:dyDescent="0.25">
      <c r="A133" s="319"/>
      <c r="B133" s="272" t="str">
        <f t="shared" si="196"/>
        <v>Кабель АВБШв 3*185мк (N, PE) - 1 ГОСТ 31996-2012</v>
      </c>
      <c r="C133" s="257">
        <v>3</v>
      </c>
      <c r="D133" s="34" t="s">
        <v>40</v>
      </c>
      <c r="E133" s="289">
        <v>185</v>
      </c>
      <c r="F133" s="275" t="str">
        <f t="shared" si="102"/>
        <v>мк</v>
      </c>
      <c r="G133" s="274">
        <v>37</v>
      </c>
      <c r="H133" s="34" t="s">
        <v>40</v>
      </c>
      <c r="I133" s="256">
        <v>2.5</v>
      </c>
      <c r="J133" s="61">
        <v>176.01</v>
      </c>
      <c r="K133" s="271">
        <v>15.8</v>
      </c>
      <c r="L133" s="15">
        <f t="shared" si="141"/>
        <v>1.79</v>
      </c>
      <c r="M133" s="61">
        <f t="shared" si="103"/>
        <v>2.1</v>
      </c>
      <c r="N133" s="61">
        <f t="shared" si="142"/>
        <v>19.380000000000003</v>
      </c>
      <c r="O133" s="61">
        <f t="shared" si="143"/>
        <v>20</v>
      </c>
      <c r="P133" s="61">
        <f t="shared" si="144"/>
        <v>43</v>
      </c>
      <c r="Q133" s="61">
        <f t="shared" si="104"/>
        <v>0</v>
      </c>
      <c r="R133" s="61">
        <f t="shared" si="145"/>
        <v>0.7</v>
      </c>
      <c r="S133" s="61">
        <f t="shared" si="105"/>
        <v>1.8</v>
      </c>
      <c r="T133" s="61">
        <f t="shared" si="146"/>
        <v>46.6</v>
      </c>
      <c r="U133" s="201">
        <f t="shared" si="106"/>
        <v>2</v>
      </c>
      <c r="V133" s="203">
        <f t="shared" si="107"/>
        <v>0.5</v>
      </c>
      <c r="W133" s="37" t="s">
        <v>40</v>
      </c>
      <c r="X133" s="202">
        <f t="shared" si="147"/>
        <v>50</v>
      </c>
      <c r="Y133" s="201">
        <f t="shared" si="148"/>
        <v>35</v>
      </c>
      <c r="Z133" s="61">
        <f t="shared" si="149"/>
        <v>48.6</v>
      </c>
      <c r="AA133" s="271">
        <f t="shared" si="150"/>
        <v>1.94</v>
      </c>
      <c r="AB133" s="271">
        <f t="shared" si="151"/>
        <v>2.4</v>
      </c>
      <c r="AC133" s="271">
        <f t="shared" si="152"/>
        <v>52.480000000000004</v>
      </c>
      <c r="AD133" s="271">
        <f t="shared" si="153"/>
        <v>53.4</v>
      </c>
      <c r="AE133" s="61">
        <f t="shared" si="154"/>
        <v>1435.6607669999999</v>
      </c>
      <c r="AF133" s="271">
        <v>0</v>
      </c>
      <c r="AG133" s="61">
        <f t="shared" si="155"/>
        <v>525.86032707558377</v>
      </c>
      <c r="AH133" s="15">
        <f t="shared" si="156"/>
        <v>0</v>
      </c>
      <c r="AI133" s="271">
        <f t="shared" si="212"/>
        <v>1047.6805959678468</v>
      </c>
      <c r="AJ133" s="271">
        <f t="shared" si="157"/>
        <v>863.14378511436553</v>
      </c>
      <c r="AK133" s="271">
        <f t="shared" si="158"/>
        <v>592.17764883106156</v>
      </c>
      <c r="AL133" s="61">
        <f t="shared" si="159"/>
        <v>4464.5231239888581</v>
      </c>
    </row>
    <row r="134" spans="1:45" s="210" customFormat="1" outlineLevel="2" x14ac:dyDescent="0.25">
      <c r="A134" s="319"/>
      <c r="B134" s="272" t="str">
        <f t="shared" si="196"/>
        <v>Кабель АВБШв 3*240мк (N, PE) - 1 ГОСТ 31996-2012</v>
      </c>
      <c r="C134" s="257">
        <v>3</v>
      </c>
      <c r="D134" s="34" t="s">
        <v>40</v>
      </c>
      <c r="E134" s="289">
        <v>240</v>
      </c>
      <c r="F134" s="275" t="str">
        <f t="shared" si="102"/>
        <v>мк</v>
      </c>
      <c r="G134" s="274">
        <v>37</v>
      </c>
      <c r="H134" s="34" t="s">
        <v>40</v>
      </c>
      <c r="I134" s="256">
        <v>2.87</v>
      </c>
      <c r="J134" s="61">
        <v>230.93</v>
      </c>
      <c r="K134" s="271">
        <v>18.399999999999999</v>
      </c>
      <c r="L134" s="15">
        <f t="shared" si="141"/>
        <v>1.9700000000000002</v>
      </c>
      <c r="M134" s="61">
        <f t="shared" si="103"/>
        <v>2.3000000000000003</v>
      </c>
      <c r="N134" s="61">
        <f t="shared" si="142"/>
        <v>22.34</v>
      </c>
      <c r="O134" s="61">
        <f t="shared" si="143"/>
        <v>23</v>
      </c>
      <c r="P134" s="61">
        <f t="shared" si="144"/>
        <v>49.449999999999996</v>
      </c>
      <c r="Q134" s="61">
        <f t="shared" si="104"/>
        <v>0</v>
      </c>
      <c r="R134" s="61">
        <f t="shared" si="145"/>
        <v>0.8</v>
      </c>
      <c r="S134" s="61">
        <f t="shared" si="105"/>
        <v>2</v>
      </c>
      <c r="T134" s="61">
        <f t="shared" si="146"/>
        <v>53.449999999999996</v>
      </c>
      <c r="U134" s="201">
        <f t="shared" si="106"/>
        <v>2</v>
      </c>
      <c r="V134" s="203">
        <f t="shared" si="107"/>
        <v>0.5</v>
      </c>
      <c r="W134" s="37" t="s">
        <v>40</v>
      </c>
      <c r="X134" s="202">
        <f t="shared" si="147"/>
        <v>50</v>
      </c>
      <c r="Y134" s="201">
        <f t="shared" si="148"/>
        <v>35</v>
      </c>
      <c r="Z134" s="61">
        <f t="shared" si="149"/>
        <v>55.449999999999996</v>
      </c>
      <c r="AA134" s="271">
        <f t="shared" si="150"/>
        <v>2.11</v>
      </c>
      <c r="AB134" s="271">
        <f t="shared" si="151"/>
        <v>2.6</v>
      </c>
      <c r="AC134" s="271">
        <f t="shared" si="152"/>
        <v>59.669999999999995</v>
      </c>
      <c r="AD134" s="271">
        <f t="shared" si="153"/>
        <v>60.65</v>
      </c>
      <c r="AE134" s="61">
        <f t="shared" si="154"/>
        <v>1883.6267310000001</v>
      </c>
      <c r="AF134" s="271">
        <v>0</v>
      </c>
      <c r="AG134" s="61">
        <f t="shared" si="155"/>
        <v>666.03379015878011</v>
      </c>
      <c r="AH134" s="15">
        <f t="shared" si="156"/>
        <v>0</v>
      </c>
      <c r="AI134" s="271">
        <f t="shared" si="212"/>
        <v>1369.0800603631053</v>
      </c>
      <c r="AJ134" s="271">
        <f t="shared" si="157"/>
        <v>987.35670377052941</v>
      </c>
      <c r="AK134" s="271">
        <f t="shared" si="158"/>
        <v>730.20729197771357</v>
      </c>
      <c r="AL134" s="61">
        <f t="shared" si="159"/>
        <v>5636.3045772701289</v>
      </c>
    </row>
    <row r="135" spans="1:45" s="210" customFormat="1" outlineLevel="2" x14ac:dyDescent="0.25">
      <c r="A135" s="319"/>
      <c r="B135" s="272" t="str">
        <f t="shared" si="196"/>
        <v>Кабель АВБШв 3*300мк (N, PE) - 1 ГОСТ 31996-2012</v>
      </c>
      <c r="C135" s="257">
        <v>3</v>
      </c>
      <c r="D135" s="34" t="s">
        <v>40</v>
      </c>
      <c r="E135" s="289">
        <v>300</v>
      </c>
      <c r="F135" s="275" t="str">
        <f t="shared" si="102"/>
        <v>мк</v>
      </c>
      <c r="G135" s="274">
        <v>36</v>
      </c>
      <c r="H135" s="34" t="s">
        <v>40</v>
      </c>
      <c r="I135" s="256">
        <v>3.4</v>
      </c>
      <c r="J135" s="61">
        <v>289.57</v>
      </c>
      <c r="K135" s="271">
        <v>20</v>
      </c>
      <c r="L135" s="15">
        <f t="shared" si="141"/>
        <v>2.15</v>
      </c>
      <c r="M135" s="61">
        <f t="shared" si="103"/>
        <v>2.5</v>
      </c>
      <c r="N135" s="61">
        <f t="shared" si="142"/>
        <v>24.3</v>
      </c>
      <c r="O135" s="61">
        <f t="shared" si="143"/>
        <v>25</v>
      </c>
      <c r="P135" s="61">
        <f t="shared" si="144"/>
        <v>53.75</v>
      </c>
      <c r="Q135" s="61">
        <f t="shared" si="104"/>
        <v>0</v>
      </c>
      <c r="R135" s="61">
        <f t="shared" si="145"/>
        <v>0.8</v>
      </c>
      <c r="S135" s="61">
        <f t="shared" si="105"/>
        <v>2</v>
      </c>
      <c r="T135" s="61">
        <f t="shared" si="146"/>
        <v>57.75</v>
      </c>
      <c r="U135" s="201">
        <f t="shared" si="106"/>
        <v>2</v>
      </c>
      <c r="V135" s="203">
        <f t="shared" si="107"/>
        <v>0.5</v>
      </c>
      <c r="W135" s="37" t="s">
        <v>40</v>
      </c>
      <c r="X135" s="202">
        <f t="shared" si="147"/>
        <v>50</v>
      </c>
      <c r="Y135" s="201">
        <f t="shared" si="148"/>
        <v>35</v>
      </c>
      <c r="Z135" s="61">
        <f t="shared" si="149"/>
        <v>59.75</v>
      </c>
      <c r="AA135" s="271">
        <f t="shared" si="150"/>
        <v>2.11</v>
      </c>
      <c r="AB135" s="271">
        <f t="shared" si="151"/>
        <v>2.6</v>
      </c>
      <c r="AC135" s="271">
        <f t="shared" si="152"/>
        <v>63.97</v>
      </c>
      <c r="AD135" s="271">
        <f t="shared" si="153"/>
        <v>64.95</v>
      </c>
      <c r="AE135" s="61">
        <f t="shared" si="154"/>
        <v>2361.9356189999999</v>
      </c>
      <c r="AF135" s="271">
        <v>0</v>
      </c>
      <c r="AG135" s="61">
        <f t="shared" si="155"/>
        <v>786.90192599099714</v>
      </c>
      <c r="AH135" s="15">
        <f t="shared" si="156"/>
        <v>0</v>
      </c>
      <c r="AI135" s="271">
        <f t="shared" si="212"/>
        <v>1573.2266003318878</v>
      </c>
      <c r="AJ135" s="271">
        <f t="shared" si="157"/>
        <v>1065.3297767955667</v>
      </c>
      <c r="AK135" s="271">
        <f t="shared" si="158"/>
        <v>784.29672101309984</v>
      </c>
      <c r="AL135" s="61">
        <f t="shared" si="159"/>
        <v>6571.690643131552</v>
      </c>
    </row>
    <row r="136" spans="1:45" s="210" customFormat="1" outlineLevel="2" x14ac:dyDescent="0.25">
      <c r="A136" s="319"/>
      <c r="B136" s="272" t="str">
        <f t="shared" si="196"/>
        <v>Кабель АВБШв 3*400мк (N, PE) - 1 ГОСТ 31996-2012</v>
      </c>
      <c r="C136" s="257">
        <v>3</v>
      </c>
      <c r="D136" s="34" t="s">
        <v>40</v>
      </c>
      <c r="E136" s="289">
        <v>400</v>
      </c>
      <c r="F136" s="275" t="str">
        <f t="shared" si="102"/>
        <v>мк</v>
      </c>
      <c r="G136" s="274">
        <v>57</v>
      </c>
      <c r="H136" s="34" t="s">
        <v>40</v>
      </c>
      <c r="I136" s="256">
        <v>3.05</v>
      </c>
      <c r="J136" s="61">
        <v>375</v>
      </c>
      <c r="K136" s="271">
        <v>22.8</v>
      </c>
      <c r="L136" s="15">
        <f t="shared" si="141"/>
        <v>2.33</v>
      </c>
      <c r="M136" s="61">
        <f t="shared" si="103"/>
        <v>2.7</v>
      </c>
      <c r="N136" s="61">
        <f t="shared" si="142"/>
        <v>27.46</v>
      </c>
      <c r="O136" s="61">
        <f t="shared" si="143"/>
        <v>28.200000000000003</v>
      </c>
      <c r="P136" s="61">
        <f t="shared" si="144"/>
        <v>60.63</v>
      </c>
      <c r="Q136" s="61">
        <f t="shared" si="104"/>
        <v>0</v>
      </c>
      <c r="R136" s="61">
        <f t="shared" si="145"/>
        <v>0.9</v>
      </c>
      <c r="S136" s="61">
        <f t="shared" si="105"/>
        <v>2.2999999999999998</v>
      </c>
      <c r="T136" s="61">
        <f t="shared" si="146"/>
        <v>65.23</v>
      </c>
      <c r="U136" s="201">
        <f t="shared" si="106"/>
        <v>2</v>
      </c>
      <c r="V136" s="203">
        <f t="shared" si="107"/>
        <v>0.5</v>
      </c>
      <c r="W136" s="37" t="s">
        <v>40</v>
      </c>
      <c r="X136" s="202">
        <f t="shared" si="147"/>
        <v>50</v>
      </c>
      <c r="Y136" s="201">
        <f t="shared" si="148"/>
        <v>35</v>
      </c>
      <c r="Z136" s="61">
        <f t="shared" si="149"/>
        <v>67.23</v>
      </c>
      <c r="AA136" s="271">
        <f t="shared" si="150"/>
        <v>2.5349999999999997</v>
      </c>
      <c r="AB136" s="271">
        <f t="shared" si="151"/>
        <v>3.1</v>
      </c>
      <c r="AC136" s="271">
        <f t="shared" si="152"/>
        <v>72.3</v>
      </c>
      <c r="AD136" s="271">
        <f t="shared" si="153"/>
        <v>73.430000000000007</v>
      </c>
      <c r="AE136" s="61">
        <f t="shared" si="154"/>
        <v>3058.7625000000003</v>
      </c>
      <c r="AF136" s="271">
        <v>0</v>
      </c>
      <c r="AG136" s="61">
        <f t="shared" si="155"/>
        <v>963.16795741298063</v>
      </c>
      <c r="AH136" s="15">
        <f t="shared" si="156"/>
        <v>0</v>
      </c>
      <c r="AI136" s="271">
        <f t="shared" si="212"/>
        <v>2014.3632867336501</v>
      </c>
      <c r="AJ136" s="271">
        <f t="shared" si="157"/>
        <v>1200.9666573135385</v>
      </c>
      <c r="AK136" s="271">
        <f t="shared" si="158"/>
        <v>1054.8067608749554</v>
      </c>
      <c r="AL136" s="61">
        <f t="shared" si="159"/>
        <v>8292.0671623351245</v>
      </c>
    </row>
    <row r="137" spans="1:45" s="210" customFormat="1" outlineLevel="1" x14ac:dyDescent="0.25">
      <c r="A137" s="359">
        <v>3</v>
      </c>
      <c r="B137" s="272"/>
      <c r="C137" s="292"/>
      <c r="D137" s="211"/>
      <c r="E137" s="288"/>
      <c r="F137" s="275"/>
      <c r="G137" s="280"/>
      <c r="H137" s="190"/>
      <c r="I137" s="282"/>
      <c r="J137" s="190"/>
      <c r="K137" s="196"/>
      <c r="L137" s="196"/>
      <c r="M137" s="61"/>
      <c r="N137" s="196"/>
      <c r="O137" s="196"/>
      <c r="P137" s="196"/>
      <c r="Q137" s="61" t="str">
        <f t="shared" si="104"/>
        <v/>
      </c>
      <c r="R137" s="196"/>
      <c r="S137" s="61" t="str">
        <f t="shared" si="105"/>
        <v/>
      </c>
      <c r="T137" s="196"/>
      <c r="U137" s="196"/>
      <c r="V137" s="203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88"/>
      <c r="AJ137" s="196"/>
      <c r="AK137" s="196"/>
      <c r="AL137" s="196"/>
    </row>
    <row r="138" spans="1:45" s="210" customFormat="1" outlineLevel="2" x14ac:dyDescent="0.25">
      <c r="A138" s="318"/>
      <c r="B138" s="357" t="str">
        <f t="shared" ref="B138:B147" si="213">CONCATENATE("Кабель ",$A$166," ",C138,"*",E138,F138,IF(OR(C138=2,C138=4)," (N)",IF(OR(C138=3,C138=5)," (N, PE)",""))," - 1 ГОСТ 31996-2012")</f>
        <v>Кабель АВБШв 4*2,5ок (N) - 1 ГОСТ 31996-2012</v>
      </c>
      <c r="C138" s="257">
        <v>4</v>
      </c>
      <c r="D138" s="34" t="s">
        <v>40</v>
      </c>
      <c r="E138" s="289">
        <v>2.5</v>
      </c>
      <c r="F138" s="275" t="str">
        <f t="shared" ref="F138:F147" si="214">IF(G138=1,"ок","мк")</f>
        <v>ок</v>
      </c>
      <c r="G138" s="274">
        <v>1</v>
      </c>
      <c r="H138" s="34" t="s">
        <v>40</v>
      </c>
      <c r="I138" s="256">
        <v>1.76</v>
      </c>
      <c r="J138" s="61">
        <v>2.4300000000000002</v>
      </c>
      <c r="K138" s="61">
        <f>I138</f>
        <v>1.76</v>
      </c>
      <c r="L138" s="15">
        <f t="shared" si="141"/>
        <v>0.71000000000000008</v>
      </c>
      <c r="M138" s="61">
        <f t="shared" si="103"/>
        <v>0.9</v>
      </c>
      <c r="N138" s="61">
        <f t="shared" si="142"/>
        <v>3.18</v>
      </c>
      <c r="O138" s="61">
        <f t="shared" si="143"/>
        <v>3.56</v>
      </c>
      <c r="P138" s="61">
        <f t="shared" si="144"/>
        <v>8.579600000000001</v>
      </c>
      <c r="Q138" s="61">
        <f t="shared" si="104"/>
        <v>0</v>
      </c>
      <c r="R138" s="61">
        <f t="shared" si="145"/>
        <v>0.5</v>
      </c>
      <c r="S138" s="61">
        <f t="shared" si="105"/>
        <v>1.4</v>
      </c>
      <c r="T138" s="61">
        <f t="shared" si="146"/>
        <v>11.3796</v>
      </c>
      <c r="U138" s="201">
        <f t="shared" si="106"/>
        <v>2</v>
      </c>
      <c r="V138" s="203">
        <f t="shared" si="107"/>
        <v>0.25</v>
      </c>
      <c r="W138" s="37" t="s">
        <v>40</v>
      </c>
      <c r="X138" s="202">
        <f t="shared" si="147"/>
        <v>20</v>
      </c>
      <c r="Y138" s="201">
        <f t="shared" si="148"/>
        <v>35</v>
      </c>
      <c r="Z138" s="61">
        <f t="shared" si="149"/>
        <v>12.3796</v>
      </c>
      <c r="AA138" s="271">
        <f t="shared" si="150"/>
        <v>1.43</v>
      </c>
      <c r="AB138" s="271">
        <f t="shared" si="151"/>
        <v>1.8</v>
      </c>
      <c r="AC138" s="271">
        <f t="shared" si="152"/>
        <v>15.239599999999999</v>
      </c>
      <c r="AD138" s="271">
        <f t="shared" si="153"/>
        <v>15.9796</v>
      </c>
      <c r="AE138" s="61">
        <f t="shared" si="154"/>
        <v>26.458696401082367</v>
      </c>
      <c r="AF138" s="271">
        <v>0</v>
      </c>
      <c r="AG138" s="61">
        <f t="shared" si="155"/>
        <v>40.594601175971931</v>
      </c>
      <c r="AH138" s="15">
        <f t="shared" si="156"/>
        <v>0</v>
      </c>
      <c r="AI138" s="271">
        <f t="shared" si="212"/>
        <v>82.943992882479307</v>
      </c>
      <c r="AJ138" s="271">
        <f t="shared" si="157"/>
        <v>107.70801375677119</v>
      </c>
      <c r="AK138" s="271">
        <f t="shared" si="158"/>
        <v>123.48297337301358</v>
      </c>
      <c r="AL138" s="61">
        <f t="shared" si="159"/>
        <v>381.18827758931837</v>
      </c>
      <c r="AM138" s="326">
        <f>ROUND(AE138*1.015,2)</f>
        <v>26.86</v>
      </c>
      <c r="AN138" s="265">
        <f>ROUND(AF138*1.015,2)</f>
        <v>0</v>
      </c>
      <c r="AO138" s="326">
        <f>ROUND(AG138*1.032,2)</f>
        <v>41.89</v>
      </c>
      <c r="AP138" s="326">
        <f>ROUND(AH138*1.032,2)</f>
        <v>0</v>
      </c>
      <c r="AQ138" s="326">
        <f>ROUND(AI138*1.032,2)</f>
        <v>85.6</v>
      </c>
      <c r="AR138" s="326">
        <f>ROUND(AJ138*1.03,2)</f>
        <v>110.94</v>
      </c>
      <c r="AS138" s="326">
        <f>ROUND(AK138*1.032,2)</f>
        <v>127.43</v>
      </c>
    </row>
    <row r="139" spans="1:45" s="210" customFormat="1" outlineLevel="2" x14ac:dyDescent="0.25">
      <c r="A139" s="318"/>
      <c r="B139" s="357" t="str">
        <f t="shared" si="213"/>
        <v>Кабель АВБШв 4*4ок (N) - 1 ГОСТ 31996-2012</v>
      </c>
      <c r="C139" s="257">
        <v>4</v>
      </c>
      <c r="D139" s="34" t="s">
        <v>40</v>
      </c>
      <c r="E139" s="289">
        <v>4</v>
      </c>
      <c r="F139" s="275" t="str">
        <f t="shared" si="214"/>
        <v>ок</v>
      </c>
      <c r="G139" s="274">
        <v>1</v>
      </c>
      <c r="H139" s="34" t="s">
        <v>40</v>
      </c>
      <c r="I139" s="256">
        <v>2.23</v>
      </c>
      <c r="J139" s="61">
        <v>3.91</v>
      </c>
      <c r="K139" s="61">
        <f t="shared" ref="K139:K144" si="215">I139</f>
        <v>2.23</v>
      </c>
      <c r="L139" s="15">
        <f t="shared" si="141"/>
        <v>0.89000000000000012</v>
      </c>
      <c r="M139" s="61">
        <f t="shared" si="103"/>
        <v>1.1000000000000001</v>
      </c>
      <c r="N139" s="61">
        <f t="shared" si="142"/>
        <v>4.01</v>
      </c>
      <c r="O139" s="61">
        <f t="shared" si="143"/>
        <v>4.43</v>
      </c>
      <c r="P139" s="61">
        <f t="shared" si="144"/>
        <v>10.676299999999999</v>
      </c>
      <c r="Q139" s="61">
        <f t="shared" ref="Q139:Q164" si="216">IF(O139="","",ROUND(O139*IF(AND(C139=4,E139&gt;16),0.414,IF(C139=5,0.702,0)),1))</f>
        <v>0</v>
      </c>
      <c r="R139" s="61">
        <f t="shared" si="145"/>
        <v>0.5</v>
      </c>
      <c r="S139" s="61">
        <f t="shared" ref="S139:S164" si="217">IF(P139="","",IF(C139=1,(IF(P139&lt;=25,1.4,IF(AND(P139&gt;25,P139&lt;=35),1.5,IF(AND(P139&gt;35,P139&lt;=45),1.6,IF(AND(P139&gt;45,P139&lt;=60),1.7,IF(AND(P139&gt;60,P139&lt;=80),2,2.2)))))),IF(P139&lt;=25,1.4,IF(AND(P139&gt;25,P139&lt;=35),1.6,IF(AND(P139&gt;35,P139&lt;=45),1.8,IF(AND(P139&gt;45,P139&lt;=60),2,IF(AND(P139&gt;60,P139&lt;=80),2.3,2.5)))))))</f>
        <v>1.4</v>
      </c>
      <c r="T139" s="61">
        <f t="shared" si="146"/>
        <v>13.476299999999998</v>
      </c>
      <c r="U139" s="201">
        <f t="shared" si="106"/>
        <v>2</v>
      </c>
      <c r="V139" s="203">
        <f t="shared" si="107"/>
        <v>0.25</v>
      </c>
      <c r="W139" s="37" t="s">
        <v>40</v>
      </c>
      <c r="X139" s="202">
        <f t="shared" si="147"/>
        <v>30</v>
      </c>
      <c r="Y139" s="201">
        <f t="shared" si="148"/>
        <v>35</v>
      </c>
      <c r="Z139" s="61">
        <f t="shared" si="149"/>
        <v>14.476299999999998</v>
      </c>
      <c r="AA139" s="271">
        <f t="shared" si="150"/>
        <v>1.43</v>
      </c>
      <c r="AB139" s="271">
        <f t="shared" si="151"/>
        <v>1.8</v>
      </c>
      <c r="AC139" s="271">
        <f t="shared" si="152"/>
        <v>17.336299999999998</v>
      </c>
      <c r="AD139" s="271">
        <f t="shared" si="153"/>
        <v>18.0763</v>
      </c>
      <c r="AE139" s="61">
        <f t="shared" si="154"/>
        <v>42.476901902422028</v>
      </c>
      <c r="AF139" s="271">
        <v>0</v>
      </c>
      <c r="AG139" s="61">
        <f t="shared" si="155"/>
        <v>62.112792024889373</v>
      </c>
      <c r="AH139" s="15">
        <f t="shared" si="156"/>
        <v>0</v>
      </c>
      <c r="AI139" s="271">
        <f t="shared" si="212"/>
        <v>107.64385386880376</v>
      </c>
      <c r="AJ139" s="271">
        <f t="shared" si="157"/>
        <v>126.71803029300322</v>
      </c>
      <c r="AK139" s="271">
        <f t="shared" si="158"/>
        <v>141.74207449513247</v>
      </c>
      <c r="AL139" s="61">
        <f t="shared" si="159"/>
        <v>480.6936525842508</v>
      </c>
      <c r="AM139" s="326">
        <f t="shared" ref="AM139:AM147" si="218">ROUND(AE139*1.015,2)</f>
        <v>43.11</v>
      </c>
      <c r="AN139" s="265">
        <f t="shared" ref="AN139:AN147" si="219">ROUND(AF139*1.015,2)</f>
        <v>0</v>
      </c>
      <c r="AO139" s="326">
        <f t="shared" ref="AO139:AO147" si="220">ROUND(AG139*1.032,2)</f>
        <v>64.099999999999994</v>
      </c>
      <c r="AP139" s="326">
        <f t="shared" ref="AP139:AP147" si="221">ROUND(AH139*1.032,2)</f>
        <v>0</v>
      </c>
      <c r="AQ139" s="326">
        <f t="shared" ref="AQ139:AQ147" si="222">ROUND(AI139*1.032,2)</f>
        <v>111.09</v>
      </c>
      <c r="AR139" s="326">
        <f t="shared" ref="AR139:AR147" si="223">ROUND(AJ139*1.03,2)</f>
        <v>130.52000000000001</v>
      </c>
      <c r="AS139" s="326">
        <f t="shared" ref="AS139:AS147" si="224">ROUND(AK139*1.032,2)</f>
        <v>146.28</v>
      </c>
    </row>
    <row r="140" spans="1:45" s="210" customFormat="1" outlineLevel="2" x14ac:dyDescent="0.25">
      <c r="A140" s="318"/>
      <c r="B140" s="357" t="str">
        <f t="shared" si="213"/>
        <v>Кабель АВБШв 4*6ок (N) - 1 ГОСТ 31996-2012</v>
      </c>
      <c r="C140" s="257">
        <v>4</v>
      </c>
      <c r="D140" s="34" t="s">
        <v>40</v>
      </c>
      <c r="E140" s="289">
        <v>6</v>
      </c>
      <c r="F140" s="276" t="str">
        <f t="shared" si="214"/>
        <v>ок</v>
      </c>
      <c r="G140" s="274">
        <v>1</v>
      </c>
      <c r="H140" s="34" t="s">
        <v>40</v>
      </c>
      <c r="I140" s="256">
        <v>2.69</v>
      </c>
      <c r="J140" s="61">
        <v>5.68</v>
      </c>
      <c r="K140" s="61">
        <f t="shared" si="215"/>
        <v>2.69</v>
      </c>
      <c r="L140" s="15">
        <f t="shared" si="141"/>
        <v>0.89000000000000012</v>
      </c>
      <c r="M140" s="61">
        <f t="shared" si="103"/>
        <v>1.1000000000000001</v>
      </c>
      <c r="N140" s="61">
        <f t="shared" si="142"/>
        <v>4.4700000000000006</v>
      </c>
      <c r="O140" s="61">
        <f t="shared" si="143"/>
        <v>4.8900000000000006</v>
      </c>
      <c r="P140" s="61">
        <f t="shared" si="144"/>
        <v>11.784900000000002</v>
      </c>
      <c r="Q140" s="61">
        <f t="shared" si="216"/>
        <v>0</v>
      </c>
      <c r="R140" s="61">
        <f t="shared" si="145"/>
        <v>0.5</v>
      </c>
      <c r="S140" s="61">
        <f t="shared" si="217"/>
        <v>1.4</v>
      </c>
      <c r="T140" s="61">
        <f t="shared" si="146"/>
        <v>14.584900000000001</v>
      </c>
      <c r="U140" s="201">
        <f t="shared" si="106"/>
        <v>2</v>
      </c>
      <c r="V140" s="203">
        <f t="shared" si="107"/>
        <v>0.25</v>
      </c>
      <c r="W140" s="37" t="s">
        <v>40</v>
      </c>
      <c r="X140" s="202">
        <f t="shared" si="147"/>
        <v>30</v>
      </c>
      <c r="Y140" s="201">
        <f t="shared" si="148"/>
        <v>35</v>
      </c>
      <c r="Z140" s="61">
        <f t="shared" si="149"/>
        <v>15.584900000000001</v>
      </c>
      <c r="AA140" s="271">
        <f t="shared" si="150"/>
        <v>1.43</v>
      </c>
      <c r="AB140" s="271">
        <f t="shared" si="151"/>
        <v>1.8</v>
      </c>
      <c r="AC140" s="271">
        <f t="shared" si="152"/>
        <v>18.444900000000001</v>
      </c>
      <c r="AD140" s="271">
        <f t="shared" si="153"/>
        <v>19.184900000000003</v>
      </c>
      <c r="AE140" s="61">
        <f t="shared" si="154"/>
        <v>61.808423627283084</v>
      </c>
      <c r="AF140" s="271">
        <v>0</v>
      </c>
      <c r="AG140" s="61">
        <f t="shared" si="155"/>
        <v>70.692937469768992</v>
      </c>
      <c r="AH140" s="15">
        <f t="shared" si="156"/>
        <v>0</v>
      </c>
      <c r="AI140" s="271">
        <f t="shared" si="212"/>
        <v>121.74116157882241</v>
      </c>
      <c r="AJ140" s="271">
        <f t="shared" si="157"/>
        <v>136.76930340411445</v>
      </c>
      <c r="AK140" s="271">
        <f t="shared" si="158"/>
        <v>151.39631187004593</v>
      </c>
      <c r="AL140" s="61">
        <f t="shared" si="159"/>
        <v>542.40813795003487</v>
      </c>
      <c r="AM140" s="326">
        <f t="shared" si="218"/>
        <v>62.74</v>
      </c>
      <c r="AN140" s="265">
        <f t="shared" si="219"/>
        <v>0</v>
      </c>
      <c r="AO140" s="326">
        <f t="shared" si="220"/>
        <v>72.959999999999994</v>
      </c>
      <c r="AP140" s="326">
        <f t="shared" si="221"/>
        <v>0</v>
      </c>
      <c r="AQ140" s="326">
        <f t="shared" si="222"/>
        <v>125.64</v>
      </c>
      <c r="AR140" s="326">
        <f t="shared" si="223"/>
        <v>140.87</v>
      </c>
      <c r="AS140" s="326">
        <f t="shared" si="224"/>
        <v>156.24</v>
      </c>
    </row>
    <row r="141" spans="1:45" s="210" customFormat="1" outlineLevel="2" x14ac:dyDescent="0.25">
      <c r="A141" s="318"/>
      <c r="B141" s="357" t="str">
        <f t="shared" si="213"/>
        <v>Кабель АВБШв 4*10ок (N) - 1 ГОСТ 31996-2012</v>
      </c>
      <c r="C141" s="257">
        <v>4</v>
      </c>
      <c r="D141" s="34" t="s">
        <v>40</v>
      </c>
      <c r="E141" s="289">
        <v>10</v>
      </c>
      <c r="F141" s="275" t="str">
        <f t="shared" si="214"/>
        <v>ок</v>
      </c>
      <c r="G141" s="274">
        <v>1</v>
      </c>
      <c r="H141" s="34" t="s">
        <v>40</v>
      </c>
      <c r="I141" s="256">
        <v>3.46</v>
      </c>
      <c r="J141" s="61">
        <v>9.4</v>
      </c>
      <c r="K141" s="61">
        <f t="shared" si="215"/>
        <v>3.46</v>
      </c>
      <c r="L141" s="15">
        <f t="shared" si="141"/>
        <v>0.89000000000000012</v>
      </c>
      <c r="M141" s="61">
        <f t="shared" ref="M141:M164" si="225">IF(E141=1.5,0.8,IF(E141=2.5,0.8,IF(E141=4,1,IF(E141=6,1,IF(E141=10,1,IF(E141=16,1,IF(E141=25,1.2,IF(E141=35,1.2,IF(E141=50,1.4,IF(E141=70,1.4,IF(E141=95,1.6,IF(E141=120,1.6,IF(E141=150,1.8,IF(E141=185,2,IF(E141=240,2.2,IF(E141=300,2.4,IF(E141=400,2.6,IF(E141=500,2.8,IF(E141=625,2.8,IF(E141=630,2.8,IF(E141=800,2.8,IF(E141=1000,3,"неверно указано сечение жилы"))))))))))))))))))))))+0.1</f>
        <v>1.1000000000000001</v>
      </c>
      <c r="N141" s="61">
        <f t="shared" si="142"/>
        <v>5.24</v>
      </c>
      <c r="O141" s="61">
        <f t="shared" si="143"/>
        <v>5.66</v>
      </c>
      <c r="P141" s="61">
        <f t="shared" si="144"/>
        <v>13.640600000000001</v>
      </c>
      <c r="Q141" s="61">
        <f t="shared" si="216"/>
        <v>0</v>
      </c>
      <c r="R141" s="61">
        <f t="shared" si="145"/>
        <v>0.5</v>
      </c>
      <c r="S141" s="61">
        <f t="shared" si="217"/>
        <v>1.4</v>
      </c>
      <c r="T141" s="61">
        <f t="shared" si="146"/>
        <v>16.4406</v>
      </c>
      <c r="U141" s="201">
        <f t="shared" si="106"/>
        <v>2</v>
      </c>
      <c r="V141" s="203">
        <f t="shared" ref="V141:V164" si="226">IF(T141&lt;=45,0.25,IF(AND(T141&gt;45,T141&lt;=70),0.5,0.8))</f>
        <v>0.25</v>
      </c>
      <c r="W141" s="37" t="s">
        <v>40</v>
      </c>
      <c r="X141" s="202">
        <f t="shared" si="147"/>
        <v>30</v>
      </c>
      <c r="Y141" s="201">
        <f t="shared" si="148"/>
        <v>35</v>
      </c>
      <c r="Z141" s="61">
        <f t="shared" si="149"/>
        <v>17.4406</v>
      </c>
      <c r="AA141" s="271">
        <f t="shared" si="150"/>
        <v>1.43</v>
      </c>
      <c r="AB141" s="271">
        <f t="shared" si="151"/>
        <v>1.8</v>
      </c>
      <c r="AC141" s="271">
        <f t="shared" si="152"/>
        <v>20.300599999999999</v>
      </c>
      <c r="AD141" s="271">
        <f t="shared" si="153"/>
        <v>21.040600000000001</v>
      </c>
      <c r="AE141" s="61">
        <f t="shared" si="154"/>
        <v>102.25753158419346</v>
      </c>
      <c r="AF141" s="271">
        <v>0</v>
      </c>
      <c r="AG141" s="61">
        <f t="shared" si="155"/>
        <v>85.055354844893571</v>
      </c>
      <c r="AH141" s="15">
        <f t="shared" si="156"/>
        <v>0</v>
      </c>
      <c r="AI141" s="271">
        <f t="shared" si="212"/>
        <v>146.94510779553011</v>
      </c>
      <c r="AJ141" s="271">
        <f t="shared" si="157"/>
        <v>153.5942605683658</v>
      </c>
      <c r="AK141" s="271">
        <f t="shared" si="158"/>
        <v>167.5566657367489</v>
      </c>
      <c r="AL141" s="61">
        <f t="shared" si="159"/>
        <v>655.40892052973186</v>
      </c>
      <c r="AM141" s="326">
        <f t="shared" si="218"/>
        <v>103.79</v>
      </c>
      <c r="AN141" s="265">
        <f t="shared" si="219"/>
        <v>0</v>
      </c>
      <c r="AO141" s="326">
        <f t="shared" si="220"/>
        <v>87.78</v>
      </c>
      <c r="AP141" s="326">
        <f t="shared" si="221"/>
        <v>0</v>
      </c>
      <c r="AQ141" s="326">
        <f t="shared" si="222"/>
        <v>151.65</v>
      </c>
      <c r="AR141" s="326">
        <f t="shared" si="223"/>
        <v>158.19999999999999</v>
      </c>
      <c r="AS141" s="326">
        <f t="shared" si="224"/>
        <v>172.92</v>
      </c>
    </row>
    <row r="142" spans="1:45" s="210" customFormat="1" outlineLevel="2" x14ac:dyDescent="0.25">
      <c r="A142" s="354">
        <v>40207321</v>
      </c>
      <c r="B142" s="357" t="str">
        <f t="shared" si="213"/>
        <v>Кабель АВБШв 4*16ок (N) - 1 ГОСТ 31996-2012</v>
      </c>
      <c r="C142" s="257">
        <v>4</v>
      </c>
      <c r="D142" s="34" t="s">
        <v>40</v>
      </c>
      <c r="E142" s="289">
        <v>16</v>
      </c>
      <c r="F142" s="275" t="str">
        <f t="shared" si="214"/>
        <v>ок</v>
      </c>
      <c r="G142" s="274">
        <v>1</v>
      </c>
      <c r="H142" s="34" t="s">
        <v>40</v>
      </c>
      <c r="I142" s="256">
        <v>4.41</v>
      </c>
      <c r="J142" s="61">
        <v>15.27</v>
      </c>
      <c r="K142" s="61">
        <f t="shared" si="215"/>
        <v>4.41</v>
      </c>
      <c r="L142" s="15">
        <f t="shared" si="141"/>
        <v>0.89000000000000012</v>
      </c>
      <c r="M142" s="61">
        <f t="shared" si="225"/>
        <v>1.1000000000000001</v>
      </c>
      <c r="N142" s="61">
        <f t="shared" si="142"/>
        <v>6.19</v>
      </c>
      <c r="O142" s="61">
        <f t="shared" si="143"/>
        <v>6.61</v>
      </c>
      <c r="P142" s="61">
        <f t="shared" si="144"/>
        <v>15.930100000000001</v>
      </c>
      <c r="Q142" s="61">
        <f t="shared" si="216"/>
        <v>0</v>
      </c>
      <c r="R142" s="61">
        <f t="shared" si="145"/>
        <v>0.5</v>
      </c>
      <c r="S142" s="61">
        <f t="shared" si="217"/>
        <v>1.4</v>
      </c>
      <c r="T142" s="61">
        <f t="shared" si="146"/>
        <v>18.7301</v>
      </c>
      <c r="U142" s="201">
        <f t="shared" si="106"/>
        <v>2</v>
      </c>
      <c r="V142" s="203">
        <f t="shared" si="226"/>
        <v>0.25</v>
      </c>
      <c r="W142" s="37" t="s">
        <v>40</v>
      </c>
      <c r="X142" s="202">
        <f t="shared" si="147"/>
        <v>30</v>
      </c>
      <c r="Y142" s="201">
        <f t="shared" si="148"/>
        <v>35</v>
      </c>
      <c r="Z142" s="61">
        <f t="shared" si="149"/>
        <v>19.7301</v>
      </c>
      <c r="AA142" s="271">
        <f t="shared" si="150"/>
        <v>1.43</v>
      </c>
      <c r="AB142" s="271">
        <f t="shared" si="151"/>
        <v>1.8</v>
      </c>
      <c r="AC142" s="271">
        <f t="shared" si="152"/>
        <v>22.5901</v>
      </c>
      <c r="AD142" s="271">
        <f t="shared" si="153"/>
        <v>23.330100000000002</v>
      </c>
      <c r="AE142" s="61">
        <f t="shared" si="154"/>
        <v>166.11937418578574</v>
      </c>
      <c r="AF142" s="271">
        <v>0</v>
      </c>
      <c r="AG142" s="61">
        <f t="shared" si="155"/>
        <v>102.77522043757972</v>
      </c>
      <c r="AH142" s="15">
        <f t="shared" si="156"/>
        <v>0</v>
      </c>
      <c r="AI142" s="271">
        <f t="shared" si="212"/>
        <v>180.81214504580328</v>
      </c>
      <c r="AJ142" s="271">
        <f t="shared" si="157"/>
        <v>174.35232460218239</v>
      </c>
      <c r="AK142" s="271">
        <f t="shared" si="158"/>
        <v>187.49476466320058</v>
      </c>
      <c r="AL142" s="61">
        <f t="shared" si="159"/>
        <v>811.5538289345518</v>
      </c>
      <c r="AM142" s="326">
        <f t="shared" si="218"/>
        <v>168.61</v>
      </c>
      <c r="AN142" s="265">
        <f t="shared" si="219"/>
        <v>0</v>
      </c>
      <c r="AO142" s="326">
        <f t="shared" si="220"/>
        <v>106.06</v>
      </c>
      <c r="AP142" s="326">
        <f t="shared" si="221"/>
        <v>0</v>
      </c>
      <c r="AQ142" s="326">
        <f t="shared" si="222"/>
        <v>186.6</v>
      </c>
      <c r="AR142" s="326">
        <f t="shared" si="223"/>
        <v>179.58</v>
      </c>
      <c r="AS142" s="326">
        <f t="shared" si="224"/>
        <v>193.49</v>
      </c>
    </row>
    <row r="143" spans="1:45" s="210" customFormat="1" outlineLevel="2" x14ac:dyDescent="0.25">
      <c r="A143" s="318"/>
      <c r="B143" s="357" t="str">
        <f t="shared" si="213"/>
        <v>Кабель АВБШв 4*25ок (N) - 1 ГОСТ 31996-2012</v>
      </c>
      <c r="C143" s="257">
        <v>4</v>
      </c>
      <c r="D143" s="34" t="s">
        <v>40</v>
      </c>
      <c r="E143" s="289">
        <v>25</v>
      </c>
      <c r="F143" s="275" t="str">
        <f t="shared" si="214"/>
        <v>ок</v>
      </c>
      <c r="G143" s="274">
        <v>1</v>
      </c>
      <c r="H143" s="34" t="s">
        <v>40</v>
      </c>
      <c r="I143" s="256">
        <v>5.54</v>
      </c>
      <c r="J143" s="61">
        <v>24.11</v>
      </c>
      <c r="K143" s="61">
        <f t="shared" si="215"/>
        <v>5.54</v>
      </c>
      <c r="L143" s="15">
        <f t="shared" si="141"/>
        <v>1.07</v>
      </c>
      <c r="M143" s="61">
        <f t="shared" si="225"/>
        <v>1.3</v>
      </c>
      <c r="N143" s="61">
        <f t="shared" si="142"/>
        <v>7.68</v>
      </c>
      <c r="O143" s="61">
        <f t="shared" si="143"/>
        <v>8.14</v>
      </c>
      <c r="P143" s="61">
        <f t="shared" si="144"/>
        <v>19.617400000000004</v>
      </c>
      <c r="Q143" s="61">
        <f t="shared" si="216"/>
        <v>3.4</v>
      </c>
      <c r="R143" s="61">
        <f t="shared" si="145"/>
        <v>0.5</v>
      </c>
      <c r="S143" s="61">
        <f t="shared" si="217"/>
        <v>1.4</v>
      </c>
      <c r="T143" s="61">
        <f t="shared" si="146"/>
        <v>22.417400000000004</v>
      </c>
      <c r="U143" s="201">
        <f t="shared" si="106"/>
        <v>2</v>
      </c>
      <c r="V143" s="203">
        <f t="shared" si="226"/>
        <v>0.25</v>
      </c>
      <c r="W143" s="37" t="s">
        <v>40</v>
      </c>
      <c r="X143" s="202">
        <f t="shared" si="147"/>
        <v>40</v>
      </c>
      <c r="Y143" s="201">
        <f t="shared" si="148"/>
        <v>35</v>
      </c>
      <c r="Z143" s="61">
        <f t="shared" si="149"/>
        <v>23.417400000000004</v>
      </c>
      <c r="AA143" s="271">
        <f t="shared" si="150"/>
        <v>1.5999999999999999</v>
      </c>
      <c r="AB143" s="271">
        <f t="shared" si="151"/>
        <v>2</v>
      </c>
      <c r="AC143" s="271">
        <f t="shared" si="152"/>
        <v>26.617400000000004</v>
      </c>
      <c r="AD143" s="271">
        <f t="shared" si="153"/>
        <v>27.417400000000004</v>
      </c>
      <c r="AE143" s="61">
        <f t="shared" si="154"/>
        <v>262.15771128081724</v>
      </c>
      <c r="AF143" s="271">
        <v>0</v>
      </c>
      <c r="AG143" s="61">
        <f t="shared" si="155"/>
        <v>150.7799472250386</v>
      </c>
      <c r="AH143" s="15">
        <f t="shared" si="156"/>
        <v>12.710883876424299</v>
      </c>
      <c r="AI143" s="271">
        <f t="shared" si="212"/>
        <v>241.79119161040833</v>
      </c>
      <c r="AJ143" s="271">
        <f t="shared" si="157"/>
        <v>207.78373299348704</v>
      </c>
      <c r="AK143" s="271">
        <f t="shared" si="158"/>
        <v>245.94144070912796</v>
      </c>
      <c r="AL143" s="61">
        <f t="shared" si="159"/>
        <v>1121.1649076953036</v>
      </c>
      <c r="AM143" s="326">
        <f t="shared" si="218"/>
        <v>266.08999999999997</v>
      </c>
      <c r="AN143" s="265">
        <f t="shared" si="219"/>
        <v>0</v>
      </c>
      <c r="AO143" s="326">
        <f t="shared" si="220"/>
        <v>155.6</v>
      </c>
      <c r="AP143" s="326">
        <f t="shared" si="221"/>
        <v>13.12</v>
      </c>
      <c r="AQ143" s="326">
        <f t="shared" si="222"/>
        <v>249.53</v>
      </c>
      <c r="AR143" s="326">
        <f t="shared" si="223"/>
        <v>214.02</v>
      </c>
      <c r="AS143" s="326">
        <f t="shared" si="224"/>
        <v>253.81</v>
      </c>
    </row>
    <row r="144" spans="1:45" s="210" customFormat="1" outlineLevel="2" x14ac:dyDescent="0.25">
      <c r="A144" s="318"/>
      <c r="B144" s="357" t="str">
        <f t="shared" si="213"/>
        <v>Кабель АВБШв 4*35ок (N) - 1 ГОСТ 31996-2012</v>
      </c>
      <c r="C144" s="257">
        <v>4</v>
      </c>
      <c r="D144" s="34" t="s">
        <v>40</v>
      </c>
      <c r="E144" s="289">
        <v>35</v>
      </c>
      <c r="F144" s="275" t="str">
        <f t="shared" si="214"/>
        <v>ок</v>
      </c>
      <c r="G144" s="274">
        <v>1</v>
      </c>
      <c r="H144" s="34" t="s">
        <v>40</v>
      </c>
      <c r="I144" s="256">
        <v>6.51</v>
      </c>
      <c r="J144" s="61">
        <v>33.29</v>
      </c>
      <c r="K144" s="61">
        <f t="shared" si="215"/>
        <v>6.51</v>
      </c>
      <c r="L144" s="15">
        <f t="shared" si="141"/>
        <v>1.07</v>
      </c>
      <c r="M144" s="61">
        <f t="shared" si="225"/>
        <v>1.3</v>
      </c>
      <c r="N144" s="61">
        <f t="shared" si="142"/>
        <v>8.65</v>
      </c>
      <c r="O144" s="61">
        <f t="shared" si="143"/>
        <v>9.11</v>
      </c>
      <c r="P144" s="61">
        <f t="shared" si="144"/>
        <v>21.955100000000002</v>
      </c>
      <c r="Q144" s="61">
        <f t="shared" si="216"/>
        <v>3.8</v>
      </c>
      <c r="R144" s="61">
        <f t="shared" si="145"/>
        <v>0.5</v>
      </c>
      <c r="S144" s="61">
        <f t="shared" si="217"/>
        <v>1.4</v>
      </c>
      <c r="T144" s="61">
        <f t="shared" si="146"/>
        <v>24.755100000000002</v>
      </c>
      <c r="U144" s="201">
        <f t="shared" si="106"/>
        <v>2</v>
      </c>
      <c r="V144" s="203">
        <f t="shared" si="226"/>
        <v>0.25</v>
      </c>
      <c r="W144" s="37" t="s">
        <v>40</v>
      </c>
      <c r="X144" s="202">
        <f t="shared" si="147"/>
        <v>40</v>
      </c>
      <c r="Y144" s="201">
        <f t="shared" si="148"/>
        <v>35</v>
      </c>
      <c r="Z144" s="61">
        <f t="shared" si="149"/>
        <v>25.755100000000002</v>
      </c>
      <c r="AA144" s="271">
        <f t="shared" si="150"/>
        <v>1.5999999999999999</v>
      </c>
      <c r="AB144" s="271">
        <f t="shared" si="151"/>
        <v>2</v>
      </c>
      <c r="AC144" s="271">
        <f t="shared" si="152"/>
        <v>28.955100000000002</v>
      </c>
      <c r="AD144" s="271">
        <f t="shared" si="153"/>
        <v>29.755100000000002</v>
      </c>
      <c r="AE144" s="61">
        <f t="shared" si="154"/>
        <v>361.99709431414988</v>
      </c>
      <c r="AF144" s="271">
        <v>0</v>
      </c>
      <c r="AG144" s="61">
        <f t="shared" si="155"/>
        <v>172.16248360051918</v>
      </c>
      <c r="AH144" s="15">
        <f t="shared" si="156"/>
        <v>15.877609271242813</v>
      </c>
      <c r="AI144" s="271">
        <f t="shared" si="212"/>
        <v>284.5639032686986</v>
      </c>
      <c r="AJ144" s="271">
        <f t="shared" si="157"/>
        <v>228.97880890169975</v>
      </c>
      <c r="AK144" s="271">
        <f t="shared" si="158"/>
        <v>268.56127223972226</v>
      </c>
      <c r="AL144" s="61">
        <f t="shared" si="159"/>
        <v>1332.1411715960326</v>
      </c>
      <c r="AM144" s="326">
        <f t="shared" si="218"/>
        <v>367.43</v>
      </c>
      <c r="AN144" s="265">
        <f t="shared" si="219"/>
        <v>0</v>
      </c>
      <c r="AO144" s="326">
        <f t="shared" si="220"/>
        <v>177.67</v>
      </c>
      <c r="AP144" s="326">
        <f t="shared" si="221"/>
        <v>16.39</v>
      </c>
      <c r="AQ144" s="326">
        <f t="shared" si="222"/>
        <v>293.67</v>
      </c>
      <c r="AR144" s="326">
        <f t="shared" si="223"/>
        <v>235.85</v>
      </c>
      <c r="AS144" s="326">
        <f t="shared" si="224"/>
        <v>277.16000000000003</v>
      </c>
    </row>
    <row r="145" spans="1:45" s="210" customFormat="1" outlineLevel="2" x14ac:dyDescent="0.25">
      <c r="A145" s="318"/>
      <c r="B145" s="357" t="str">
        <f t="shared" si="213"/>
        <v>Кабель АВБШв 4*25мк (N) - 1 ГОСТ 31996-2012</v>
      </c>
      <c r="C145" s="257">
        <v>4</v>
      </c>
      <c r="D145" s="34" t="s">
        <v>40</v>
      </c>
      <c r="E145" s="289">
        <v>25</v>
      </c>
      <c r="F145" s="275" t="str">
        <f t="shared" si="214"/>
        <v>мк</v>
      </c>
      <c r="G145" s="274">
        <v>7</v>
      </c>
      <c r="H145" s="34" t="s">
        <v>40</v>
      </c>
      <c r="I145" s="256">
        <v>2.19</v>
      </c>
      <c r="J145" s="61">
        <v>24.05</v>
      </c>
      <c r="K145" s="356">
        <v>5.84</v>
      </c>
      <c r="L145" s="15">
        <f t="shared" si="141"/>
        <v>1.07</v>
      </c>
      <c r="M145" s="61">
        <f t="shared" si="225"/>
        <v>1.3</v>
      </c>
      <c r="N145" s="61">
        <f t="shared" si="142"/>
        <v>7.98</v>
      </c>
      <c r="O145" s="61">
        <f t="shared" si="143"/>
        <v>8.44</v>
      </c>
      <c r="P145" s="61">
        <f t="shared" si="144"/>
        <v>20.340399999999999</v>
      </c>
      <c r="Q145" s="61">
        <f t="shared" si="216"/>
        <v>3.5</v>
      </c>
      <c r="R145" s="61">
        <f t="shared" si="145"/>
        <v>0.5</v>
      </c>
      <c r="S145" s="61">
        <f t="shared" si="217"/>
        <v>1.4</v>
      </c>
      <c r="T145" s="61">
        <f t="shared" si="146"/>
        <v>23.1404</v>
      </c>
      <c r="U145" s="201">
        <f t="shared" si="106"/>
        <v>2</v>
      </c>
      <c r="V145" s="203">
        <f t="shared" si="226"/>
        <v>0.25</v>
      </c>
      <c r="W145" s="37" t="s">
        <v>40</v>
      </c>
      <c r="X145" s="202">
        <f t="shared" si="147"/>
        <v>40</v>
      </c>
      <c r="Y145" s="201">
        <f t="shared" si="148"/>
        <v>35</v>
      </c>
      <c r="Z145" s="61">
        <f t="shared" si="149"/>
        <v>24.1404</v>
      </c>
      <c r="AA145" s="271">
        <f t="shared" si="150"/>
        <v>1.5999999999999999</v>
      </c>
      <c r="AB145" s="271">
        <f t="shared" si="151"/>
        <v>2</v>
      </c>
      <c r="AC145" s="271">
        <f t="shared" si="152"/>
        <v>27.340399999999999</v>
      </c>
      <c r="AD145" s="271">
        <f t="shared" si="153"/>
        <v>28.1404</v>
      </c>
      <c r="AE145" s="61">
        <f t="shared" si="154"/>
        <v>261.55817999999999</v>
      </c>
      <c r="AF145" s="271">
        <v>0</v>
      </c>
      <c r="AG145" s="61">
        <f t="shared" si="155"/>
        <v>173.13241308559253</v>
      </c>
      <c r="AH145" s="15">
        <f t="shared" si="156"/>
        <v>13.469578502266236</v>
      </c>
      <c r="AI145" s="271">
        <f t="shared" si="212"/>
        <v>254.678969878804</v>
      </c>
      <c r="AJ145" s="271">
        <f t="shared" si="157"/>
        <v>214.33891110942906</v>
      </c>
      <c r="AK145" s="271">
        <f t="shared" si="158"/>
        <v>252.93726489384778</v>
      </c>
      <c r="AL145" s="61">
        <f t="shared" si="159"/>
        <v>1170.1153174699398</v>
      </c>
      <c r="AM145" s="326">
        <f t="shared" si="218"/>
        <v>265.48</v>
      </c>
      <c r="AN145" s="265">
        <f t="shared" si="219"/>
        <v>0</v>
      </c>
      <c r="AO145" s="326">
        <f t="shared" si="220"/>
        <v>178.67</v>
      </c>
      <c r="AP145" s="326">
        <f t="shared" si="221"/>
        <v>13.9</v>
      </c>
      <c r="AQ145" s="326">
        <f t="shared" si="222"/>
        <v>262.83</v>
      </c>
      <c r="AR145" s="326">
        <f t="shared" si="223"/>
        <v>220.77</v>
      </c>
      <c r="AS145" s="326">
        <f t="shared" si="224"/>
        <v>261.02999999999997</v>
      </c>
    </row>
    <row r="146" spans="1:45" s="210" customFormat="1" outlineLevel="2" x14ac:dyDescent="0.25">
      <c r="A146" s="318"/>
      <c r="B146" s="357" t="str">
        <f t="shared" si="213"/>
        <v>Кабель АВБШв 4*35мк (N) - 1 ГОСТ 31996-2012</v>
      </c>
      <c r="C146" s="257">
        <v>4</v>
      </c>
      <c r="D146" s="34" t="s">
        <v>40</v>
      </c>
      <c r="E146" s="289">
        <v>35</v>
      </c>
      <c r="F146" s="275" t="str">
        <f t="shared" si="214"/>
        <v>мк</v>
      </c>
      <c r="G146" s="274">
        <v>7</v>
      </c>
      <c r="H146" s="34" t="s">
        <v>40</v>
      </c>
      <c r="I146" s="256">
        <v>2.5499999999999998</v>
      </c>
      <c r="J146" s="61">
        <v>33.24</v>
      </c>
      <c r="K146" s="356">
        <v>6.95</v>
      </c>
      <c r="L146" s="15">
        <f t="shared" si="141"/>
        <v>1.07</v>
      </c>
      <c r="M146" s="61">
        <f t="shared" si="225"/>
        <v>1.3</v>
      </c>
      <c r="N146" s="61">
        <f t="shared" si="142"/>
        <v>9.09</v>
      </c>
      <c r="O146" s="61">
        <f t="shared" si="143"/>
        <v>9.5500000000000007</v>
      </c>
      <c r="P146" s="61">
        <f t="shared" si="144"/>
        <v>23.015500000000003</v>
      </c>
      <c r="Q146" s="61">
        <f t="shared" si="216"/>
        <v>4</v>
      </c>
      <c r="R146" s="61">
        <f t="shared" si="145"/>
        <v>0.5</v>
      </c>
      <c r="S146" s="61">
        <f t="shared" si="217"/>
        <v>1.4</v>
      </c>
      <c r="T146" s="61">
        <f t="shared" si="146"/>
        <v>25.815500000000004</v>
      </c>
      <c r="U146" s="201">
        <f t="shared" ref="U146:U164" si="227">$U$9</f>
        <v>2</v>
      </c>
      <c r="V146" s="203">
        <f t="shared" si="226"/>
        <v>0.25</v>
      </c>
      <c r="W146" s="37" t="s">
        <v>40</v>
      </c>
      <c r="X146" s="202">
        <f t="shared" si="147"/>
        <v>40</v>
      </c>
      <c r="Y146" s="201">
        <f t="shared" si="148"/>
        <v>35</v>
      </c>
      <c r="Z146" s="61">
        <f t="shared" si="149"/>
        <v>26.815500000000004</v>
      </c>
      <c r="AA146" s="271">
        <f t="shared" si="150"/>
        <v>1.5999999999999999</v>
      </c>
      <c r="AB146" s="271">
        <f t="shared" si="151"/>
        <v>2</v>
      </c>
      <c r="AC146" s="271">
        <f t="shared" si="152"/>
        <v>30.015500000000003</v>
      </c>
      <c r="AD146" s="271">
        <f t="shared" si="153"/>
        <v>30.815500000000004</v>
      </c>
      <c r="AE146" s="61">
        <f t="shared" si="154"/>
        <v>361.50494399999997</v>
      </c>
      <c r="AF146" s="271">
        <v>0</v>
      </c>
      <c r="AG146" s="61">
        <f t="shared" si="155"/>
        <v>200.04795629637798</v>
      </c>
      <c r="AH146" s="15">
        <f t="shared" si="156"/>
        <v>17.592918860102841</v>
      </c>
      <c r="AI146" s="271">
        <f t="shared" si="212"/>
        <v>305.01815471414591</v>
      </c>
      <c r="AJ146" s="271">
        <f t="shared" si="157"/>
        <v>238.59307013841482</v>
      </c>
      <c r="AK146" s="271">
        <f t="shared" si="158"/>
        <v>278.82181437731145</v>
      </c>
      <c r="AL146" s="61">
        <f t="shared" si="159"/>
        <v>1401.578858386353</v>
      </c>
      <c r="AM146" s="326">
        <f t="shared" si="218"/>
        <v>366.93</v>
      </c>
      <c r="AN146" s="265">
        <f t="shared" si="219"/>
        <v>0</v>
      </c>
      <c r="AO146" s="326">
        <f t="shared" si="220"/>
        <v>206.45</v>
      </c>
      <c r="AP146" s="326">
        <f t="shared" si="221"/>
        <v>18.16</v>
      </c>
      <c r="AQ146" s="326">
        <f t="shared" si="222"/>
        <v>314.77999999999997</v>
      </c>
      <c r="AR146" s="326">
        <f t="shared" si="223"/>
        <v>245.75</v>
      </c>
      <c r="AS146" s="326">
        <f t="shared" si="224"/>
        <v>287.74</v>
      </c>
    </row>
    <row r="147" spans="1:45" s="210" customFormat="1" ht="13.8" outlineLevel="2" thickBot="1" x14ac:dyDescent="0.3">
      <c r="A147" s="318"/>
      <c r="B147" s="357" t="str">
        <f t="shared" si="213"/>
        <v>Кабель АВБШв 4*50мк (N) - 1 ГОСТ 31996-2012</v>
      </c>
      <c r="C147" s="257">
        <v>4</v>
      </c>
      <c r="D147" s="34" t="s">
        <v>40</v>
      </c>
      <c r="E147" s="289">
        <v>50</v>
      </c>
      <c r="F147" s="275" t="str">
        <f t="shared" si="214"/>
        <v>мк</v>
      </c>
      <c r="G147" s="274">
        <v>7</v>
      </c>
      <c r="H147" s="34" t="s">
        <v>40</v>
      </c>
      <c r="I147" s="256">
        <v>3</v>
      </c>
      <c r="J147" s="61">
        <v>45.03</v>
      </c>
      <c r="K147" s="356">
        <v>8</v>
      </c>
      <c r="L147" s="15">
        <f t="shared" si="141"/>
        <v>1.25</v>
      </c>
      <c r="M147" s="61">
        <f t="shared" si="225"/>
        <v>1.5</v>
      </c>
      <c r="N147" s="61">
        <f t="shared" si="142"/>
        <v>10.5</v>
      </c>
      <c r="O147" s="61">
        <f t="shared" si="143"/>
        <v>11</v>
      </c>
      <c r="P147" s="61">
        <f t="shared" si="144"/>
        <v>26.51</v>
      </c>
      <c r="Q147" s="61">
        <f t="shared" si="216"/>
        <v>4.5999999999999996</v>
      </c>
      <c r="R147" s="61">
        <f t="shared" si="145"/>
        <v>0.6</v>
      </c>
      <c r="S147" s="61">
        <f t="shared" si="217"/>
        <v>1.6</v>
      </c>
      <c r="T147" s="61">
        <f t="shared" si="146"/>
        <v>29.71</v>
      </c>
      <c r="U147" s="201">
        <f t="shared" si="227"/>
        <v>2</v>
      </c>
      <c r="V147" s="203">
        <f t="shared" si="226"/>
        <v>0.25</v>
      </c>
      <c r="W147" s="37" t="s">
        <v>40</v>
      </c>
      <c r="X147" s="202">
        <f t="shared" si="147"/>
        <v>40</v>
      </c>
      <c r="Y147" s="201">
        <f t="shared" si="148"/>
        <v>35</v>
      </c>
      <c r="Z147" s="61">
        <f t="shared" si="149"/>
        <v>30.71</v>
      </c>
      <c r="AA147" s="271">
        <f t="shared" si="150"/>
        <v>1.77</v>
      </c>
      <c r="AB147" s="271">
        <f t="shared" si="151"/>
        <v>2.2000000000000002</v>
      </c>
      <c r="AC147" s="271">
        <f t="shared" si="152"/>
        <v>34.25</v>
      </c>
      <c r="AD147" s="271">
        <f t="shared" si="153"/>
        <v>35.11</v>
      </c>
      <c r="AE147" s="61">
        <f t="shared" si="154"/>
        <v>489.72826800000001</v>
      </c>
      <c r="AF147" s="271">
        <v>0</v>
      </c>
      <c r="AG147" s="61">
        <f t="shared" si="155"/>
        <v>265.79798389029236</v>
      </c>
      <c r="AH147" s="15">
        <f t="shared" si="156"/>
        <v>23.266635192486003</v>
      </c>
      <c r="AI147" s="271">
        <f t="shared" si="212"/>
        <v>403.03044276159812</v>
      </c>
      <c r="AJ147" s="271">
        <f t="shared" si="157"/>
        <v>273.90308559143892</v>
      </c>
      <c r="AK147" s="271">
        <f t="shared" si="158"/>
        <v>350.28469061002073</v>
      </c>
      <c r="AL147" s="61">
        <f t="shared" si="159"/>
        <v>1806.0111060458362</v>
      </c>
      <c r="AM147" s="326">
        <f t="shared" si="218"/>
        <v>497.07</v>
      </c>
      <c r="AN147" s="265">
        <f t="shared" si="219"/>
        <v>0</v>
      </c>
      <c r="AO147" s="326">
        <f t="shared" si="220"/>
        <v>274.3</v>
      </c>
      <c r="AP147" s="326">
        <f t="shared" si="221"/>
        <v>24.01</v>
      </c>
      <c r="AQ147" s="326">
        <f t="shared" si="222"/>
        <v>415.93</v>
      </c>
      <c r="AR147" s="326">
        <f t="shared" si="223"/>
        <v>282.12</v>
      </c>
      <c r="AS147" s="326">
        <f t="shared" si="224"/>
        <v>361.49</v>
      </c>
    </row>
    <row r="148" spans="1:45" s="210" customFormat="1" ht="13.8" outlineLevel="1" thickBot="1" x14ac:dyDescent="0.3">
      <c r="A148" s="359">
        <v>4</v>
      </c>
      <c r="B148" s="272"/>
      <c r="C148" s="292"/>
      <c r="D148" s="211"/>
      <c r="E148" s="288"/>
      <c r="F148" s="275"/>
      <c r="G148" s="212"/>
      <c r="H148" s="196"/>
      <c r="I148" s="211"/>
      <c r="J148" s="196"/>
      <c r="K148" s="197"/>
      <c r="L148" s="196"/>
      <c r="M148" s="61"/>
      <c r="N148" s="196"/>
      <c r="O148" s="196"/>
      <c r="P148" s="196"/>
      <c r="Q148" s="61" t="str">
        <f t="shared" si="216"/>
        <v/>
      </c>
      <c r="R148" s="196"/>
      <c r="S148" s="61" t="str">
        <f t="shared" si="217"/>
        <v/>
      </c>
      <c r="T148" s="196"/>
      <c r="U148" s="196"/>
      <c r="V148" s="203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88"/>
      <c r="AJ148" s="196"/>
      <c r="AK148" s="196"/>
      <c r="AL148" s="196"/>
      <c r="AP148" s="353">
        <v>42619</v>
      </c>
    </row>
    <row r="149" spans="1:45" s="207" customFormat="1" outlineLevel="2" x14ac:dyDescent="0.25">
      <c r="A149" s="318"/>
      <c r="B149" s="357" t="str">
        <f t="shared" ref="B149:B164" si="228">CONCATENATE("Кабель ",$A$166," ",C149,"*",E149,F149,IF(OR(C149=2,C149=4)," (N)",IF(OR(C149=3,C149=5)," (N, PE)",""))," - 1 ГОСТ 31996-2012")</f>
        <v>Кабель АВБШв 5*2,5ок (N, PE) - 1 ГОСТ 31996-2012</v>
      </c>
      <c r="C149" s="257">
        <v>5</v>
      </c>
      <c r="D149" s="34" t="s">
        <v>40</v>
      </c>
      <c r="E149" s="289">
        <v>2.5</v>
      </c>
      <c r="F149" s="275" t="str">
        <f t="shared" si="102"/>
        <v>ок</v>
      </c>
      <c r="G149" s="274">
        <v>1</v>
      </c>
      <c r="H149" s="34" t="s">
        <v>40</v>
      </c>
      <c r="I149" s="256">
        <v>1.76</v>
      </c>
      <c r="J149" s="61">
        <v>2.4300000000000002</v>
      </c>
      <c r="K149" s="61">
        <f>I149</f>
        <v>1.76</v>
      </c>
      <c r="L149" s="15">
        <f t="shared" ref="L149:L164" si="229">0.9*M149-0.1</f>
        <v>0.71000000000000008</v>
      </c>
      <c r="M149" s="61">
        <f t="shared" si="225"/>
        <v>0.9</v>
      </c>
      <c r="N149" s="61">
        <f t="shared" ref="N149:N158" si="230">IF(G149=1,I149+2*L149,K149+2*L149)</f>
        <v>3.18</v>
      </c>
      <c r="O149" s="61">
        <f t="shared" ref="O149:O158" si="231">IF(G149=1,I149+2*M149,K149+2*M149)</f>
        <v>3.56</v>
      </c>
      <c r="P149" s="61">
        <f t="shared" ref="P149:P158" si="232">IF(C149=1,O149*1,IF(C149=2,O149*2,IF(C149=3,O149*2.15,IF(C149=4,O149*2.41,IF(C149=5,O149*2.7,"ошибка")))))</f>
        <v>9.6120000000000001</v>
      </c>
      <c r="Q149" s="61">
        <f t="shared" si="216"/>
        <v>2.5</v>
      </c>
      <c r="R149" s="61">
        <f t="shared" ref="R149:R154" si="233">IF(P149&lt;=25,0.5,IF(AND(P149&gt;25,P149&lt;=35),0.6,IF(AND(P149&gt;35,P149&lt;=45),0.7,IF(AND(P149&gt;45,P149&lt;=60),0.8,IF(AND(P149&gt;60,P149&lt;=80),0.9,1)))))</f>
        <v>0.5</v>
      </c>
      <c r="S149" s="61">
        <f t="shared" si="217"/>
        <v>1.4</v>
      </c>
      <c r="T149" s="61">
        <f t="shared" ref="T149:T158" si="234">P149+2*S149</f>
        <v>12.411999999999999</v>
      </c>
      <c r="U149" s="201">
        <f t="shared" si="227"/>
        <v>2</v>
      </c>
      <c r="V149" s="203">
        <f t="shared" si="226"/>
        <v>0.25</v>
      </c>
      <c r="W149" s="37" t="s">
        <v>40</v>
      </c>
      <c r="X149" s="202">
        <f t="shared" ref="X149:X158" si="235">IF(AND(T149&gt;7,T149&lt;=10),15,IF(AND(T149&gt;10,T149&lt;=13),20,IF(AND(T149&gt;13,T149&lt;=21),30,IF(AND(T149&gt;21,T149&lt;=31),40,IF(AND(T149&gt;31,T149&lt;=70),50,IF(AND(T149&gt;70,T149&lt;=80),60,"ошибка"))))))</f>
        <v>20</v>
      </c>
      <c r="Y149" s="201">
        <f>$Y$9</f>
        <v>35</v>
      </c>
      <c r="Z149" s="61">
        <f t="shared" si="108"/>
        <v>13.411999999999999</v>
      </c>
      <c r="AA149" s="262">
        <f t="shared" si="109"/>
        <v>1.43</v>
      </c>
      <c r="AB149" s="262">
        <f t="shared" si="110"/>
        <v>1.8</v>
      </c>
      <c r="AC149" s="262">
        <f t="shared" si="111"/>
        <v>16.271999999999998</v>
      </c>
      <c r="AD149" s="262">
        <f t="shared" si="112"/>
        <v>17.012</v>
      </c>
      <c r="AE149" s="61">
        <f t="shared" ref="AE149:AE163" si="236">IF(G149=1,PI()*I149^2/4,J149)*$AE$9*C149*IF(C149&gt;1,1.007,1)</f>
        <v>33.073370501352954</v>
      </c>
      <c r="AF149" s="262">
        <v>0</v>
      </c>
      <c r="AG149" s="61">
        <f t="shared" ref="AG149:AG164" si="237">PI()*(IF(G149=1,I149,K149)+M149)*M149*$AG$9*C149*IF(C149&gt;1,1.007,1)*IF(G149=1,1,(IF(E149&gt;=4,1.1,1.07)))</f>
        <v>50.743251469964918</v>
      </c>
      <c r="AH149" s="15">
        <f t="shared" si="114"/>
        <v>6.8722339297276722</v>
      </c>
      <c r="AI149" s="271">
        <f t="shared" si="212"/>
        <v>90.141800949937775</v>
      </c>
      <c r="AJ149" s="262">
        <f t="shared" si="115"/>
        <v>117.06840917433496</v>
      </c>
      <c r="AK149" s="262">
        <f t="shared" si="116"/>
        <v>132.47362344144278</v>
      </c>
      <c r="AL149" s="61">
        <f t="shared" si="117"/>
        <v>430.37268946676102</v>
      </c>
      <c r="AM149" s="326">
        <f>ROUND(AE149*1.015,2)</f>
        <v>33.57</v>
      </c>
      <c r="AN149" s="265">
        <f>ROUND(AF149*1.015,2)</f>
        <v>0</v>
      </c>
      <c r="AO149" s="326">
        <f>ROUND(AG149*1.032,2)</f>
        <v>52.37</v>
      </c>
      <c r="AP149" s="326">
        <f>ROUND(AH149*1.032,2)</f>
        <v>7.09</v>
      </c>
      <c r="AQ149" s="326">
        <f>ROUND(AI149*1.032,2)</f>
        <v>93.03</v>
      </c>
      <c r="AR149" s="326">
        <f>ROUND(AJ149*1.03,2)</f>
        <v>120.58</v>
      </c>
      <c r="AS149" s="326">
        <f>ROUND(AK149*1.032,2)</f>
        <v>136.71</v>
      </c>
    </row>
    <row r="150" spans="1:45" s="207" customFormat="1" outlineLevel="2" x14ac:dyDescent="0.25">
      <c r="A150" s="318"/>
      <c r="B150" s="357" t="str">
        <f t="shared" si="228"/>
        <v>Кабель АВБШв 5*4ок (N, PE) - 1 ГОСТ 31996-2012</v>
      </c>
      <c r="C150" s="257">
        <v>5</v>
      </c>
      <c r="D150" s="34" t="s">
        <v>40</v>
      </c>
      <c r="E150" s="289">
        <v>4</v>
      </c>
      <c r="F150" s="275" t="str">
        <f t="shared" ref="F150:F164" si="238">IF(G150=1,"ок","мк")</f>
        <v>ок</v>
      </c>
      <c r="G150" s="274">
        <v>1</v>
      </c>
      <c r="H150" s="34" t="s">
        <v>40</v>
      </c>
      <c r="I150" s="256">
        <v>2.23</v>
      </c>
      <c r="J150" s="61">
        <v>3.91</v>
      </c>
      <c r="K150" s="61">
        <f t="shared" ref="K150:K155" si="239">I150</f>
        <v>2.23</v>
      </c>
      <c r="L150" s="15">
        <f t="shared" si="229"/>
        <v>0.89000000000000012</v>
      </c>
      <c r="M150" s="61">
        <f t="shared" si="225"/>
        <v>1.1000000000000001</v>
      </c>
      <c r="N150" s="61">
        <f t="shared" si="230"/>
        <v>4.01</v>
      </c>
      <c r="O150" s="61">
        <f t="shared" si="231"/>
        <v>4.43</v>
      </c>
      <c r="P150" s="61">
        <f t="shared" si="232"/>
        <v>11.961</v>
      </c>
      <c r="Q150" s="61">
        <f t="shared" si="216"/>
        <v>3.1</v>
      </c>
      <c r="R150" s="61">
        <f t="shared" si="233"/>
        <v>0.5</v>
      </c>
      <c r="S150" s="61">
        <f t="shared" si="217"/>
        <v>1.4</v>
      </c>
      <c r="T150" s="61">
        <f t="shared" si="234"/>
        <v>14.760999999999999</v>
      </c>
      <c r="U150" s="201">
        <f t="shared" si="227"/>
        <v>2</v>
      </c>
      <c r="V150" s="203">
        <f t="shared" si="226"/>
        <v>0.25</v>
      </c>
      <c r="W150" s="37" t="s">
        <v>40</v>
      </c>
      <c r="X150" s="202">
        <f t="shared" si="235"/>
        <v>30</v>
      </c>
      <c r="Y150" s="201">
        <f t="shared" ref="Y150:Y164" si="240">$Y$9</f>
        <v>35</v>
      </c>
      <c r="Z150" s="61">
        <f t="shared" ref="Z150:Z164" si="241">T150+2*U150*V150</f>
        <v>15.760999999999999</v>
      </c>
      <c r="AA150" s="262">
        <f t="shared" ref="AA150:AA164" si="242">0.85*AB150-0.1</f>
        <v>1.43</v>
      </c>
      <c r="AB150" s="262">
        <f t="shared" ref="AB150:AB164" si="243">IF(Z150&lt;=20,1.8,IF(AND(Z150&gt;20,Z150&lt;=30),2,IF(AND(Z150&gt;30,Z150&lt;=40),2.2,IF(AND(Z150&gt;40,Z150&lt;=50),2.4,IF(AND(Z150&gt;50,Z150&lt;=60),2.6,3.1)))))</f>
        <v>1.8</v>
      </c>
      <c r="AC150" s="262">
        <f t="shared" ref="AC150:AC164" si="244">Z150+2*AA150</f>
        <v>18.620999999999999</v>
      </c>
      <c r="AD150" s="262">
        <f t="shared" ref="AD150:AD164" si="245">Z150+2*AB150</f>
        <v>19.361000000000001</v>
      </c>
      <c r="AE150" s="61">
        <f t="shared" si="236"/>
        <v>53.096127378027539</v>
      </c>
      <c r="AF150" s="262">
        <v>0</v>
      </c>
      <c r="AG150" s="61">
        <f t="shared" si="237"/>
        <v>77.640990031111713</v>
      </c>
      <c r="AH150" s="15">
        <f t="shared" ref="AH150:AH164" si="246">PI()*POWER(Q150,2)/4*$AH$9</f>
        <v>10.56674689034927</v>
      </c>
      <c r="AI150" s="271">
        <f t="shared" si="212"/>
        <v>116.85636273217571</v>
      </c>
      <c r="AJ150" s="262">
        <f t="shared" ref="AJ150:AJ164" si="247">PI()*(T150+U150*V150)*U150*V150*$AJ$9*ROUND(100/(100+Y150),2)</f>
        <v>138.36593807384801</v>
      </c>
      <c r="AK150" s="262">
        <f t="shared" ref="AK150:AK164" si="248">PI()*(Z150+AB150)*AB150*1.1*$AK$9</f>
        <v>152.92987781062169</v>
      </c>
      <c r="AL150" s="61">
        <f t="shared" ref="AL150:AL164" si="249">SUM(AE150:AK150)</f>
        <v>549.45604291613404</v>
      </c>
      <c r="AM150" s="326">
        <f t="shared" ref="AM150:AM164" si="250">ROUND(AE150*1.015,2)</f>
        <v>53.89</v>
      </c>
      <c r="AN150" s="265">
        <f t="shared" ref="AN150:AN164" si="251">ROUND(AF150*1.015,2)</f>
        <v>0</v>
      </c>
      <c r="AO150" s="326">
        <f t="shared" ref="AO150:AO164" si="252">ROUND(AG150*1.032,2)</f>
        <v>80.13</v>
      </c>
      <c r="AP150" s="326">
        <f t="shared" ref="AP150:AP164" si="253">ROUND(AH150*1.032,2)</f>
        <v>10.9</v>
      </c>
      <c r="AQ150" s="326">
        <f t="shared" ref="AQ150:AQ164" si="254">ROUND(AI150*1.032,2)</f>
        <v>120.6</v>
      </c>
      <c r="AR150" s="326">
        <f t="shared" ref="AR150:AR164" si="255">ROUND(AJ150*1.03,2)</f>
        <v>142.52000000000001</v>
      </c>
      <c r="AS150" s="326">
        <f t="shared" ref="AS150:AS164" si="256">ROUND(AK150*1.032,2)</f>
        <v>157.82</v>
      </c>
    </row>
    <row r="151" spans="1:45" s="207" customFormat="1" outlineLevel="2" x14ac:dyDescent="0.25">
      <c r="A151" s="318"/>
      <c r="B151" s="357" t="str">
        <f t="shared" si="228"/>
        <v>Кабель АВБШв 5*6ок (N, PE) - 1 ГОСТ 31996-2012</v>
      </c>
      <c r="C151" s="257">
        <v>5</v>
      </c>
      <c r="D151" s="34" t="s">
        <v>40</v>
      </c>
      <c r="E151" s="289">
        <v>6</v>
      </c>
      <c r="F151" s="275" t="str">
        <f t="shared" si="238"/>
        <v>ок</v>
      </c>
      <c r="G151" s="274">
        <v>1</v>
      </c>
      <c r="H151" s="34" t="s">
        <v>40</v>
      </c>
      <c r="I151" s="256">
        <v>2.69</v>
      </c>
      <c r="J151" s="61">
        <v>5.68</v>
      </c>
      <c r="K151" s="61">
        <f t="shared" si="239"/>
        <v>2.69</v>
      </c>
      <c r="L151" s="15">
        <f t="shared" si="229"/>
        <v>0.89000000000000012</v>
      </c>
      <c r="M151" s="61">
        <f t="shared" si="225"/>
        <v>1.1000000000000001</v>
      </c>
      <c r="N151" s="61">
        <f t="shared" si="230"/>
        <v>4.4700000000000006</v>
      </c>
      <c r="O151" s="61">
        <f t="shared" si="231"/>
        <v>4.8900000000000006</v>
      </c>
      <c r="P151" s="61">
        <f t="shared" si="232"/>
        <v>13.203000000000003</v>
      </c>
      <c r="Q151" s="61">
        <f t="shared" si="216"/>
        <v>3.4</v>
      </c>
      <c r="R151" s="61">
        <f t="shared" si="233"/>
        <v>0.5</v>
      </c>
      <c r="S151" s="61">
        <f t="shared" si="217"/>
        <v>1.4</v>
      </c>
      <c r="T151" s="61">
        <f t="shared" si="234"/>
        <v>16.003000000000004</v>
      </c>
      <c r="U151" s="201">
        <f t="shared" si="227"/>
        <v>2</v>
      </c>
      <c r="V151" s="203">
        <f t="shared" si="226"/>
        <v>0.25</v>
      </c>
      <c r="W151" s="37" t="s">
        <v>40</v>
      </c>
      <c r="X151" s="202">
        <f t="shared" si="235"/>
        <v>30</v>
      </c>
      <c r="Y151" s="201">
        <f t="shared" si="240"/>
        <v>35</v>
      </c>
      <c r="Z151" s="61">
        <f t="shared" si="241"/>
        <v>17.003000000000004</v>
      </c>
      <c r="AA151" s="262">
        <f t="shared" si="242"/>
        <v>1.43</v>
      </c>
      <c r="AB151" s="262">
        <f t="shared" si="243"/>
        <v>1.8</v>
      </c>
      <c r="AC151" s="262">
        <f t="shared" si="244"/>
        <v>19.863000000000003</v>
      </c>
      <c r="AD151" s="262">
        <f t="shared" si="245"/>
        <v>20.603000000000005</v>
      </c>
      <c r="AE151" s="61">
        <f t="shared" si="236"/>
        <v>77.260529534103867</v>
      </c>
      <c r="AF151" s="262">
        <v>0</v>
      </c>
      <c r="AG151" s="61">
        <f t="shared" si="237"/>
        <v>88.36617183721124</v>
      </c>
      <c r="AH151" s="15">
        <f t="shared" si="246"/>
        <v>12.710883876424299</v>
      </c>
      <c r="AI151" s="271">
        <f t="shared" si="212"/>
        <v>132.05950213244168</v>
      </c>
      <c r="AJ151" s="262">
        <f t="shared" si="247"/>
        <v>149.62670048048719</v>
      </c>
      <c r="AK151" s="262">
        <f t="shared" si="248"/>
        <v>163.74582839662435</v>
      </c>
      <c r="AL151" s="61">
        <f t="shared" si="249"/>
        <v>623.76961625729268</v>
      </c>
      <c r="AM151" s="326">
        <f t="shared" si="250"/>
        <v>78.42</v>
      </c>
      <c r="AN151" s="265">
        <f t="shared" si="251"/>
        <v>0</v>
      </c>
      <c r="AO151" s="326">
        <f t="shared" si="252"/>
        <v>91.19</v>
      </c>
      <c r="AP151" s="326">
        <f t="shared" si="253"/>
        <v>13.12</v>
      </c>
      <c r="AQ151" s="326">
        <f t="shared" si="254"/>
        <v>136.29</v>
      </c>
      <c r="AR151" s="326">
        <f t="shared" si="255"/>
        <v>154.12</v>
      </c>
      <c r="AS151" s="326">
        <f t="shared" si="256"/>
        <v>168.99</v>
      </c>
    </row>
    <row r="152" spans="1:45" s="207" customFormat="1" outlineLevel="2" x14ac:dyDescent="0.25">
      <c r="A152" s="354">
        <v>40206915</v>
      </c>
      <c r="B152" s="272" t="str">
        <f t="shared" si="228"/>
        <v>Кабель АВБШв 5*10ок (N, PE) - 1 ГОСТ 31996-2012</v>
      </c>
      <c r="C152" s="257">
        <v>5</v>
      </c>
      <c r="D152" s="34" t="s">
        <v>40</v>
      </c>
      <c r="E152" s="289">
        <v>10</v>
      </c>
      <c r="F152" s="275" t="str">
        <f t="shared" si="238"/>
        <v>ок</v>
      </c>
      <c r="G152" s="274">
        <v>1</v>
      </c>
      <c r="H152" s="34" t="s">
        <v>40</v>
      </c>
      <c r="I152" s="256">
        <v>3.46</v>
      </c>
      <c r="J152" s="61">
        <v>9.4</v>
      </c>
      <c r="K152" s="61">
        <f t="shared" si="239"/>
        <v>3.46</v>
      </c>
      <c r="L152" s="15">
        <f t="shared" si="229"/>
        <v>0.89000000000000012</v>
      </c>
      <c r="M152" s="61">
        <f t="shared" si="225"/>
        <v>1.1000000000000001</v>
      </c>
      <c r="N152" s="61">
        <f t="shared" si="230"/>
        <v>5.24</v>
      </c>
      <c r="O152" s="61">
        <f t="shared" si="231"/>
        <v>5.66</v>
      </c>
      <c r="P152" s="61">
        <f t="shared" si="232"/>
        <v>15.282000000000002</v>
      </c>
      <c r="Q152" s="61">
        <f t="shared" si="216"/>
        <v>4</v>
      </c>
      <c r="R152" s="61">
        <f t="shared" si="233"/>
        <v>0.5</v>
      </c>
      <c r="S152" s="61">
        <f t="shared" si="217"/>
        <v>1.4</v>
      </c>
      <c r="T152" s="61">
        <f t="shared" si="234"/>
        <v>18.082000000000001</v>
      </c>
      <c r="U152" s="201">
        <f t="shared" si="227"/>
        <v>2</v>
      </c>
      <c r="V152" s="203">
        <f t="shared" si="226"/>
        <v>0.25</v>
      </c>
      <c r="W152" s="37" t="s">
        <v>40</v>
      </c>
      <c r="X152" s="202">
        <f t="shared" si="235"/>
        <v>30</v>
      </c>
      <c r="Y152" s="201">
        <f t="shared" si="240"/>
        <v>35</v>
      </c>
      <c r="Z152" s="61">
        <f t="shared" si="241"/>
        <v>19.082000000000001</v>
      </c>
      <c r="AA152" s="262">
        <f t="shared" si="242"/>
        <v>1.43</v>
      </c>
      <c r="AB152" s="262">
        <f t="shared" si="243"/>
        <v>1.8</v>
      </c>
      <c r="AC152" s="262">
        <f t="shared" si="244"/>
        <v>21.942</v>
      </c>
      <c r="AD152" s="262">
        <f t="shared" si="245"/>
        <v>22.682000000000002</v>
      </c>
      <c r="AE152" s="61">
        <f t="shared" si="236"/>
        <v>127.82191448024182</v>
      </c>
      <c r="AF152" s="262">
        <v>0</v>
      </c>
      <c r="AG152" s="61">
        <f t="shared" si="237"/>
        <v>106.31919355611697</v>
      </c>
      <c r="AH152" s="15">
        <f t="shared" si="246"/>
        <v>17.592918860102841</v>
      </c>
      <c r="AI152" s="271">
        <f t="shared" si="212"/>
        <v>159.17734625968095</v>
      </c>
      <c r="AJ152" s="262">
        <f t="shared" si="247"/>
        <v>168.47623755246997</v>
      </c>
      <c r="AK152" s="262">
        <f t="shared" si="248"/>
        <v>181.85078916015044</v>
      </c>
      <c r="AL152" s="61">
        <f t="shared" si="249"/>
        <v>761.23839986876305</v>
      </c>
      <c r="AM152" s="326">
        <f t="shared" si="250"/>
        <v>129.74</v>
      </c>
      <c r="AN152" s="265">
        <f t="shared" si="251"/>
        <v>0</v>
      </c>
      <c r="AO152" s="326">
        <f t="shared" si="252"/>
        <v>109.72</v>
      </c>
      <c r="AP152" s="326">
        <f t="shared" si="253"/>
        <v>18.16</v>
      </c>
      <c r="AQ152" s="326">
        <f t="shared" si="254"/>
        <v>164.27</v>
      </c>
      <c r="AR152" s="326">
        <f t="shared" si="255"/>
        <v>173.53</v>
      </c>
      <c r="AS152" s="326">
        <f t="shared" si="256"/>
        <v>187.67</v>
      </c>
    </row>
    <row r="153" spans="1:45" s="207" customFormat="1" outlineLevel="2" x14ac:dyDescent="0.25">
      <c r="A153" s="354">
        <v>40207024</v>
      </c>
      <c r="B153" s="272" t="str">
        <f t="shared" si="228"/>
        <v>Кабель АВБШв 5*16ок (N, PE) - 1 ГОСТ 31996-2012</v>
      </c>
      <c r="C153" s="257">
        <v>5</v>
      </c>
      <c r="D153" s="34" t="s">
        <v>40</v>
      </c>
      <c r="E153" s="289">
        <v>16</v>
      </c>
      <c r="F153" s="275" t="str">
        <f t="shared" si="238"/>
        <v>ок</v>
      </c>
      <c r="G153" s="274">
        <v>1</v>
      </c>
      <c r="H153" s="34" t="s">
        <v>40</v>
      </c>
      <c r="I153" s="256">
        <v>4.41</v>
      </c>
      <c r="J153" s="61">
        <v>15.27</v>
      </c>
      <c r="K153" s="61">
        <f t="shared" si="239"/>
        <v>4.41</v>
      </c>
      <c r="L153" s="15">
        <f t="shared" si="229"/>
        <v>0.89000000000000012</v>
      </c>
      <c r="M153" s="61">
        <f t="shared" si="225"/>
        <v>1.1000000000000001</v>
      </c>
      <c r="N153" s="61">
        <f t="shared" si="230"/>
        <v>6.19</v>
      </c>
      <c r="O153" s="61">
        <f t="shared" si="231"/>
        <v>6.61</v>
      </c>
      <c r="P153" s="61">
        <f t="shared" si="232"/>
        <v>17.847000000000001</v>
      </c>
      <c r="Q153" s="61">
        <f t="shared" si="216"/>
        <v>4.5999999999999996</v>
      </c>
      <c r="R153" s="61">
        <f t="shared" si="233"/>
        <v>0.5</v>
      </c>
      <c r="S153" s="61">
        <f t="shared" si="217"/>
        <v>1.4</v>
      </c>
      <c r="T153" s="61">
        <f t="shared" si="234"/>
        <v>20.647000000000002</v>
      </c>
      <c r="U153" s="201">
        <f t="shared" si="227"/>
        <v>2</v>
      </c>
      <c r="V153" s="203">
        <f t="shared" si="226"/>
        <v>0.25</v>
      </c>
      <c r="W153" s="37" t="s">
        <v>40</v>
      </c>
      <c r="X153" s="202">
        <f t="shared" si="235"/>
        <v>30</v>
      </c>
      <c r="Y153" s="201">
        <f t="shared" si="240"/>
        <v>35</v>
      </c>
      <c r="Z153" s="61">
        <f t="shared" si="241"/>
        <v>21.647000000000002</v>
      </c>
      <c r="AA153" s="262">
        <f t="shared" si="242"/>
        <v>1.5999999999999999</v>
      </c>
      <c r="AB153" s="262">
        <f t="shared" si="243"/>
        <v>2</v>
      </c>
      <c r="AC153" s="262">
        <f t="shared" si="244"/>
        <v>24.847000000000001</v>
      </c>
      <c r="AD153" s="262">
        <f t="shared" si="245"/>
        <v>25.647000000000002</v>
      </c>
      <c r="AE153" s="61">
        <f t="shared" si="236"/>
        <v>207.64921773223222</v>
      </c>
      <c r="AF153" s="262">
        <v>0</v>
      </c>
      <c r="AG153" s="61">
        <f t="shared" si="237"/>
        <v>128.46902554697465</v>
      </c>
      <c r="AH153" s="15">
        <f t="shared" si="246"/>
        <v>23.266635192486003</v>
      </c>
      <c r="AI153" s="271">
        <f t="shared" si="212"/>
        <v>195.51408776809336</v>
      </c>
      <c r="AJ153" s="262">
        <f t="shared" si="247"/>
        <v>191.73215991400727</v>
      </c>
      <c r="AK153" s="262">
        <f t="shared" si="248"/>
        <v>228.81086375666857</v>
      </c>
      <c r="AL153" s="61">
        <f t="shared" si="249"/>
        <v>975.4419899104621</v>
      </c>
      <c r="AM153" s="326">
        <f t="shared" si="250"/>
        <v>210.76</v>
      </c>
      <c r="AN153" s="265">
        <f t="shared" si="251"/>
        <v>0</v>
      </c>
      <c r="AO153" s="326">
        <f t="shared" si="252"/>
        <v>132.58000000000001</v>
      </c>
      <c r="AP153" s="326">
        <f t="shared" si="253"/>
        <v>24.01</v>
      </c>
      <c r="AQ153" s="326">
        <f t="shared" si="254"/>
        <v>201.77</v>
      </c>
      <c r="AR153" s="326">
        <f t="shared" si="255"/>
        <v>197.48</v>
      </c>
      <c r="AS153" s="326">
        <f t="shared" si="256"/>
        <v>236.13</v>
      </c>
    </row>
    <row r="154" spans="1:45" s="207" customFormat="1" outlineLevel="2" x14ac:dyDescent="0.25">
      <c r="A154" s="354">
        <v>40206905</v>
      </c>
      <c r="B154" s="272" t="str">
        <f t="shared" si="228"/>
        <v>Кабель АВБШв 5*25ок (N, PE) - 1 ГОСТ 31996-2012</v>
      </c>
      <c r="C154" s="257">
        <v>5</v>
      </c>
      <c r="D154" s="34" t="s">
        <v>40</v>
      </c>
      <c r="E154" s="289">
        <v>25</v>
      </c>
      <c r="F154" s="275" t="str">
        <f t="shared" si="238"/>
        <v>ок</v>
      </c>
      <c r="G154" s="274">
        <v>1</v>
      </c>
      <c r="H154" s="34" t="s">
        <v>40</v>
      </c>
      <c r="I154" s="256">
        <v>5.54</v>
      </c>
      <c r="J154" s="61">
        <v>24.11</v>
      </c>
      <c r="K154" s="61">
        <f t="shared" si="239"/>
        <v>5.54</v>
      </c>
      <c r="L154" s="15">
        <f t="shared" si="229"/>
        <v>1.07</v>
      </c>
      <c r="M154" s="61">
        <f t="shared" si="225"/>
        <v>1.3</v>
      </c>
      <c r="N154" s="61">
        <f t="shared" si="230"/>
        <v>7.68</v>
      </c>
      <c r="O154" s="61">
        <f t="shared" si="231"/>
        <v>8.14</v>
      </c>
      <c r="P154" s="61">
        <f t="shared" si="232"/>
        <v>21.978000000000002</v>
      </c>
      <c r="Q154" s="61">
        <f t="shared" si="216"/>
        <v>5.7</v>
      </c>
      <c r="R154" s="61">
        <f t="shared" si="233"/>
        <v>0.5</v>
      </c>
      <c r="S154" s="61">
        <f t="shared" si="217"/>
        <v>1.4</v>
      </c>
      <c r="T154" s="61">
        <f t="shared" si="234"/>
        <v>24.778000000000002</v>
      </c>
      <c r="U154" s="201">
        <f t="shared" si="227"/>
        <v>2</v>
      </c>
      <c r="V154" s="203">
        <f t="shared" si="226"/>
        <v>0.25</v>
      </c>
      <c r="W154" s="37" t="s">
        <v>40</v>
      </c>
      <c r="X154" s="202">
        <f t="shared" si="235"/>
        <v>40</v>
      </c>
      <c r="Y154" s="201">
        <f t="shared" si="240"/>
        <v>35</v>
      </c>
      <c r="Z154" s="61">
        <f t="shared" si="241"/>
        <v>25.778000000000002</v>
      </c>
      <c r="AA154" s="262">
        <f t="shared" si="242"/>
        <v>1.5999999999999999</v>
      </c>
      <c r="AB154" s="262">
        <f t="shared" si="243"/>
        <v>2</v>
      </c>
      <c r="AC154" s="262">
        <f t="shared" si="244"/>
        <v>28.978000000000002</v>
      </c>
      <c r="AD154" s="262">
        <f t="shared" si="245"/>
        <v>29.778000000000002</v>
      </c>
      <c r="AE154" s="61">
        <f t="shared" si="236"/>
        <v>327.69713910102155</v>
      </c>
      <c r="AF154" s="262">
        <v>0</v>
      </c>
      <c r="AG154" s="61">
        <f t="shared" si="237"/>
        <v>188.47493403129823</v>
      </c>
      <c r="AH154" s="15">
        <f t="shared" si="246"/>
        <v>35.724620860296334</v>
      </c>
      <c r="AI154" s="271">
        <f t="shared" si="212"/>
        <v>260.72238336163161</v>
      </c>
      <c r="AJ154" s="262">
        <f t="shared" si="247"/>
        <v>229.1864348752199</v>
      </c>
      <c r="AK154" s="262">
        <f t="shared" si="248"/>
        <v>268.78285505276523</v>
      </c>
      <c r="AL154" s="61">
        <f t="shared" si="249"/>
        <v>1310.5883672822329</v>
      </c>
      <c r="AM154" s="326">
        <f t="shared" si="250"/>
        <v>332.61</v>
      </c>
      <c r="AN154" s="265">
        <f t="shared" si="251"/>
        <v>0</v>
      </c>
      <c r="AO154" s="326">
        <f t="shared" si="252"/>
        <v>194.51</v>
      </c>
      <c r="AP154" s="326">
        <f t="shared" si="253"/>
        <v>36.869999999999997</v>
      </c>
      <c r="AQ154" s="326">
        <f t="shared" si="254"/>
        <v>269.07</v>
      </c>
      <c r="AR154" s="326">
        <f t="shared" si="255"/>
        <v>236.06</v>
      </c>
      <c r="AS154" s="326">
        <f t="shared" si="256"/>
        <v>277.38</v>
      </c>
    </row>
    <row r="155" spans="1:45" s="207" customFormat="1" outlineLevel="2" x14ac:dyDescent="0.25">
      <c r="A155" s="354">
        <v>40206902</v>
      </c>
      <c r="B155" s="272" t="str">
        <f t="shared" si="228"/>
        <v>Кабель АВБШв 5*35ок (N, PE) - 1 ГОСТ 31996-2012</v>
      </c>
      <c r="C155" s="257">
        <v>5</v>
      </c>
      <c r="D155" s="34" t="s">
        <v>40</v>
      </c>
      <c r="E155" s="289">
        <v>35</v>
      </c>
      <c r="F155" s="275" t="str">
        <f t="shared" si="238"/>
        <v>ок</v>
      </c>
      <c r="G155" s="274">
        <v>1</v>
      </c>
      <c r="H155" s="34" t="s">
        <v>40</v>
      </c>
      <c r="I155" s="256">
        <v>6.51</v>
      </c>
      <c r="J155" s="61">
        <v>33.29</v>
      </c>
      <c r="K155" s="61">
        <f t="shared" si="239"/>
        <v>6.51</v>
      </c>
      <c r="L155" s="15">
        <f t="shared" si="229"/>
        <v>1.07</v>
      </c>
      <c r="M155" s="61">
        <f t="shared" si="225"/>
        <v>1.3</v>
      </c>
      <c r="N155" s="61">
        <f t="shared" si="230"/>
        <v>8.65</v>
      </c>
      <c r="O155" s="61">
        <f t="shared" si="231"/>
        <v>9.11</v>
      </c>
      <c r="P155" s="61">
        <f t="shared" si="232"/>
        <v>24.597000000000001</v>
      </c>
      <c r="Q155" s="61">
        <f t="shared" si="216"/>
        <v>6.4</v>
      </c>
      <c r="R155" s="61">
        <f t="shared" ref="R155:R164" si="257">IF(P155&lt;=25,0.5,IF(AND(P155&gt;25,P155&lt;=35),0.6,IF(AND(P155&gt;35,P155&lt;=45),0.7,IF(AND(P155&gt;45,P155&lt;=60),0.8,IF(AND(P155&gt;60,P155&lt;=80),0.9,1)))))</f>
        <v>0.5</v>
      </c>
      <c r="S155" s="61">
        <f t="shared" si="217"/>
        <v>1.4</v>
      </c>
      <c r="T155" s="61">
        <f t="shared" si="234"/>
        <v>27.397000000000002</v>
      </c>
      <c r="U155" s="201">
        <f t="shared" si="227"/>
        <v>2</v>
      </c>
      <c r="V155" s="203">
        <f t="shared" si="226"/>
        <v>0.25</v>
      </c>
      <c r="W155" s="37" t="s">
        <v>40</v>
      </c>
      <c r="X155" s="202">
        <f t="shared" si="235"/>
        <v>40</v>
      </c>
      <c r="Y155" s="201">
        <f t="shared" si="240"/>
        <v>35</v>
      </c>
      <c r="Z155" s="61">
        <f t="shared" si="241"/>
        <v>28.397000000000002</v>
      </c>
      <c r="AA155" s="262">
        <f t="shared" si="242"/>
        <v>1.5999999999999999</v>
      </c>
      <c r="AB155" s="262">
        <f t="shared" si="243"/>
        <v>2</v>
      </c>
      <c r="AC155" s="262">
        <f t="shared" si="244"/>
        <v>31.597000000000001</v>
      </c>
      <c r="AD155" s="262">
        <f t="shared" si="245"/>
        <v>32.397000000000006</v>
      </c>
      <c r="AE155" s="61">
        <f t="shared" si="236"/>
        <v>452.49636789268732</v>
      </c>
      <c r="AF155" s="262">
        <v>0</v>
      </c>
      <c r="AG155" s="61">
        <f t="shared" si="237"/>
        <v>215.20310450064898</v>
      </c>
      <c r="AH155" s="15">
        <f t="shared" si="246"/>
        <v>45.037872281863272</v>
      </c>
      <c r="AI155" s="271">
        <f t="shared" si="212"/>
        <v>306.33726120872234</v>
      </c>
      <c r="AJ155" s="262">
        <f t="shared" si="247"/>
        <v>252.9319556022632</v>
      </c>
      <c r="AK155" s="262">
        <f t="shared" si="248"/>
        <v>294.12457502480038</v>
      </c>
      <c r="AL155" s="61">
        <f t="shared" si="249"/>
        <v>1566.1311365109855</v>
      </c>
      <c r="AM155" s="326">
        <f t="shared" si="250"/>
        <v>459.28</v>
      </c>
      <c r="AN155" s="326">
        <f t="shared" si="251"/>
        <v>0</v>
      </c>
      <c r="AO155" s="326">
        <f t="shared" si="252"/>
        <v>222.09</v>
      </c>
      <c r="AP155" s="326">
        <f t="shared" si="253"/>
        <v>46.48</v>
      </c>
      <c r="AQ155" s="326">
        <f t="shared" si="254"/>
        <v>316.14</v>
      </c>
      <c r="AR155" s="326">
        <f t="shared" si="255"/>
        <v>260.52</v>
      </c>
      <c r="AS155" s="326">
        <f t="shared" si="256"/>
        <v>303.54000000000002</v>
      </c>
    </row>
    <row r="156" spans="1:45" s="207" customFormat="1" outlineLevel="2" x14ac:dyDescent="0.25">
      <c r="A156" s="354">
        <v>40206906</v>
      </c>
      <c r="B156" s="272" t="str">
        <f t="shared" si="228"/>
        <v>Кабель АВБШв 5*25мк (N, PE) - 1 ГОСТ 31996-2012</v>
      </c>
      <c r="C156" s="257">
        <v>5</v>
      </c>
      <c r="D156" s="34" t="s">
        <v>40</v>
      </c>
      <c r="E156" s="289">
        <v>25</v>
      </c>
      <c r="F156" s="275" t="str">
        <f t="shared" si="238"/>
        <v>мк</v>
      </c>
      <c r="G156" s="274">
        <v>7</v>
      </c>
      <c r="H156" s="34" t="s">
        <v>40</v>
      </c>
      <c r="I156" s="256">
        <v>2.19</v>
      </c>
      <c r="J156" s="61">
        <v>24.05</v>
      </c>
      <c r="K156" s="262">
        <v>5.84</v>
      </c>
      <c r="L156" s="15">
        <f t="shared" si="229"/>
        <v>1.07</v>
      </c>
      <c r="M156" s="61">
        <f t="shared" si="225"/>
        <v>1.3</v>
      </c>
      <c r="N156" s="61">
        <f t="shared" si="230"/>
        <v>7.98</v>
      </c>
      <c r="O156" s="61">
        <f t="shared" si="231"/>
        <v>8.44</v>
      </c>
      <c r="P156" s="61">
        <f t="shared" si="232"/>
        <v>22.788</v>
      </c>
      <c r="Q156" s="61">
        <f t="shared" si="216"/>
        <v>5.9</v>
      </c>
      <c r="R156" s="61">
        <f t="shared" si="257"/>
        <v>0.5</v>
      </c>
      <c r="S156" s="61">
        <f t="shared" si="217"/>
        <v>1.4</v>
      </c>
      <c r="T156" s="61">
        <f t="shared" si="234"/>
        <v>25.588000000000001</v>
      </c>
      <c r="U156" s="201">
        <f t="shared" si="227"/>
        <v>2</v>
      </c>
      <c r="V156" s="203">
        <f t="shared" si="226"/>
        <v>0.25</v>
      </c>
      <c r="W156" s="37" t="s">
        <v>40</v>
      </c>
      <c r="X156" s="202">
        <f t="shared" si="235"/>
        <v>40</v>
      </c>
      <c r="Y156" s="201">
        <f t="shared" si="240"/>
        <v>35</v>
      </c>
      <c r="Z156" s="61">
        <f t="shared" si="241"/>
        <v>26.588000000000001</v>
      </c>
      <c r="AA156" s="262">
        <f t="shared" si="242"/>
        <v>1.5999999999999999</v>
      </c>
      <c r="AB156" s="262">
        <f t="shared" si="243"/>
        <v>2</v>
      </c>
      <c r="AC156" s="262">
        <f t="shared" si="244"/>
        <v>29.788</v>
      </c>
      <c r="AD156" s="262">
        <f t="shared" si="245"/>
        <v>30.588000000000001</v>
      </c>
      <c r="AE156" s="61">
        <f t="shared" si="236"/>
        <v>326.94772499999999</v>
      </c>
      <c r="AF156" s="262">
        <v>0</v>
      </c>
      <c r="AG156" s="61">
        <f t="shared" si="237"/>
        <v>216.41551635699068</v>
      </c>
      <c r="AH156" s="15">
        <f t="shared" si="246"/>
        <v>38.275594095011243</v>
      </c>
      <c r="AI156" s="271">
        <f t="shared" si="212"/>
        <v>274.4758475047737</v>
      </c>
      <c r="AJ156" s="262">
        <f t="shared" si="247"/>
        <v>236.53041035781061</v>
      </c>
      <c r="AK156" s="262">
        <f t="shared" si="248"/>
        <v>276.62050040494103</v>
      </c>
      <c r="AL156" s="61">
        <f t="shared" si="249"/>
        <v>1369.2655937195273</v>
      </c>
      <c r="AM156" s="326">
        <f t="shared" si="250"/>
        <v>331.85</v>
      </c>
      <c r="AN156" s="326">
        <f t="shared" si="251"/>
        <v>0</v>
      </c>
      <c r="AO156" s="326">
        <f t="shared" si="252"/>
        <v>223.34</v>
      </c>
      <c r="AP156" s="326">
        <f t="shared" si="253"/>
        <v>39.5</v>
      </c>
      <c r="AQ156" s="326">
        <f t="shared" si="254"/>
        <v>283.26</v>
      </c>
      <c r="AR156" s="326">
        <f t="shared" si="255"/>
        <v>243.63</v>
      </c>
      <c r="AS156" s="326">
        <f t="shared" si="256"/>
        <v>285.47000000000003</v>
      </c>
    </row>
    <row r="157" spans="1:45" s="207" customFormat="1" outlineLevel="2" x14ac:dyDescent="0.25">
      <c r="A157" s="354">
        <v>40206903</v>
      </c>
      <c r="B157" s="272" t="str">
        <f t="shared" si="228"/>
        <v>Кабель АВБШв 5*35мк (N, PE) - 1 ГОСТ 31996-2012</v>
      </c>
      <c r="C157" s="257">
        <v>5</v>
      </c>
      <c r="D157" s="34" t="s">
        <v>40</v>
      </c>
      <c r="E157" s="289">
        <v>35</v>
      </c>
      <c r="F157" s="275" t="str">
        <f t="shared" si="238"/>
        <v>мк</v>
      </c>
      <c r="G157" s="274">
        <v>7</v>
      </c>
      <c r="H157" s="34" t="s">
        <v>40</v>
      </c>
      <c r="I157" s="256">
        <v>2.5499999999999998</v>
      </c>
      <c r="J157" s="61">
        <v>33.24</v>
      </c>
      <c r="K157" s="262">
        <v>6.95</v>
      </c>
      <c r="L157" s="15">
        <f t="shared" si="229"/>
        <v>1.07</v>
      </c>
      <c r="M157" s="61">
        <f t="shared" si="225"/>
        <v>1.3</v>
      </c>
      <c r="N157" s="61">
        <f t="shared" si="230"/>
        <v>9.09</v>
      </c>
      <c r="O157" s="61">
        <f t="shared" si="231"/>
        <v>9.5500000000000007</v>
      </c>
      <c r="P157" s="61">
        <f t="shared" si="232"/>
        <v>25.785000000000004</v>
      </c>
      <c r="Q157" s="61">
        <f t="shared" si="216"/>
        <v>6.7</v>
      </c>
      <c r="R157" s="61">
        <f t="shared" si="257"/>
        <v>0.6</v>
      </c>
      <c r="S157" s="61">
        <f t="shared" si="217"/>
        <v>1.6</v>
      </c>
      <c r="T157" s="61">
        <f t="shared" si="234"/>
        <v>28.985000000000003</v>
      </c>
      <c r="U157" s="201">
        <f t="shared" si="227"/>
        <v>2</v>
      </c>
      <c r="V157" s="203">
        <f t="shared" si="226"/>
        <v>0.25</v>
      </c>
      <c r="W157" s="37" t="s">
        <v>40</v>
      </c>
      <c r="X157" s="202">
        <f t="shared" si="235"/>
        <v>40</v>
      </c>
      <c r="Y157" s="201">
        <f t="shared" si="240"/>
        <v>35</v>
      </c>
      <c r="Z157" s="61">
        <f t="shared" si="241"/>
        <v>29.985000000000003</v>
      </c>
      <c r="AA157" s="262">
        <f t="shared" si="242"/>
        <v>1.5999999999999999</v>
      </c>
      <c r="AB157" s="262">
        <f t="shared" si="243"/>
        <v>2</v>
      </c>
      <c r="AC157" s="262">
        <f t="shared" si="244"/>
        <v>33.185000000000002</v>
      </c>
      <c r="AD157" s="262">
        <f t="shared" si="245"/>
        <v>33.984999999999999</v>
      </c>
      <c r="AE157" s="61">
        <f t="shared" si="236"/>
        <v>451.88117999999997</v>
      </c>
      <c r="AF157" s="262">
        <v>0</v>
      </c>
      <c r="AG157" s="61">
        <f t="shared" si="237"/>
        <v>250.05994537047246</v>
      </c>
      <c r="AH157" s="15">
        <f t="shared" si="246"/>
        <v>49.359132976876033</v>
      </c>
      <c r="AI157" s="271">
        <f t="shared" si="212"/>
        <v>353.44250927357092</v>
      </c>
      <c r="AJ157" s="262">
        <f t="shared" si="247"/>
        <v>267.32977420270032</v>
      </c>
      <c r="AK157" s="262">
        <f t="shared" si="248"/>
        <v>309.49023035721416</v>
      </c>
      <c r="AL157" s="61">
        <f t="shared" si="249"/>
        <v>1681.5627721808339</v>
      </c>
      <c r="AM157" s="326">
        <f t="shared" si="250"/>
        <v>458.66</v>
      </c>
      <c r="AN157" s="326">
        <f t="shared" si="251"/>
        <v>0</v>
      </c>
      <c r="AO157" s="326">
        <f t="shared" si="252"/>
        <v>258.06</v>
      </c>
      <c r="AP157" s="326">
        <f t="shared" si="253"/>
        <v>50.94</v>
      </c>
      <c r="AQ157" s="326">
        <f t="shared" si="254"/>
        <v>364.75</v>
      </c>
      <c r="AR157" s="326">
        <f t="shared" si="255"/>
        <v>275.35000000000002</v>
      </c>
      <c r="AS157" s="326">
        <f t="shared" si="256"/>
        <v>319.39</v>
      </c>
    </row>
    <row r="158" spans="1:45" s="207" customFormat="1" outlineLevel="2" x14ac:dyDescent="0.25">
      <c r="A158" s="354">
        <v>40206909</v>
      </c>
      <c r="B158" s="272" t="str">
        <f t="shared" si="228"/>
        <v>Кабель АВБШв 5*50мк (N, PE) - 1 ГОСТ 31996-2012</v>
      </c>
      <c r="C158" s="257">
        <v>5</v>
      </c>
      <c r="D158" s="34" t="s">
        <v>40</v>
      </c>
      <c r="E158" s="289">
        <v>50</v>
      </c>
      <c r="F158" s="275" t="str">
        <f t="shared" si="238"/>
        <v>мк</v>
      </c>
      <c r="G158" s="274">
        <v>7</v>
      </c>
      <c r="H158" s="34" t="s">
        <v>40</v>
      </c>
      <c r="I158" s="256">
        <v>3</v>
      </c>
      <c r="J158" s="61">
        <v>45.03</v>
      </c>
      <c r="K158" s="262">
        <v>8</v>
      </c>
      <c r="L158" s="15">
        <f t="shared" si="229"/>
        <v>1.25</v>
      </c>
      <c r="M158" s="61">
        <f t="shared" si="225"/>
        <v>1.5</v>
      </c>
      <c r="N158" s="61">
        <f t="shared" si="230"/>
        <v>10.5</v>
      </c>
      <c r="O158" s="61">
        <f t="shared" si="231"/>
        <v>11</v>
      </c>
      <c r="P158" s="61">
        <f t="shared" si="232"/>
        <v>29.700000000000003</v>
      </c>
      <c r="Q158" s="61">
        <f t="shared" si="216"/>
        <v>7.7</v>
      </c>
      <c r="R158" s="61">
        <f t="shared" si="257"/>
        <v>0.6</v>
      </c>
      <c r="S158" s="61">
        <f t="shared" si="217"/>
        <v>1.6</v>
      </c>
      <c r="T158" s="61">
        <f t="shared" si="234"/>
        <v>32.900000000000006</v>
      </c>
      <c r="U158" s="201">
        <f t="shared" si="227"/>
        <v>2</v>
      </c>
      <c r="V158" s="203">
        <f t="shared" si="226"/>
        <v>0.25</v>
      </c>
      <c r="W158" s="37" t="s">
        <v>40</v>
      </c>
      <c r="X158" s="202">
        <f t="shared" si="235"/>
        <v>50</v>
      </c>
      <c r="Y158" s="201">
        <f t="shared" si="240"/>
        <v>35</v>
      </c>
      <c r="Z158" s="61">
        <f t="shared" si="241"/>
        <v>33.900000000000006</v>
      </c>
      <c r="AA158" s="262">
        <f t="shared" si="242"/>
        <v>1.77</v>
      </c>
      <c r="AB158" s="262">
        <f t="shared" si="243"/>
        <v>2.2000000000000002</v>
      </c>
      <c r="AC158" s="262">
        <f t="shared" si="244"/>
        <v>37.440000000000005</v>
      </c>
      <c r="AD158" s="262">
        <f t="shared" si="245"/>
        <v>38.300000000000004</v>
      </c>
      <c r="AE158" s="61">
        <f t="shared" si="236"/>
        <v>612.16033500000003</v>
      </c>
      <c r="AF158" s="262">
        <v>0</v>
      </c>
      <c r="AG158" s="61">
        <f t="shared" si="237"/>
        <v>332.24747986286548</v>
      </c>
      <c r="AH158" s="15">
        <f t="shared" si="246"/>
        <v>65.192759950968593</v>
      </c>
      <c r="AI158" s="271">
        <f t="shared" si="212"/>
        <v>433.50630134655205</v>
      </c>
      <c r="AJ158" s="262">
        <f t="shared" si="247"/>
        <v>302.82565570188882</v>
      </c>
      <c r="AK158" s="262">
        <f t="shared" si="248"/>
        <v>384.23814436407628</v>
      </c>
      <c r="AL158" s="61">
        <f t="shared" si="249"/>
        <v>2130.1706762263511</v>
      </c>
      <c r="AM158" s="326">
        <f t="shared" si="250"/>
        <v>621.34</v>
      </c>
      <c r="AN158" s="326">
        <f t="shared" si="251"/>
        <v>0</v>
      </c>
      <c r="AO158" s="326">
        <f t="shared" si="252"/>
        <v>342.88</v>
      </c>
      <c r="AP158" s="326">
        <f t="shared" si="253"/>
        <v>67.28</v>
      </c>
      <c r="AQ158" s="326">
        <f t="shared" si="254"/>
        <v>447.38</v>
      </c>
      <c r="AR158" s="326">
        <f t="shared" si="255"/>
        <v>311.91000000000003</v>
      </c>
      <c r="AS158" s="326">
        <f t="shared" si="256"/>
        <v>396.53</v>
      </c>
    </row>
    <row r="159" spans="1:45" s="207" customFormat="1" outlineLevel="2" x14ac:dyDescent="0.25">
      <c r="A159" s="354">
        <v>40207021</v>
      </c>
      <c r="B159" s="272" t="str">
        <f t="shared" si="228"/>
        <v>Кабель АВБШв 5*70мк (N, PE) - 1 ГОСТ 31996-2012</v>
      </c>
      <c r="C159" s="257">
        <v>5</v>
      </c>
      <c r="D159" s="34" t="s">
        <v>40</v>
      </c>
      <c r="E159" s="289">
        <v>70</v>
      </c>
      <c r="F159" s="275" t="str">
        <f t="shared" si="238"/>
        <v>мк</v>
      </c>
      <c r="G159" s="274">
        <v>7</v>
      </c>
      <c r="H159" s="34" t="s">
        <v>40</v>
      </c>
      <c r="I159" s="256">
        <v>3.57</v>
      </c>
      <c r="J159" s="61">
        <v>65.16</v>
      </c>
      <c r="K159" s="262">
        <v>9.6</v>
      </c>
      <c r="L159" s="15">
        <f t="shared" si="229"/>
        <v>1.25</v>
      </c>
      <c r="M159" s="61">
        <f t="shared" si="225"/>
        <v>1.5</v>
      </c>
      <c r="N159" s="61">
        <f t="shared" ref="N159:N160" si="258">IF(G159=1,I159+2*L159,K159+2*L159)</f>
        <v>12.1</v>
      </c>
      <c r="O159" s="61">
        <f t="shared" ref="O159" si="259">IF(G159=1,I159+2*M159,K159+2*M159)</f>
        <v>12.6</v>
      </c>
      <c r="P159" s="61">
        <f t="shared" ref="P159" si="260">IF(C159=1,O159*1,IF(C159=2,O159*2,IF(C159=3,O159*2.15,IF(C159=4,O159*2.41,IF(C159=5,O159*2.7,"ошибка")))))</f>
        <v>34.020000000000003</v>
      </c>
      <c r="Q159" s="61">
        <f t="shared" si="216"/>
        <v>8.8000000000000007</v>
      </c>
      <c r="R159" s="61">
        <f t="shared" si="257"/>
        <v>0.6</v>
      </c>
      <c r="S159" s="61">
        <f t="shared" si="217"/>
        <v>1.6</v>
      </c>
      <c r="T159" s="61">
        <f t="shared" ref="T159:T160" si="261">P159+2*S159</f>
        <v>37.220000000000006</v>
      </c>
      <c r="U159" s="201">
        <f t="shared" si="227"/>
        <v>2</v>
      </c>
      <c r="V159" s="203">
        <f t="shared" si="226"/>
        <v>0.25</v>
      </c>
      <c r="W159" s="37" t="s">
        <v>40</v>
      </c>
      <c r="X159" s="202">
        <f t="shared" ref="X159:X160" si="262">IF(AND(T159&gt;7,T159&lt;=10),15,IF(AND(T159&gt;10,T159&lt;=13),20,IF(AND(T159&gt;13,T159&lt;=21),30,IF(AND(T159&gt;21,T159&lt;=31),40,IF(AND(T159&gt;31,T159&lt;=70),50,IF(AND(T159&gt;70,T159&lt;=80),60,"ошибка"))))))</f>
        <v>50</v>
      </c>
      <c r="Y159" s="201">
        <f t="shared" si="240"/>
        <v>35</v>
      </c>
      <c r="Z159" s="61">
        <f t="shared" si="241"/>
        <v>38.220000000000006</v>
      </c>
      <c r="AA159" s="262">
        <f t="shared" si="242"/>
        <v>1.77</v>
      </c>
      <c r="AB159" s="262">
        <f t="shared" si="243"/>
        <v>2.2000000000000002</v>
      </c>
      <c r="AC159" s="262">
        <f t="shared" si="244"/>
        <v>41.760000000000005</v>
      </c>
      <c r="AD159" s="262">
        <f t="shared" si="245"/>
        <v>42.620000000000005</v>
      </c>
      <c r="AE159" s="61">
        <f t="shared" si="236"/>
        <v>885.81762000000003</v>
      </c>
      <c r="AF159" s="262">
        <v>0</v>
      </c>
      <c r="AG159" s="61">
        <f t="shared" si="237"/>
        <v>388.20495015555861</v>
      </c>
      <c r="AH159" s="15">
        <f t="shared" si="246"/>
        <v>85.149727282897757</v>
      </c>
      <c r="AI159" s="271">
        <f t="shared" si="212"/>
        <v>530.45276649676168</v>
      </c>
      <c r="AJ159" s="262">
        <f t="shared" si="247"/>
        <v>341.99352494237263</v>
      </c>
      <c r="AK159" s="262">
        <f t="shared" si="248"/>
        <v>430.21899709684101</v>
      </c>
      <c r="AL159" s="61">
        <f t="shared" si="249"/>
        <v>2661.8375859744319</v>
      </c>
      <c r="AM159" s="326">
        <f t="shared" si="250"/>
        <v>899.1</v>
      </c>
      <c r="AN159" s="265">
        <f t="shared" si="251"/>
        <v>0</v>
      </c>
      <c r="AO159" s="326">
        <f t="shared" si="252"/>
        <v>400.63</v>
      </c>
      <c r="AP159" s="326">
        <f t="shared" si="253"/>
        <v>87.87</v>
      </c>
      <c r="AQ159" s="326">
        <f t="shared" si="254"/>
        <v>547.42999999999995</v>
      </c>
      <c r="AR159" s="326">
        <f t="shared" si="255"/>
        <v>352.25</v>
      </c>
      <c r="AS159" s="326">
        <f t="shared" si="256"/>
        <v>443.99</v>
      </c>
    </row>
    <row r="160" spans="1:45" s="207" customFormat="1" outlineLevel="2" x14ac:dyDescent="0.25">
      <c r="A160" s="318"/>
      <c r="B160" s="357" t="str">
        <f t="shared" si="228"/>
        <v>Кабель АВБШв 5*95мк (N, PE) - 1 ГОСТ 31996-2012</v>
      </c>
      <c r="C160" s="257">
        <v>5</v>
      </c>
      <c r="D160" s="34" t="s">
        <v>40</v>
      </c>
      <c r="E160" s="289">
        <v>95</v>
      </c>
      <c r="F160" s="275" t="str">
        <f t="shared" si="238"/>
        <v>мк</v>
      </c>
      <c r="G160" s="274">
        <v>19</v>
      </c>
      <c r="H160" s="34" t="s">
        <v>40</v>
      </c>
      <c r="I160" s="256">
        <v>2.5</v>
      </c>
      <c r="J160" s="61">
        <v>90.21</v>
      </c>
      <c r="K160" s="262">
        <v>11.2</v>
      </c>
      <c r="L160" s="15">
        <f t="shared" si="229"/>
        <v>1.4300000000000002</v>
      </c>
      <c r="M160" s="61">
        <f t="shared" si="225"/>
        <v>1.7000000000000002</v>
      </c>
      <c r="N160" s="61">
        <f t="shared" si="258"/>
        <v>14.059999999999999</v>
      </c>
      <c r="O160" s="61">
        <f t="shared" ref="O160" si="263">IF(G160=1,I160+2*M160,K160+2*M160)</f>
        <v>14.6</v>
      </c>
      <c r="P160" s="61">
        <f t="shared" ref="P160" si="264">IF(C160=1,O160*1,IF(C160=2,O160*2,IF(C160=3,O160*2.15,IF(C160=4,O160*2.41,IF(C160=5,O160*2.7,"ошибка")))))</f>
        <v>39.42</v>
      </c>
      <c r="Q160" s="61">
        <f t="shared" si="216"/>
        <v>10.199999999999999</v>
      </c>
      <c r="R160" s="61">
        <f t="shared" si="257"/>
        <v>0.7</v>
      </c>
      <c r="S160" s="61">
        <f t="shared" si="217"/>
        <v>1.8</v>
      </c>
      <c r="T160" s="61">
        <f t="shared" si="261"/>
        <v>43.02</v>
      </c>
      <c r="U160" s="201">
        <f t="shared" si="227"/>
        <v>2</v>
      </c>
      <c r="V160" s="203">
        <f t="shared" si="226"/>
        <v>0.25</v>
      </c>
      <c r="W160" s="37" t="s">
        <v>40</v>
      </c>
      <c r="X160" s="202">
        <f t="shared" si="262"/>
        <v>50</v>
      </c>
      <c r="Y160" s="201">
        <f t="shared" si="240"/>
        <v>35</v>
      </c>
      <c r="Z160" s="61">
        <f t="shared" si="241"/>
        <v>44.02</v>
      </c>
      <c r="AA160" s="262">
        <f t="shared" si="242"/>
        <v>1.94</v>
      </c>
      <c r="AB160" s="262">
        <f t="shared" si="243"/>
        <v>2.4</v>
      </c>
      <c r="AC160" s="262">
        <f t="shared" si="244"/>
        <v>47.900000000000006</v>
      </c>
      <c r="AD160" s="262">
        <f t="shared" si="245"/>
        <v>48.82</v>
      </c>
      <c r="AE160" s="61">
        <f t="shared" si="236"/>
        <v>1226.359845</v>
      </c>
      <c r="AF160" s="262">
        <v>0</v>
      </c>
      <c r="AG160" s="61">
        <f t="shared" si="237"/>
        <v>511.31138479948351</v>
      </c>
      <c r="AH160" s="15">
        <f t="shared" si="246"/>
        <v>114.39795488781871</v>
      </c>
      <c r="AI160" s="271">
        <f t="shared" si="212"/>
        <v>701.99112433772245</v>
      </c>
      <c r="AJ160" s="262">
        <f t="shared" si="247"/>
        <v>394.58001605228145</v>
      </c>
      <c r="AK160" s="262">
        <f t="shared" si="248"/>
        <v>538.99777370074275</v>
      </c>
      <c r="AL160" s="61">
        <f t="shared" si="249"/>
        <v>3487.6380987780485</v>
      </c>
      <c r="AM160" s="326">
        <f t="shared" si="250"/>
        <v>1244.76</v>
      </c>
      <c r="AN160" s="265">
        <f t="shared" si="251"/>
        <v>0</v>
      </c>
      <c r="AO160" s="326">
        <f t="shared" si="252"/>
        <v>527.66999999999996</v>
      </c>
      <c r="AP160" s="326">
        <f t="shared" si="253"/>
        <v>118.06</v>
      </c>
      <c r="AQ160" s="326">
        <f t="shared" si="254"/>
        <v>724.45</v>
      </c>
      <c r="AR160" s="326">
        <f t="shared" si="255"/>
        <v>406.42</v>
      </c>
      <c r="AS160" s="326">
        <f t="shared" si="256"/>
        <v>556.25</v>
      </c>
    </row>
    <row r="161" spans="1:45" s="207" customFormat="1" outlineLevel="2" x14ac:dyDescent="0.25">
      <c r="A161" s="354">
        <v>40206912</v>
      </c>
      <c r="B161" s="272" t="str">
        <f t="shared" si="228"/>
        <v>Кабель АВБШв 5*120мк (N, PE) - 1 ГОСТ 31996-2012</v>
      </c>
      <c r="C161" s="257">
        <v>5</v>
      </c>
      <c r="D161" s="34" t="s">
        <v>40</v>
      </c>
      <c r="E161" s="289">
        <v>120</v>
      </c>
      <c r="F161" s="275" t="str">
        <f t="shared" si="238"/>
        <v>мк</v>
      </c>
      <c r="G161" s="274">
        <v>19</v>
      </c>
      <c r="H161" s="34" t="s">
        <v>40</v>
      </c>
      <c r="I161" s="256">
        <v>2.87</v>
      </c>
      <c r="J161" s="61">
        <v>114.09</v>
      </c>
      <c r="K161" s="262">
        <v>12.8</v>
      </c>
      <c r="L161" s="15">
        <f t="shared" si="229"/>
        <v>1.4300000000000002</v>
      </c>
      <c r="M161" s="61">
        <f t="shared" si="225"/>
        <v>1.7000000000000002</v>
      </c>
      <c r="N161" s="61">
        <f t="shared" ref="N161:N164" si="265">IF(G161=1,I161+2*L161,K161+2*L161)</f>
        <v>15.66</v>
      </c>
      <c r="O161" s="61">
        <f t="shared" ref="O161:O164" si="266">IF(G161=1,I161+2*M161,K161+2*M161)</f>
        <v>16.200000000000003</v>
      </c>
      <c r="P161" s="61">
        <f t="shared" ref="P161:P164" si="267">IF(C161=1,O161*1,IF(C161=2,O161*2,IF(C161=3,O161*2.15,IF(C161=4,O161*2.41,IF(C161=5,O161*2.7,"ошибка")))))</f>
        <v>43.740000000000009</v>
      </c>
      <c r="Q161" s="61">
        <f t="shared" si="216"/>
        <v>11.4</v>
      </c>
      <c r="R161" s="61">
        <f t="shared" si="257"/>
        <v>0.7</v>
      </c>
      <c r="S161" s="61">
        <f t="shared" si="217"/>
        <v>1.8</v>
      </c>
      <c r="T161" s="61">
        <f t="shared" ref="T161:T164" si="268">P161+2*S161</f>
        <v>47.340000000000011</v>
      </c>
      <c r="U161" s="201">
        <f t="shared" si="227"/>
        <v>2</v>
      </c>
      <c r="V161" s="203">
        <f t="shared" si="226"/>
        <v>0.5</v>
      </c>
      <c r="W161" s="37" t="s">
        <v>40</v>
      </c>
      <c r="X161" s="202">
        <f t="shared" ref="X161:X164" si="269">IF(AND(T161&gt;7,T161&lt;=10),15,IF(AND(T161&gt;10,T161&lt;=13),20,IF(AND(T161&gt;13,T161&lt;=21),30,IF(AND(T161&gt;21,T161&lt;=31),40,IF(AND(T161&gt;31,T161&lt;=70),50,IF(AND(T161&gt;70,T161&lt;=80),60,"ошибка"))))))</f>
        <v>50</v>
      </c>
      <c r="Y161" s="201">
        <f t="shared" si="240"/>
        <v>35</v>
      </c>
      <c r="Z161" s="61">
        <f t="shared" si="241"/>
        <v>49.340000000000011</v>
      </c>
      <c r="AA161" s="262">
        <f t="shared" si="242"/>
        <v>1.94</v>
      </c>
      <c r="AB161" s="262">
        <f t="shared" si="243"/>
        <v>2.4</v>
      </c>
      <c r="AC161" s="262">
        <f t="shared" si="244"/>
        <v>53.220000000000013</v>
      </c>
      <c r="AD161" s="262">
        <f t="shared" si="245"/>
        <v>54.140000000000008</v>
      </c>
      <c r="AE161" s="61">
        <f t="shared" si="236"/>
        <v>1550.9965050000001</v>
      </c>
      <c r="AF161" s="262">
        <v>0</v>
      </c>
      <c r="AG161" s="61">
        <f t="shared" si="237"/>
        <v>574.72985113120251</v>
      </c>
      <c r="AH161" s="15">
        <f t="shared" si="246"/>
        <v>142.89848344118533</v>
      </c>
      <c r="AI161" s="271">
        <f t="shared" si="212"/>
        <v>823.03979935966493</v>
      </c>
      <c r="AJ161" s="262">
        <f t="shared" si="247"/>
        <v>876.56240698379065</v>
      </c>
      <c r="AK161" s="262">
        <f t="shared" si="248"/>
        <v>600.77003040233592</v>
      </c>
      <c r="AL161" s="61">
        <f t="shared" si="249"/>
        <v>4568.9970763181791</v>
      </c>
      <c r="AM161" s="326">
        <f t="shared" si="250"/>
        <v>1574.26</v>
      </c>
      <c r="AN161" s="265">
        <f t="shared" si="251"/>
        <v>0</v>
      </c>
      <c r="AO161" s="326">
        <f t="shared" si="252"/>
        <v>593.12</v>
      </c>
      <c r="AP161" s="326">
        <f t="shared" si="253"/>
        <v>147.47</v>
      </c>
      <c r="AQ161" s="326">
        <f t="shared" si="254"/>
        <v>849.38</v>
      </c>
      <c r="AR161" s="326">
        <f t="shared" si="255"/>
        <v>902.86</v>
      </c>
      <c r="AS161" s="326">
        <f t="shared" si="256"/>
        <v>619.99</v>
      </c>
    </row>
    <row r="162" spans="1:45" s="207" customFormat="1" outlineLevel="2" x14ac:dyDescent="0.25">
      <c r="A162" s="354">
        <v>40207025</v>
      </c>
      <c r="B162" s="272" t="str">
        <f t="shared" si="228"/>
        <v>Кабель АВБШв 5*150мк (N, PE) - 1 ГОСТ 31996-2012</v>
      </c>
      <c r="C162" s="257">
        <v>5</v>
      </c>
      <c r="D162" s="34" t="s">
        <v>40</v>
      </c>
      <c r="E162" s="289">
        <v>150</v>
      </c>
      <c r="F162" s="275" t="str">
        <f t="shared" si="238"/>
        <v>мк</v>
      </c>
      <c r="G162" s="274">
        <v>19</v>
      </c>
      <c r="H162" s="34" t="s">
        <v>40</v>
      </c>
      <c r="I162" s="256">
        <v>3.15</v>
      </c>
      <c r="J162" s="61">
        <v>140.13</v>
      </c>
      <c r="K162" s="262">
        <v>14.1</v>
      </c>
      <c r="L162" s="15">
        <f t="shared" si="229"/>
        <v>1.61</v>
      </c>
      <c r="M162" s="61">
        <f t="shared" si="225"/>
        <v>1.9000000000000001</v>
      </c>
      <c r="N162" s="61">
        <f t="shared" si="265"/>
        <v>17.32</v>
      </c>
      <c r="O162" s="61">
        <f t="shared" si="266"/>
        <v>17.899999999999999</v>
      </c>
      <c r="P162" s="61">
        <f t="shared" si="267"/>
        <v>48.33</v>
      </c>
      <c r="Q162" s="61">
        <f t="shared" si="216"/>
        <v>12.6</v>
      </c>
      <c r="R162" s="61">
        <f t="shared" si="257"/>
        <v>0.8</v>
      </c>
      <c r="S162" s="61">
        <f t="shared" si="217"/>
        <v>2</v>
      </c>
      <c r="T162" s="61">
        <f t="shared" si="268"/>
        <v>52.33</v>
      </c>
      <c r="U162" s="201">
        <f t="shared" si="227"/>
        <v>2</v>
      </c>
      <c r="V162" s="203">
        <f t="shared" si="226"/>
        <v>0.5</v>
      </c>
      <c r="W162" s="37" t="s">
        <v>40</v>
      </c>
      <c r="X162" s="202">
        <f t="shared" si="269"/>
        <v>50</v>
      </c>
      <c r="Y162" s="201">
        <f t="shared" si="240"/>
        <v>35</v>
      </c>
      <c r="Z162" s="61">
        <f t="shared" si="241"/>
        <v>54.33</v>
      </c>
      <c r="AA162" s="262">
        <f t="shared" si="242"/>
        <v>2.11</v>
      </c>
      <c r="AB162" s="262">
        <f t="shared" si="243"/>
        <v>2.6</v>
      </c>
      <c r="AC162" s="262">
        <f t="shared" si="244"/>
        <v>58.55</v>
      </c>
      <c r="AD162" s="262">
        <f t="shared" si="245"/>
        <v>59.53</v>
      </c>
      <c r="AE162" s="61">
        <f t="shared" si="236"/>
        <v>1904.9972849999999</v>
      </c>
      <c r="AF162" s="262">
        <v>0</v>
      </c>
      <c r="AG162" s="61">
        <f t="shared" si="237"/>
        <v>708.79462370744648</v>
      </c>
      <c r="AH162" s="15">
        <f t="shared" si="246"/>
        <v>174.56573738937041</v>
      </c>
      <c r="AI162" s="271">
        <f t="shared" si="212"/>
        <v>1007.3966785049015</v>
      </c>
      <c r="AJ162" s="262">
        <f t="shared" si="247"/>
        <v>967.04743823842682</v>
      </c>
      <c r="AK162" s="262">
        <f t="shared" si="248"/>
        <v>716.11888255454323</v>
      </c>
      <c r="AL162" s="61">
        <f t="shared" si="249"/>
        <v>5478.9206453946881</v>
      </c>
      <c r="AM162" s="326">
        <f t="shared" si="250"/>
        <v>1933.57</v>
      </c>
      <c r="AN162" s="265">
        <f t="shared" si="251"/>
        <v>0</v>
      </c>
      <c r="AO162" s="326">
        <f t="shared" si="252"/>
        <v>731.48</v>
      </c>
      <c r="AP162" s="326">
        <f t="shared" si="253"/>
        <v>180.15</v>
      </c>
      <c r="AQ162" s="326">
        <f t="shared" si="254"/>
        <v>1039.6300000000001</v>
      </c>
      <c r="AR162" s="326">
        <f t="shared" si="255"/>
        <v>996.06</v>
      </c>
      <c r="AS162" s="326">
        <f t="shared" si="256"/>
        <v>739.03</v>
      </c>
    </row>
    <row r="163" spans="1:45" s="207" customFormat="1" outlineLevel="2" x14ac:dyDescent="0.25">
      <c r="A163" s="318"/>
      <c r="B163" s="357" t="str">
        <f t="shared" si="228"/>
        <v>Кабель АВБШв 5*185мк (N, PE) - 1 ГОСТ 31996-2012</v>
      </c>
      <c r="C163" s="257">
        <v>5</v>
      </c>
      <c r="D163" s="34" t="s">
        <v>40</v>
      </c>
      <c r="E163" s="289">
        <v>185</v>
      </c>
      <c r="F163" s="275" t="str">
        <f t="shared" si="238"/>
        <v>мк</v>
      </c>
      <c r="G163" s="274">
        <v>37</v>
      </c>
      <c r="H163" s="34" t="s">
        <v>40</v>
      </c>
      <c r="I163" s="256">
        <v>2.5</v>
      </c>
      <c r="J163" s="61">
        <v>176.01</v>
      </c>
      <c r="K163" s="262">
        <v>15.8</v>
      </c>
      <c r="L163" s="15">
        <f t="shared" si="229"/>
        <v>1.79</v>
      </c>
      <c r="M163" s="61">
        <f t="shared" si="225"/>
        <v>2.1</v>
      </c>
      <c r="N163" s="61">
        <f t="shared" si="265"/>
        <v>19.380000000000003</v>
      </c>
      <c r="O163" s="61">
        <f t="shared" si="266"/>
        <v>20</v>
      </c>
      <c r="P163" s="61">
        <f t="shared" si="267"/>
        <v>54</v>
      </c>
      <c r="Q163" s="61">
        <f t="shared" si="216"/>
        <v>14</v>
      </c>
      <c r="R163" s="61">
        <f t="shared" si="257"/>
        <v>0.8</v>
      </c>
      <c r="S163" s="61">
        <f t="shared" si="217"/>
        <v>2</v>
      </c>
      <c r="T163" s="61">
        <f t="shared" si="268"/>
        <v>58</v>
      </c>
      <c r="U163" s="201">
        <f t="shared" si="227"/>
        <v>2</v>
      </c>
      <c r="V163" s="203">
        <f t="shared" si="226"/>
        <v>0.5</v>
      </c>
      <c r="W163" s="37" t="s">
        <v>40</v>
      </c>
      <c r="X163" s="202">
        <f t="shared" si="269"/>
        <v>50</v>
      </c>
      <c r="Y163" s="201">
        <f t="shared" si="240"/>
        <v>35</v>
      </c>
      <c r="Z163" s="61">
        <f t="shared" si="241"/>
        <v>60</v>
      </c>
      <c r="AA163" s="262">
        <f t="shared" si="242"/>
        <v>2.11</v>
      </c>
      <c r="AB163" s="262">
        <f t="shared" si="243"/>
        <v>2.6</v>
      </c>
      <c r="AC163" s="262">
        <f t="shared" si="244"/>
        <v>64.22</v>
      </c>
      <c r="AD163" s="262">
        <f t="shared" si="245"/>
        <v>65.2</v>
      </c>
      <c r="AE163" s="61">
        <f t="shared" si="236"/>
        <v>2392.7679450000001</v>
      </c>
      <c r="AF163" s="262">
        <v>0</v>
      </c>
      <c r="AG163" s="61">
        <f t="shared" si="237"/>
        <v>876.43387845930636</v>
      </c>
      <c r="AH163" s="15">
        <f t="shared" si="246"/>
        <v>215.51325603625978</v>
      </c>
      <c r="AI163" s="271">
        <f t="shared" si="212"/>
        <v>1197.5371238450757</v>
      </c>
      <c r="AJ163" s="262">
        <f t="shared" si="247"/>
        <v>1069.8630949946967</v>
      </c>
      <c r="AK163" s="262">
        <f t="shared" si="248"/>
        <v>787.44145525934323</v>
      </c>
      <c r="AL163" s="61">
        <f t="shared" si="249"/>
        <v>6539.556753594682</v>
      </c>
      <c r="AM163" s="326">
        <f t="shared" si="250"/>
        <v>2428.66</v>
      </c>
      <c r="AN163" s="265">
        <f t="shared" si="251"/>
        <v>0</v>
      </c>
      <c r="AO163" s="326">
        <f t="shared" si="252"/>
        <v>904.48</v>
      </c>
      <c r="AP163" s="326">
        <f t="shared" si="253"/>
        <v>222.41</v>
      </c>
      <c r="AQ163" s="326">
        <f t="shared" si="254"/>
        <v>1235.8599999999999</v>
      </c>
      <c r="AR163" s="326">
        <f t="shared" si="255"/>
        <v>1101.96</v>
      </c>
      <c r="AS163" s="326">
        <f t="shared" si="256"/>
        <v>812.64</v>
      </c>
    </row>
    <row r="164" spans="1:45" s="207" customFormat="1" outlineLevel="2" x14ac:dyDescent="0.25">
      <c r="A164" s="318"/>
      <c r="B164" s="357" t="str">
        <f t="shared" si="228"/>
        <v>Кабель АВБШв 5*240мк (N, PE) - 1 ГОСТ 31996-2012</v>
      </c>
      <c r="C164" s="257">
        <v>5</v>
      </c>
      <c r="D164" s="34" t="s">
        <v>40</v>
      </c>
      <c r="E164" s="289">
        <v>240</v>
      </c>
      <c r="F164" s="275" t="str">
        <f t="shared" si="238"/>
        <v>мк</v>
      </c>
      <c r="G164" s="274">
        <v>37</v>
      </c>
      <c r="H164" s="34" t="s">
        <v>40</v>
      </c>
      <c r="I164" s="256">
        <v>2.87</v>
      </c>
      <c r="J164" s="61">
        <v>230.93</v>
      </c>
      <c r="K164" s="262">
        <v>18.399999999999999</v>
      </c>
      <c r="L164" s="15">
        <f t="shared" si="229"/>
        <v>1.9700000000000002</v>
      </c>
      <c r="M164" s="61">
        <f t="shared" si="225"/>
        <v>2.3000000000000003</v>
      </c>
      <c r="N164" s="61">
        <f t="shared" si="265"/>
        <v>22.34</v>
      </c>
      <c r="O164" s="61">
        <f t="shared" si="266"/>
        <v>23</v>
      </c>
      <c r="P164" s="61">
        <f t="shared" si="267"/>
        <v>62.1</v>
      </c>
      <c r="Q164" s="61">
        <f t="shared" si="216"/>
        <v>16.100000000000001</v>
      </c>
      <c r="R164" s="61">
        <f t="shared" si="257"/>
        <v>0.9</v>
      </c>
      <c r="S164" s="61">
        <f t="shared" si="217"/>
        <v>2.2999999999999998</v>
      </c>
      <c r="T164" s="61">
        <f t="shared" si="268"/>
        <v>66.7</v>
      </c>
      <c r="U164" s="201">
        <f t="shared" si="227"/>
        <v>2</v>
      </c>
      <c r="V164" s="203">
        <f t="shared" si="226"/>
        <v>0.5</v>
      </c>
      <c r="W164" s="37" t="s">
        <v>40</v>
      </c>
      <c r="X164" s="202">
        <f t="shared" si="269"/>
        <v>50</v>
      </c>
      <c r="Y164" s="201">
        <f t="shared" si="240"/>
        <v>35</v>
      </c>
      <c r="Z164" s="61">
        <f t="shared" si="241"/>
        <v>68.7</v>
      </c>
      <c r="AA164" s="262">
        <f t="shared" si="242"/>
        <v>2.5349999999999997</v>
      </c>
      <c r="AB164" s="262">
        <f t="shared" si="243"/>
        <v>3.1</v>
      </c>
      <c r="AC164" s="262">
        <f t="shared" si="244"/>
        <v>73.77</v>
      </c>
      <c r="AD164" s="262">
        <f t="shared" si="245"/>
        <v>74.900000000000006</v>
      </c>
      <c r="AE164" s="61">
        <f>IF(G164=1,PI()*I164^2/4,J164)*$AE$9*C164*IF(C164&gt;1,1.007,1)</f>
        <v>3139.3778849999999</v>
      </c>
      <c r="AF164" s="262">
        <v>0</v>
      </c>
      <c r="AG164" s="61">
        <f t="shared" si="237"/>
        <v>1110.0563169313002</v>
      </c>
      <c r="AH164" s="15">
        <f t="shared" si="246"/>
        <v>285.0162811079536</v>
      </c>
      <c r="AI164" s="271">
        <f t="shared" si="212"/>
        <v>1583.7428462851133</v>
      </c>
      <c r="AJ164" s="262">
        <f t="shared" si="247"/>
        <v>1227.6225683244234</v>
      </c>
      <c r="AK164" s="262">
        <f t="shared" si="248"/>
        <v>1076.8537669674649</v>
      </c>
      <c r="AL164" s="61">
        <f t="shared" si="249"/>
        <v>8422.6696646162545</v>
      </c>
      <c r="AM164" s="326">
        <f t="shared" si="250"/>
        <v>3186.47</v>
      </c>
      <c r="AN164" s="265">
        <f t="shared" si="251"/>
        <v>0</v>
      </c>
      <c r="AO164" s="326">
        <f t="shared" si="252"/>
        <v>1145.58</v>
      </c>
      <c r="AP164" s="326">
        <f t="shared" si="253"/>
        <v>294.14</v>
      </c>
      <c r="AQ164" s="326">
        <f t="shared" si="254"/>
        <v>1634.42</v>
      </c>
      <c r="AR164" s="326">
        <f t="shared" si="255"/>
        <v>1264.45</v>
      </c>
      <c r="AS164" s="326">
        <f t="shared" si="256"/>
        <v>1111.31</v>
      </c>
    </row>
    <row r="165" spans="1:45" s="210" customFormat="1" outlineLevel="1" x14ac:dyDescent="0.25">
      <c r="A165" s="359">
        <v>5</v>
      </c>
      <c r="C165" s="292"/>
      <c r="D165" s="211"/>
      <c r="E165" s="211"/>
      <c r="F165" s="212"/>
      <c r="G165" s="212"/>
      <c r="H165" s="196"/>
      <c r="I165" s="196"/>
      <c r="J165" s="196"/>
      <c r="K165" s="197"/>
      <c r="L165" s="215"/>
      <c r="M165" s="196"/>
      <c r="N165" s="196"/>
      <c r="O165" s="196"/>
      <c r="P165" s="196"/>
      <c r="Q165" s="196"/>
      <c r="R165" s="196"/>
      <c r="S165" s="196"/>
      <c r="T165" s="196"/>
      <c r="U165" s="213"/>
      <c r="V165" s="196"/>
      <c r="W165" s="196"/>
      <c r="X165" s="196"/>
      <c r="Y165" s="196"/>
      <c r="Z165" s="196"/>
      <c r="AA165" s="197"/>
      <c r="AB165" s="197"/>
      <c r="AC165" s="197"/>
      <c r="AD165" s="197"/>
      <c r="AE165" s="214"/>
      <c r="AF165" s="214"/>
      <c r="AG165" s="196"/>
      <c r="AH165" s="215"/>
      <c r="AI165" s="197"/>
      <c r="AJ165" s="197"/>
      <c r="AK165" s="197"/>
      <c r="AL165" s="196"/>
    </row>
    <row r="166" spans="1:45" x14ac:dyDescent="0.25">
      <c r="A166" s="321" t="s">
        <v>99</v>
      </c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</row>
    <row r="169" spans="1:45" ht="13.8" x14ac:dyDescent="0.25">
      <c r="C169" s="206"/>
      <c r="D169" s="183"/>
      <c r="E169" s="290"/>
      <c r="F169" s="183"/>
      <c r="G169" s="183"/>
      <c r="H169" s="183"/>
      <c r="I169" s="183"/>
      <c r="J169" s="183"/>
      <c r="K169" s="191"/>
      <c r="L169" s="183"/>
      <c r="M169" s="183"/>
      <c r="N169" s="183"/>
      <c r="O169" s="183"/>
      <c r="P169" s="184"/>
      <c r="Q169" s="183"/>
      <c r="R169" s="183"/>
      <c r="S169" s="183"/>
      <c r="T169" s="209"/>
      <c r="U169" s="192"/>
      <c r="V169" s="184"/>
      <c r="W169" s="184"/>
      <c r="X169" s="184"/>
      <c r="Y169" s="184"/>
      <c r="Z169" s="184"/>
      <c r="AA169" s="183"/>
      <c r="AB169" s="183"/>
      <c r="AC169" s="183"/>
      <c r="AD169" s="183"/>
      <c r="AE169" s="185"/>
      <c r="AF169" s="185"/>
      <c r="AG169" s="183"/>
      <c r="AH169" s="184"/>
      <c r="AI169" s="184"/>
      <c r="AJ169" s="184"/>
      <c r="AK169" s="184"/>
      <c r="AL169" s="183"/>
    </row>
  </sheetData>
  <mergeCells count="42">
    <mergeCell ref="AJ5:AJ8"/>
    <mergeCell ref="AK5:AK8"/>
    <mergeCell ref="AE3:AK4"/>
    <mergeCell ref="AL3:AL9"/>
    <mergeCell ref="AE5:AE8"/>
    <mergeCell ref="AF5:AF8"/>
    <mergeCell ref="AG5:AG8"/>
    <mergeCell ref="AH5:AH8"/>
    <mergeCell ref="AI5:AI8"/>
    <mergeCell ref="AD7:AD9"/>
    <mergeCell ref="U3:Z4"/>
    <mergeCell ref="Z5:Z9"/>
    <mergeCell ref="Y5:Y8"/>
    <mergeCell ref="V5:X8"/>
    <mergeCell ref="U5:U8"/>
    <mergeCell ref="AA3:AD4"/>
    <mergeCell ref="AA5:AB6"/>
    <mergeCell ref="AC5:AD6"/>
    <mergeCell ref="AA7:AA9"/>
    <mergeCell ref="AB7:AB9"/>
    <mergeCell ref="AC7:AC9"/>
    <mergeCell ref="L7:L9"/>
    <mergeCell ref="M7:M9"/>
    <mergeCell ref="N7:N9"/>
    <mergeCell ref="O7:O9"/>
    <mergeCell ref="R3:T4"/>
    <mergeCell ref="R7:R9"/>
    <mergeCell ref="S7:S9"/>
    <mergeCell ref="T7:T9"/>
    <mergeCell ref="R5:S6"/>
    <mergeCell ref="T5:T6"/>
    <mergeCell ref="L3:O4"/>
    <mergeCell ref="P3:P9"/>
    <mergeCell ref="Q3:Q9"/>
    <mergeCell ref="L5:M6"/>
    <mergeCell ref="N5:O6"/>
    <mergeCell ref="C3:F9"/>
    <mergeCell ref="G3:I9"/>
    <mergeCell ref="K3:K9"/>
    <mergeCell ref="A3:A9"/>
    <mergeCell ref="J3:J9"/>
    <mergeCell ref="B3:B9"/>
  </mergeCells>
  <conditionalFormatting sqref="M10:M164">
    <cfRule type="containsText" dxfId="86" priority="60" operator="containsText" text="неверно">
      <formula>NOT(ISERROR(SEARCH("неверно",M10)))</formula>
    </cfRule>
  </conditionalFormatting>
  <conditionalFormatting sqref="P10:P79 X10:X28 X138:X147 X149:X164 X41:X80 X102:X136 X82:X100">
    <cfRule type="containsText" dxfId="85" priority="59" operator="containsText" text="ошибка">
      <formula>NOT(ISERROR(SEARCH("ошибка",P10)))</formula>
    </cfRule>
  </conditionalFormatting>
  <conditionalFormatting sqref="A1:AL1 AM1:XFD9 AL3 A2:B2 G2:AL2 Z6:AD8 I160:K160 Y5:AE5 A3:A9 A10:D10 C3:AE3 C4:AD4 C5:T9 D28 D41 D54 D67 D80 D101 D148 D165:XFD165 G101:I101 G161:K164 G160 C11:D27 C149:D164 C93:D100 C68:D79 C55:D66 C29:D40 C42:D53 E10:E80 A135:A136 AH10:AH28 AM137:XFD137 V5 V9:AE9 G10:AG10 G11:L80 A81:L81 A166:XFD1048576 L149:L164 G93:L100 L138:L147 AJ122:XFD136 AJ149:XFD164 G118:K129 A118:E134 L102:L136 A102:A117 N102:P136 N138:P147 N149:P164 W11:AG28 W149:AH164 W138:AH147 W122:AH136 W102:AL118 AM101:XFD118 AM148:XFD148 A11:B80 B119:B136 G148:K159 E148:E164 AI122:AI164 A137:B165 C138:D147 AJ138:XFD147 W119:XFD121 AM119:AS128 E93:E101 AI10:XFD81 A82:B101 L82:L92 M11:M164 N11:P100 R34:R100 R149:R164 R138:R147 R102:R136 Q11:Q164 T11:U27 T28 R11:S33 T102:U136 T138:U147 T149:U164 T81:U100 T29:U40 T41 T42:U53 T54 T55:U66 T67 T68:U79 T80 S34:S164 V11:V164 AI82:AI101 AJ82:XFD100 W41:AH100">
    <cfRule type="cellIs" dxfId="84" priority="57" operator="equal">
      <formula>0</formula>
    </cfRule>
  </conditionalFormatting>
  <conditionalFormatting sqref="AF9:AK9 AF5:AK5">
    <cfRule type="cellIs" dxfId="83" priority="56" operator="equal">
      <formula>0</formula>
    </cfRule>
  </conditionalFormatting>
  <conditionalFormatting sqref="H160">
    <cfRule type="cellIs" dxfId="82" priority="55" operator="equal">
      <formula>0</formula>
    </cfRule>
  </conditionalFormatting>
  <conditionalFormatting sqref="J101:K101 K137">
    <cfRule type="cellIs" dxfId="81" priority="50" operator="equal">
      <formula>0</formula>
    </cfRule>
  </conditionalFormatting>
  <conditionalFormatting sqref="G137:J137">
    <cfRule type="cellIs" dxfId="80" priority="49" operator="equal">
      <formula>0</formula>
    </cfRule>
  </conditionalFormatting>
  <conditionalFormatting sqref="D137:E137">
    <cfRule type="cellIs" dxfId="79" priority="48" operator="equal">
      <formula>0</formula>
    </cfRule>
  </conditionalFormatting>
  <conditionalFormatting sqref="B3:B9">
    <cfRule type="cellIs" dxfId="78" priority="46" operator="equal">
      <formula>0</formula>
    </cfRule>
  </conditionalFormatting>
  <conditionalFormatting sqref="U80">
    <cfRule type="cellIs" dxfId="77" priority="19" operator="equal">
      <formula>0</formula>
    </cfRule>
  </conditionalFormatting>
  <conditionalFormatting sqref="U67">
    <cfRule type="cellIs" dxfId="76" priority="18" operator="equal">
      <formula>0</formula>
    </cfRule>
  </conditionalFormatting>
  <conditionalFormatting sqref="B135:B136">
    <cfRule type="cellIs" dxfId="75" priority="35" operator="equal">
      <formula>0</formula>
    </cfRule>
  </conditionalFormatting>
  <conditionalFormatting sqref="G135:K136 C135:E136">
    <cfRule type="cellIs" dxfId="74" priority="34" operator="equal">
      <formula>0</formula>
    </cfRule>
  </conditionalFormatting>
  <conditionalFormatting sqref="I130:K130 G131:K134 G130">
    <cfRule type="cellIs" dxfId="73" priority="37" operator="equal">
      <formula>0</formula>
    </cfRule>
  </conditionalFormatting>
  <conditionalFormatting sqref="H130">
    <cfRule type="cellIs" dxfId="72" priority="36" operator="equal">
      <formula>0</formula>
    </cfRule>
  </conditionalFormatting>
  <conditionalFormatting sqref="L101 N101:P101">
    <cfRule type="cellIs" dxfId="71" priority="33" operator="equal">
      <formula>0</formula>
    </cfRule>
  </conditionalFormatting>
  <conditionalFormatting sqref="L137 N137:P137">
    <cfRule type="cellIs" dxfId="70" priority="31" operator="equal">
      <formula>0</formula>
    </cfRule>
  </conditionalFormatting>
  <conditionalFormatting sqref="L148 N148:P148">
    <cfRule type="cellIs" dxfId="69" priority="30" operator="equal">
      <formula>0</formula>
    </cfRule>
  </conditionalFormatting>
  <conditionalFormatting sqref="R101 W101:AD101 AF101:AH101 AJ101:AL101 T101">
    <cfRule type="cellIs" dxfId="68" priority="29" operator="equal">
      <formula>0</formula>
    </cfRule>
  </conditionalFormatting>
  <conditionalFormatting sqref="W29:AH40">
    <cfRule type="cellIs" dxfId="67" priority="8" operator="equal">
      <formula>0</formula>
    </cfRule>
  </conditionalFormatting>
  <conditionalFormatting sqref="R137 W137:AD137 AF137:AH137 AJ137:AL137 T137">
    <cfRule type="cellIs" dxfId="66" priority="26" operator="equal">
      <formula>0</formula>
    </cfRule>
  </conditionalFormatting>
  <conditionalFormatting sqref="R148 W148:AD148 AF148:AH148 AJ148:AL148 T148">
    <cfRule type="cellIs" dxfId="65" priority="25" operator="equal">
      <formula>0</formula>
    </cfRule>
  </conditionalFormatting>
  <conditionalFormatting sqref="U5 U9">
    <cfRule type="cellIs" dxfId="64" priority="24" operator="equal">
      <formula>0</formula>
    </cfRule>
  </conditionalFormatting>
  <conditionalFormatting sqref="U148">
    <cfRule type="cellIs" dxfId="63" priority="23" operator="equal">
      <formula>0</formula>
    </cfRule>
  </conditionalFormatting>
  <conditionalFormatting sqref="U137">
    <cfRule type="cellIs" dxfId="62" priority="22" operator="equal">
      <formula>0</formula>
    </cfRule>
  </conditionalFormatting>
  <conditionalFormatting sqref="U101">
    <cfRule type="cellIs" dxfId="61" priority="20" operator="equal">
      <formula>0</formula>
    </cfRule>
  </conditionalFormatting>
  <conditionalFormatting sqref="U54">
    <cfRule type="cellIs" dxfId="60" priority="17" operator="equal">
      <formula>0</formula>
    </cfRule>
  </conditionalFormatting>
  <conditionalFormatting sqref="U41">
    <cfRule type="cellIs" dxfId="59" priority="16" operator="equal">
      <formula>0</formula>
    </cfRule>
  </conditionalFormatting>
  <conditionalFormatting sqref="U28">
    <cfRule type="cellIs" dxfId="58" priority="15" operator="equal">
      <formula>0</formula>
    </cfRule>
  </conditionalFormatting>
  <conditionalFormatting sqref="AE101">
    <cfRule type="cellIs" dxfId="57" priority="13" operator="equal">
      <formula>0</formula>
    </cfRule>
  </conditionalFormatting>
  <conditionalFormatting sqref="AE137">
    <cfRule type="cellIs" dxfId="56" priority="11" operator="equal">
      <formula>0</formula>
    </cfRule>
  </conditionalFormatting>
  <conditionalFormatting sqref="AE148">
    <cfRule type="cellIs" dxfId="55" priority="10" operator="equal">
      <formula>0</formula>
    </cfRule>
  </conditionalFormatting>
  <conditionalFormatting sqref="X29:X40">
    <cfRule type="containsText" dxfId="54" priority="9" operator="containsText" text="ошибка">
      <formula>NOT(ISERROR(SEARCH("ошибка",X29)))</formula>
    </cfRule>
  </conditionalFormatting>
  <conditionalFormatting sqref="H113">
    <cfRule type="cellIs" dxfId="53" priority="5" operator="equal">
      <formula>0</formula>
    </cfRule>
  </conditionalFormatting>
  <conditionalFormatting sqref="B102:B117">
    <cfRule type="cellIs" dxfId="52" priority="7" operator="equal">
      <formula>0</formula>
    </cfRule>
  </conditionalFormatting>
  <conditionalFormatting sqref="I113:K113 G114:K117 G113 G102:K112 C102:E117">
    <cfRule type="cellIs" dxfId="51" priority="6" operator="equal">
      <formula>0</formula>
    </cfRule>
  </conditionalFormatting>
  <conditionalFormatting sqref="B102:B117">
    <cfRule type="cellIs" dxfId="50" priority="4" operator="equal">
      <formula>0</formula>
    </cfRule>
  </conditionalFormatting>
  <conditionalFormatting sqref="G138:K147 E138:E147">
    <cfRule type="cellIs" dxfId="49" priority="3" operator="equal">
      <formula>0</formula>
    </cfRule>
  </conditionalFormatting>
  <conditionalFormatting sqref="C82:E92 G82:K92">
    <cfRule type="cellIs" dxfId="4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H92"/>
  <sheetViews>
    <sheetView zoomScale="80" zoomScaleNormal="80" workbookViewId="0">
      <pane xSplit="6" ySplit="8" topLeftCell="AK9" activePane="bottomRight" state="frozen"/>
      <selection pane="topRight" activeCell="D1" sqref="D1"/>
      <selection pane="bottomLeft" activeCell="A8" sqref="A8"/>
      <selection pane="bottomRight" activeCell="B46" sqref="B46"/>
    </sheetView>
  </sheetViews>
  <sheetFormatPr defaultColWidth="9.109375" defaultRowHeight="13.2" outlineLevelRow="2" x14ac:dyDescent="0.25"/>
  <cols>
    <col min="1" max="1" width="10.44140625" style="315" customWidth="1"/>
    <col min="2" max="2" width="49" style="216" customWidth="1"/>
    <col min="3" max="3" width="3.109375" style="216" customWidth="1"/>
    <col min="4" max="4" width="2" style="216" bestFit="1" customWidth="1"/>
    <col min="5" max="5" width="5.33203125" style="216" customWidth="1"/>
    <col min="6" max="6" width="5.6640625" style="216" customWidth="1"/>
    <col min="7" max="7" width="3.6640625" style="216" customWidth="1"/>
    <col min="8" max="8" width="2" style="216" bestFit="1" customWidth="1"/>
    <col min="9" max="9" width="5.6640625" style="216" customWidth="1"/>
    <col min="10" max="10" width="8.33203125" style="216" customWidth="1"/>
    <col min="11" max="11" width="9" style="216" customWidth="1"/>
    <col min="12" max="12" width="8.88671875" style="216" customWidth="1"/>
    <col min="13" max="13" width="7" style="216" customWidth="1"/>
    <col min="14" max="15" width="8" style="216" customWidth="1"/>
    <col min="16" max="16" width="6.6640625" style="216" customWidth="1"/>
    <col min="17" max="17" width="9.109375" style="216"/>
    <col min="18" max="18" width="6" style="216" bestFit="1" customWidth="1"/>
    <col min="19" max="19" width="2" style="216" bestFit="1" customWidth="1"/>
    <col min="20" max="20" width="6" style="216" bestFit="1" customWidth="1"/>
    <col min="21" max="21" width="5.6640625" style="216" customWidth="1"/>
    <col min="22" max="22" width="2" style="216" bestFit="1" customWidth="1"/>
    <col min="23" max="23" width="5.88671875" style="216" customWidth="1"/>
    <col min="24" max="24" width="6.88671875" style="216" customWidth="1"/>
    <col min="25" max="25" width="6.109375" style="216" customWidth="1"/>
    <col min="26" max="26" width="5.88671875" style="216" customWidth="1"/>
    <col min="27" max="27" width="6.88671875" style="216" customWidth="1"/>
    <col min="28" max="28" width="2.109375" style="216" bestFit="1" customWidth="1"/>
    <col min="29" max="29" width="5.109375" style="216" customWidth="1"/>
    <col min="30" max="30" width="6.88671875" style="216" customWidth="1"/>
    <col min="31" max="33" width="9.109375" style="216"/>
    <col min="34" max="34" width="12.33203125" style="216" customWidth="1"/>
    <col min="35" max="35" width="6" style="216" customWidth="1"/>
    <col min="36" max="37" width="7.44140625" style="216" customWidth="1"/>
    <col min="38" max="40" width="7.6640625" style="216" customWidth="1"/>
    <col min="41" max="41" width="7" style="216" customWidth="1"/>
    <col min="42" max="42" width="7.6640625" style="216" customWidth="1"/>
    <col min="43" max="43" width="9.109375" style="216"/>
    <col min="44" max="51" width="10.6640625" style="216" customWidth="1"/>
    <col min="52" max="52" width="11.88671875" style="216" customWidth="1"/>
    <col min="53" max="53" width="11" style="216" bestFit="1" customWidth="1"/>
    <col min="54" max="54" width="12" style="216" bestFit="1" customWidth="1"/>
    <col min="55" max="55" width="11" style="216" bestFit="1" customWidth="1"/>
    <col min="56" max="56" width="9.44140625" style="216" bestFit="1" customWidth="1"/>
    <col min="57" max="57" width="9.109375" style="216"/>
    <col min="58" max="58" width="9.44140625" style="216" bestFit="1" customWidth="1"/>
    <col min="59" max="59" width="11" style="216" bestFit="1" customWidth="1"/>
    <col min="60" max="60" width="9.44140625" style="216" bestFit="1" customWidth="1"/>
    <col min="61" max="16384" width="9.109375" style="216"/>
  </cols>
  <sheetData>
    <row r="1" spans="1:52" x14ac:dyDescent="0.25">
      <c r="A1" s="296" t="s">
        <v>74</v>
      </c>
      <c r="B1" s="297"/>
      <c r="C1" s="297"/>
      <c r="D1" s="297"/>
      <c r="E1" s="297"/>
      <c r="F1" s="297"/>
    </row>
    <row r="2" spans="1:52" ht="16.5" customHeight="1" x14ac:dyDescent="0.25">
      <c r="A2" s="858" t="s">
        <v>122</v>
      </c>
      <c r="B2" s="812" t="s">
        <v>150</v>
      </c>
      <c r="C2" s="693" t="s">
        <v>46</v>
      </c>
      <c r="D2" s="691"/>
      <c r="E2" s="691"/>
      <c r="F2" s="694"/>
      <c r="G2" s="689" t="s">
        <v>27</v>
      </c>
      <c r="H2" s="691"/>
      <c r="I2" s="694"/>
      <c r="J2" s="864" t="s">
        <v>16</v>
      </c>
      <c r="K2" s="865"/>
      <c r="L2" s="865"/>
      <c r="M2" s="865"/>
      <c r="N2" s="865"/>
      <c r="O2" s="865"/>
      <c r="P2" s="866" t="s">
        <v>8</v>
      </c>
      <c r="Q2" s="867"/>
      <c r="R2" s="867"/>
      <c r="S2" s="867"/>
      <c r="T2" s="867"/>
      <c r="U2" s="867"/>
      <c r="V2" s="867"/>
      <c r="W2" s="868"/>
      <c r="X2" s="869" t="s">
        <v>149</v>
      </c>
      <c r="Y2" s="871" t="s">
        <v>139</v>
      </c>
      <c r="Z2" s="693" t="s">
        <v>90</v>
      </c>
      <c r="AA2" s="691"/>
      <c r="AB2" s="691"/>
      <c r="AC2" s="691"/>
      <c r="AD2" s="691"/>
      <c r="AE2" s="692"/>
      <c r="AF2" s="693" t="s">
        <v>128</v>
      </c>
      <c r="AG2" s="691"/>
      <c r="AH2" s="692"/>
      <c r="AI2" s="800" t="s">
        <v>142</v>
      </c>
      <c r="AJ2" s="801"/>
      <c r="AK2" s="801"/>
      <c r="AL2" s="801"/>
      <c r="AM2" s="801"/>
      <c r="AN2" s="801"/>
      <c r="AO2" s="693" t="s">
        <v>131</v>
      </c>
      <c r="AP2" s="691"/>
      <c r="AQ2" s="692"/>
      <c r="AR2" s="851" t="s">
        <v>9</v>
      </c>
      <c r="AS2" s="852"/>
      <c r="AT2" s="852"/>
      <c r="AU2" s="852"/>
      <c r="AV2" s="852"/>
      <c r="AW2" s="852"/>
      <c r="AX2" s="852"/>
      <c r="AY2" s="853"/>
      <c r="AZ2" s="644" t="s">
        <v>148</v>
      </c>
    </row>
    <row r="3" spans="1:52" ht="16.5" customHeight="1" x14ac:dyDescent="0.25">
      <c r="A3" s="859"/>
      <c r="B3" s="813"/>
      <c r="C3" s="663"/>
      <c r="D3" s="650"/>
      <c r="E3" s="650"/>
      <c r="F3" s="651"/>
      <c r="G3" s="654"/>
      <c r="H3" s="650"/>
      <c r="I3" s="651"/>
      <c r="J3" s="690" t="s">
        <v>138</v>
      </c>
      <c r="K3" s="651" t="s">
        <v>47</v>
      </c>
      <c r="L3" s="685" t="s">
        <v>48</v>
      </c>
      <c r="M3" s="658" t="s">
        <v>54</v>
      </c>
      <c r="N3" s="875" t="s">
        <v>55</v>
      </c>
      <c r="O3" s="685" t="s">
        <v>56</v>
      </c>
      <c r="P3" s="686" t="s">
        <v>49</v>
      </c>
      <c r="Q3" s="687"/>
      <c r="R3" s="686" t="s">
        <v>52</v>
      </c>
      <c r="S3" s="707"/>
      <c r="T3" s="707"/>
      <c r="U3" s="707"/>
      <c r="V3" s="707"/>
      <c r="W3" s="708"/>
      <c r="X3" s="705"/>
      <c r="Y3" s="872"/>
      <c r="Z3" s="663"/>
      <c r="AA3" s="650"/>
      <c r="AB3" s="650"/>
      <c r="AC3" s="650"/>
      <c r="AD3" s="650"/>
      <c r="AE3" s="655"/>
      <c r="AF3" s="663"/>
      <c r="AG3" s="650"/>
      <c r="AH3" s="655"/>
      <c r="AI3" s="804"/>
      <c r="AJ3" s="805"/>
      <c r="AK3" s="805"/>
      <c r="AL3" s="805"/>
      <c r="AM3" s="805"/>
      <c r="AN3" s="805"/>
      <c r="AO3" s="663"/>
      <c r="AP3" s="650"/>
      <c r="AQ3" s="655"/>
      <c r="AR3" s="712" t="s">
        <v>152</v>
      </c>
      <c r="AS3" s="713"/>
      <c r="AT3" s="713"/>
      <c r="AU3" s="713"/>
      <c r="AV3" s="713"/>
      <c r="AW3" s="713"/>
      <c r="AX3" s="713"/>
      <c r="AY3" s="714"/>
      <c r="AZ3" s="664"/>
    </row>
    <row r="4" spans="1:52" ht="15.75" customHeight="1" x14ac:dyDescent="0.25">
      <c r="A4" s="859"/>
      <c r="B4" s="813"/>
      <c r="C4" s="663"/>
      <c r="D4" s="650"/>
      <c r="E4" s="650"/>
      <c r="F4" s="651"/>
      <c r="G4" s="654"/>
      <c r="H4" s="650"/>
      <c r="I4" s="651"/>
      <c r="J4" s="685"/>
      <c r="K4" s="651"/>
      <c r="L4" s="685"/>
      <c r="M4" s="659"/>
      <c r="N4" s="875"/>
      <c r="O4" s="685"/>
      <c r="P4" s="656"/>
      <c r="Q4" s="688"/>
      <c r="R4" s="709"/>
      <c r="S4" s="710"/>
      <c r="T4" s="710"/>
      <c r="U4" s="710"/>
      <c r="V4" s="710"/>
      <c r="W4" s="711"/>
      <c r="X4" s="705"/>
      <c r="Y4" s="872"/>
      <c r="Z4" s="544" t="s">
        <v>129</v>
      </c>
      <c r="AA4" s="581" t="s">
        <v>60</v>
      </c>
      <c r="AB4" s="594"/>
      <c r="AC4" s="582"/>
      <c r="AD4" s="525" t="s">
        <v>140</v>
      </c>
      <c r="AE4" s="544" t="s">
        <v>61</v>
      </c>
      <c r="AF4" s="686" t="s">
        <v>49</v>
      </c>
      <c r="AG4" s="687"/>
      <c r="AH4" s="686" t="s">
        <v>141</v>
      </c>
      <c r="AI4" s="830" t="s">
        <v>129</v>
      </c>
      <c r="AJ4" s="830" t="s">
        <v>143</v>
      </c>
      <c r="AK4" s="385"/>
      <c r="AL4" s="817" t="s">
        <v>144</v>
      </c>
      <c r="AM4" s="830" t="s">
        <v>130</v>
      </c>
      <c r="AN4" s="830" t="s">
        <v>145</v>
      </c>
      <c r="AO4" s="686" t="s">
        <v>49</v>
      </c>
      <c r="AP4" s="687"/>
      <c r="AQ4" s="686" t="s">
        <v>141</v>
      </c>
      <c r="AR4" s="856" t="s">
        <v>146</v>
      </c>
      <c r="AS4" s="856" t="s">
        <v>147</v>
      </c>
      <c r="AT4" s="856" t="s">
        <v>132</v>
      </c>
      <c r="AU4" s="856" t="s">
        <v>133</v>
      </c>
      <c r="AV4" s="856" t="s">
        <v>90</v>
      </c>
      <c r="AW4" s="856" t="s">
        <v>134</v>
      </c>
      <c r="AX4" s="854" t="s">
        <v>136</v>
      </c>
      <c r="AY4" s="856" t="s">
        <v>134</v>
      </c>
      <c r="AZ4" s="664"/>
    </row>
    <row r="5" spans="1:52" ht="15.75" customHeight="1" x14ac:dyDescent="0.25">
      <c r="A5" s="859"/>
      <c r="B5" s="813"/>
      <c r="C5" s="663"/>
      <c r="D5" s="650"/>
      <c r="E5" s="650"/>
      <c r="F5" s="651"/>
      <c r="G5" s="654"/>
      <c r="H5" s="650"/>
      <c r="I5" s="651"/>
      <c r="J5" s="685"/>
      <c r="K5" s="651"/>
      <c r="L5" s="685"/>
      <c r="M5" s="659"/>
      <c r="N5" s="875"/>
      <c r="O5" s="685"/>
      <c r="P5" s="689" t="s">
        <v>125</v>
      </c>
      <c r="Q5" s="690" t="s">
        <v>126</v>
      </c>
      <c r="R5" s="689" t="s">
        <v>125</v>
      </c>
      <c r="S5" s="691"/>
      <c r="T5" s="692"/>
      <c r="U5" s="693" t="s">
        <v>126</v>
      </c>
      <c r="V5" s="691"/>
      <c r="W5" s="694"/>
      <c r="X5" s="705"/>
      <c r="Y5" s="872"/>
      <c r="Z5" s="545"/>
      <c r="AA5" s="595"/>
      <c r="AB5" s="596"/>
      <c r="AC5" s="597"/>
      <c r="AD5" s="526"/>
      <c r="AE5" s="545"/>
      <c r="AF5" s="656"/>
      <c r="AG5" s="688"/>
      <c r="AH5" s="656"/>
      <c r="AI5" s="816"/>
      <c r="AJ5" s="816"/>
      <c r="AK5" s="385"/>
      <c r="AL5" s="825"/>
      <c r="AM5" s="816"/>
      <c r="AN5" s="816"/>
      <c r="AO5" s="656"/>
      <c r="AP5" s="688"/>
      <c r="AQ5" s="656"/>
      <c r="AR5" s="857" t="s">
        <v>13</v>
      </c>
      <c r="AS5" s="857"/>
      <c r="AT5" s="857"/>
      <c r="AU5" s="857"/>
      <c r="AV5" s="857"/>
      <c r="AW5" s="857"/>
      <c r="AX5" s="855"/>
      <c r="AY5" s="857"/>
      <c r="AZ5" s="664"/>
    </row>
    <row r="6" spans="1:52" ht="15.75" customHeight="1" x14ac:dyDescent="0.25">
      <c r="A6" s="859"/>
      <c r="B6" s="813"/>
      <c r="C6" s="663"/>
      <c r="D6" s="650"/>
      <c r="E6" s="650"/>
      <c r="F6" s="651"/>
      <c r="G6" s="654"/>
      <c r="H6" s="650"/>
      <c r="I6" s="651"/>
      <c r="J6" s="685"/>
      <c r="K6" s="651"/>
      <c r="L6" s="685"/>
      <c r="M6" s="659"/>
      <c r="N6" s="875"/>
      <c r="O6" s="685"/>
      <c r="P6" s="654"/>
      <c r="Q6" s="685"/>
      <c r="R6" s="654"/>
      <c r="S6" s="650"/>
      <c r="T6" s="655"/>
      <c r="U6" s="663"/>
      <c r="V6" s="650"/>
      <c r="W6" s="651"/>
      <c r="X6" s="705"/>
      <c r="Y6" s="872"/>
      <c r="Z6" s="545"/>
      <c r="AA6" s="595"/>
      <c r="AB6" s="596"/>
      <c r="AC6" s="597"/>
      <c r="AD6" s="526"/>
      <c r="AE6" s="545"/>
      <c r="AF6" s="660" t="s">
        <v>125</v>
      </c>
      <c r="AG6" s="660" t="s">
        <v>126</v>
      </c>
      <c r="AH6" s="660" t="s">
        <v>126</v>
      </c>
      <c r="AI6" s="816"/>
      <c r="AJ6" s="816"/>
      <c r="AK6" s="385"/>
      <c r="AL6" s="825"/>
      <c r="AM6" s="816"/>
      <c r="AN6" s="816"/>
      <c r="AO6" s="660" t="s">
        <v>125</v>
      </c>
      <c r="AP6" s="660" t="s">
        <v>126</v>
      </c>
      <c r="AQ6" s="693" t="s">
        <v>126</v>
      </c>
      <c r="AR6" s="857"/>
      <c r="AS6" s="857"/>
      <c r="AT6" s="857"/>
      <c r="AU6" s="857"/>
      <c r="AV6" s="857"/>
      <c r="AW6" s="857"/>
      <c r="AX6" s="855"/>
      <c r="AY6" s="857"/>
      <c r="AZ6" s="664"/>
    </row>
    <row r="7" spans="1:52" ht="12.75" customHeight="1" x14ac:dyDescent="0.25">
      <c r="A7" s="859"/>
      <c r="B7" s="813"/>
      <c r="C7" s="663"/>
      <c r="D7" s="650"/>
      <c r="E7" s="650"/>
      <c r="F7" s="651"/>
      <c r="G7" s="654"/>
      <c r="H7" s="650"/>
      <c r="I7" s="651"/>
      <c r="J7" s="685"/>
      <c r="K7" s="651"/>
      <c r="L7" s="685"/>
      <c r="M7" s="659"/>
      <c r="N7" s="875"/>
      <c r="O7" s="685"/>
      <c r="P7" s="654"/>
      <c r="Q7" s="685"/>
      <c r="R7" s="654"/>
      <c r="S7" s="650"/>
      <c r="T7" s="655"/>
      <c r="U7" s="663"/>
      <c r="V7" s="650"/>
      <c r="W7" s="651"/>
      <c r="X7" s="705"/>
      <c r="Y7" s="872"/>
      <c r="Z7" s="545"/>
      <c r="AA7" s="595"/>
      <c r="AB7" s="596"/>
      <c r="AC7" s="597"/>
      <c r="AD7" s="526"/>
      <c r="AE7" s="545"/>
      <c r="AF7" s="661"/>
      <c r="AG7" s="661"/>
      <c r="AH7" s="661"/>
      <c r="AI7" s="816"/>
      <c r="AJ7" s="816"/>
      <c r="AK7" s="385"/>
      <c r="AL7" s="825"/>
      <c r="AM7" s="816"/>
      <c r="AN7" s="816"/>
      <c r="AO7" s="661"/>
      <c r="AP7" s="661"/>
      <c r="AQ7" s="663"/>
      <c r="AR7" s="857"/>
      <c r="AS7" s="857"/>
      <c r="AT7" s="857"/>
      <c r="AU7" s="857"/>
      <c r="AV7" s="857"/>
      <c r="AW7" s="857"/>
      <c r="AX7" s="855"/>
      <c r="AY7" s="857"/>
      <c r="AZ7" s="664"/>
    </row>
    <row r="8" spans="1:52" ht="12.75" customHeight="1" x14ac:dyDescent="0.25">
      <c r="A8" s="860"/>
      <c r="B8" s="814"/>
      <c r="C8" s="862"/>
      <c r="D8" s="863"/>
      <c r="E8" s="863"/>
      <c r="F8" s="688"/>
      <c r="G8" s="656"/>
      <c r="H8" s="863"/>
      <c r="I8" s="688"/>
      <c r="J8" s="861"/>
      <c r="K8" s="688"/>
      <c r="L8" s="861"/>
      <c r="M8" s="874"/>
      <c r="N8" s="876"/>
      <c r="O8" s="861"/>
      <c r="P8" s="656"/>
      <c r="Q8" s="861"/>
      <c r="R8" s="656"/>
      <c r="S8" s="863"/>
      <c r="T8" s="657"/>
      <c r="U8" s="862"/>
      <c r="V8" s="863"/>
      <c r="W8" s="688"/>
      <c r="X8" s="870"/>
      <c r="Y8" s="873"/>
      <c r="Z8" s="261">
        <v>2</v>
      </c>
      <c r="AA8" s="598"/>
      <c r="AB8" s="599"/>
      <c r="AC8" s="600"/>
      <c r="AD8" s="601"/>
      <c r="AE8" s="574"/>
      <c r="AF8" s="850"/>
      <c r="AG8" s="850"/>
      <c r="AH8" s="850"/>
      <c r="AI8" s="252">
        <v>2</v>
      </c>
      <c r="AJ8" s="252"/>
      <c r="AK8" s="252"/>
      <c r="AL8" s="825"/>
      <c r="AM8" s="252">
        <v>35</v>
      </c>
      <c r="AN8" s="817"/>
      <c r="AO8" s="850"/>
      <c r="AP8" s="850"/>
      <c r="AQ8" s="862"/>
      <c r="AR8" s="253">
        <v>2.7</v>
      </c>
      <c r="AS8" s="253">
        <v>8.89</v>
      </c>
      <c r="AT8" s="253">
        <v>1.34</v>
      </c>
      <c r="AU8" s="253">
        <v>1.4</v>
      </c>
      <c r="AV8" s="253">
        <v>1.4</v>
      </c>
      <c r="AW8" s="253">
        <v>1.4</v>
      </c>
      <c r="AX8" s="254">
        <v>7.8</v>
      </c>
      <c r="AY8" s="253">
        <v>1.4</v>
      </c>
      <c r="AZ8" s="849"/>
    </row>
    <row r="9" spans="1:52" s="240" customFormat="1" ht="12.75" customHeight="1" outlineLevel="2" x14ac:dyDescent="0.25">
      <c r="A9" s="314"/>
      <c r="B9" s="304" t="str">
        <f t="shared" ref="B9:B37" si="0">CONCATENATE("Кабель ","ВБШв ",C9,"*",E9,F9,IF(OR(C9=2,C9=4)," (N)",IF(OR(C9=3,C9=5)," (N, PE)",""))," - 1 ГОСТ 31996-2012")</f>
        <v>Кабель ВБШв 2*25мс (N) - 1 ГОСТ 31996-2012</v>
      </c>
      <c r="C9" s="243">
        <v>2</v>
      </c>
      <c r="D9" s="227" t="s">
        <v>40</v>
      </c>
      <c r="E9" s="229">
        <v>25</v>
      </c>
      <c r="F9" s="307" t="s">
        <v>151</v>
      </c>
      <c r="G9" s="387">
        <v>7</v>
      </c>
      <c r="H9" s="23" t="s">
        <v>40</v>
      </c>
      <c r="I9" s="388">
        <v>2.19</v>
      </c>
      <c r="J9" s="14">
        <v>24.1</v>
      </c>
      <c r="K9" s="395">
        <v>4.0999999999999996</v>
      </c>
      <c r="L9" s="396">
        <v>9.3000000000000007</v>
      </c>
      <c r="M9" s="14">
        <v>0</v>
      </c>
      <c r="N9" s="14">
        <v>30.24</v>
      </c>
      <c r="O9" s="14">
        <v>22.43</v>
      </c>
      <c r="P9" s="386">
        <f t="shared" ref="P9:P17" si="1">Q9-(Q9*0.1+0.1)</f>
        <v>1.07</v>
      </c>
      <c r="Q9" s="386">
        <f t="shared" ref="Q9:Q17" si="2">IF(E9=1.5,0.8,IF(E9=2.5,0.8,IF(E9=4,1,IF(E9=6,1,IF(E9=10,1,IF(E9=16,1,IF(E9=25,1.2,IF(E9=35,1.2,IF(E9=50,1.4,IF(E9=70,1.4,IF(E9=95,1.6,IF(E9=120,1.6,IF(E9=150,1.8,IF(E9=185,2,IF(E9=240,2.2,IF(E9=300,2.4,"ошибка"))))))))))))))))+0.1</f>
        <v>1.3</v>
      </c>
      <c r="R9" s="247">
        <f t="shared" ref="R9:R37" si="3">K9+2*P9</f>
        <v>6.24</v>
      </c>
      <c r="S9" s="23" t="s">
        <v>40</v>
      </c>
      <c r="T9" s="246">
        <f t="shared" ref="T9:T37" si="4">L9+2*P9</f>
        <v>11.440000000000001</v>
      </c>
      <c r="U9" s="247">
        <f t="shared" ref="U9:U37" si="5">K9+2*Q9</f>
        <v>6.6999999999999993</v>
      </c>
      <c r="V9" s="23" t="s">
        <v>40</v>
      </c>
      <c r="W9" s="245">
        <f t="shared" ref="W9:W37" si="6">L9+2*Q9</f>
        <v>11.9</v>
      </c>
      <c r="X9" s="386">
        <f t="shared" ref="X9:X37" si="7">2*(U9+(M9+Q9)*(1/COS(PI()*(C9-2)/(2*C9))-1))</f>
        <v>13.399999999999999</v>
      </c>
      <c r="Y9" s="43">
        <f t="shared" ref="Y9:Y47" si="8">IF(C9=4,2*(M9+Q9)*((1/COS(PI()*(C9-2)/(2*C9)))-1),IF(C9=5,2*(M9+Q9)*((1/COS(PI()*(C9-2)/(2*C9)))-1),0))</f>
        <v>0</v>
      </c>
      <c r="Z9" s="218">
        <f t="shared" ref="Z9:Z37" si="9">$Z$8</f>
        <v>2</v>
      </c>
      <c r="AA9" s="251">
        <f t="shared" ref="AA9:AA37" si="10">IF(AND(X9&gt;=10,X9&lt;=20),0.035,IF(X9&gt;20,0.05,"ошибка"))</f>
        <v>3.5000000000000003E-2</v>
      </c>
      <c r="AB9" s="248" t="s">
        <v>40</v>
      </c>
      <c r="AC9" s="250">
        <f t="shared" ref="AC9:AC37" si="11">IF(AND(X9&gt;=10,X9&lt;=20),50,IF(X9&gt;20,60,"ошибка"))</f>
        <v>50</v>
      </c>
      <c r="AD9" s="249">
        <f t="shared" ref="AD9:AD37" si="12">IF(AND(X9&gt;=10,X9&lt;=13),40,IF(AND(X9&gt;=13,X9&lt;=16),30,IF(X9&gt;16,25,"ошибка")))</f>
        <v>30</v>
      </c>
      <c r="AE9" s="43">
        <f t="shared" ref="AE9:AE37" si="13">X9+2*Z9*AA9*IF(AD9&lt;=25,1,IF(AD9&gt;33,2,1.5))</f>
        <v>13.61</v>
      </c>
      <c r="AF9" s="386">
        <f t="shared" ref="AF9:AF37" si="14">IF(AE9&lt;=25,0.5,IF(AND(AE9&gt;25,AE9&lt;=35),0.6,IF(AND(AE9&gt;35,AE9&lt;=45),0.7,IF(AND(AE9&gt;45,AE9&lt;=60),0.8,IF(AND(AE9&gt;60,AE9&lt;=80),0.9,1)))))</f>
        <v>0.5</v>
      </c>
      <c r="AG9" s="386">
        <f t="shared" ref="AG9:AG37" si="15">IF(AE9&lt;=25,1.4,IF(AND(AE9&gt;25,AE9&lt;=35),1.5,IF(AND(AE9&gt;35,AE9&lt;=45),1.6,IF(AND(AE9&gt;45,AE9&lt;=60),1.7,IF(AND(AE9&gt;60,AE9&lt;=80),2,2.2)))))</f>
        <v>1.4</v>
      </c>
      <c r="AH9" s="386">
        <f t="shared" ref="AH9:AH37" si="16">AE9+2*AG9</f>
        <v>16.41</v>
      </c>
      <c r="AI9" s="237">
        <f t="shared" ref="AI9:AI37" si="17">$AI$8</f>
        <v>2</v>
      </c>
      <c r="AJ9" s="61">
        <f t="shared" ref="AJ9:AJ37" si="18">IF(AH9&lt;=45,0.25,IF(AND(AH9&gt;45,AH9&lt;=70),0.5,0.8))</f>
        <v>0.25</v>
      </c>
      <c r="AK9" s="61"/>
      <c r="AL9" s="201">
        <f t="shared" ref="AL9:AL37" si="19">IF(AND(AH9&gt;7,AH9&lt;=10),15,IF(AND(AH9&gt;10,AH9&lt;=13),20,IF(AND(AH9&gt;13,AH9&lt;=21),30,IF(AND(AH9&gt;21,AH9&lt;=31),40,IF(AND(AH9&gt;31,AH9&lt;=70),50,IF(AND(AH9&gt;70,AH9&lt;=80),60,"ошибка"))))))</f>
        <v>30</v>
      </c>
      <c r="AM9" s="201">
        <f t="shared" ref="AM9:AM37" si="20">$AM$8</f>
        <v>35</v>
      </c>
      <c r="AN9" s="386">
        <f t="shared" ref="AN9:AN37" si="21">AH9+2*AI9*AJ9</f>
        <v>17.41</v>
      </c>
      <c r="AO9" s="386">
        <f t="shared" ref="AO9:AO37" si="22">AP9-(AP9*0.15+0.1)</f>
        <v>1.4300000000000002</v>
      </c>
      <c r="AP9" s="386">
        <f t="shared" ref="AP9:AP37" si="23">IF(AN9&lt;=20,1.8,IF(AND(AN9&gt;20,AN9&lt;=30),2,IF(AND(AN9&gt;30,AN9&lt;=40),2.2,IF(AND(AN9&gt;40,AN9&lt;=50),2.4,IF(AND(AN9&gt;50,AN9&lt;=60),2.6,3.1)))))</f>
        <v>1.8</v>
      </c>
      <c r="AQ9" s="386">
        <f t="shared" ref="AQ9:AQ37" si="24">AN9+2*AP9</f>
        <v>21.01</v>
      </c>
      <c r="AR9" s="15">
        <v>0</v>
      </c>
      <c r="AS9" s="15">
        <f t="shared" ref="AS9:AS37" si="25">J9*C9*1.007*$AS$8</f>
        <v>431.49748600000004</v>
      </c>
      <c r="AT9" s="386">
        <f t="shared" ref="AT9:AT37" si="26">PI()*(O9/PI()+Q9)*Q9*$AT$8*1.1*C9*1.007</f>
        <v>102.32381125644191</v>
      </c>
      <c r="AU9" s="386">
        <f t="shared" ref="AU9:AU37" si="27">PI()*Y9^2/4*$AU$8</f>
        <v>0</v>
      </c>
      <c r="AV9" s="386">
        <f t="shared" ref="AV9:AV37" si="28">PI()*(X9+Z9*AA9)*Z9*AA9*$AV$8*ROUND(100/(100-AD9),2)</f>
        <v>5.9303398415657709</v>
      </c>
      <c r="AW9" s="386">
        <f t="shared" ref="AW9:AW37" si="29">PI()*(AE9+AG9)*AG9*1.07*$AW$8</f>
        <v>98.894107177758798</v>
      </c>
      <c r="AX9" s="386">
        <f t="shared" ref="AX9:AX37" si="30">PI()*(AH9+AI9*AJ9)*AI9*AJ9*$AX$8*ROUND(100/(100+AM9),2)</f>
        <v>153.31682149457902</v>
      </c>
      <c r="AY9" s="386">
        <f t="shared" ref="AY9:AY37" si="31">PI()*(AN9+AP9)*AP9*$AY$8*1.1</f>
        <v>167.29018579477494</v>
      </c>
      <c r="AZ9" s="386">
        <f t="shared" ref="AZ9:AZ37" si="32">SUM(AR9:AY9)</f>
        <v>959.25275156512055</v>
      </c>
    </row>
    <row r="10" spans="1:52" s="240" customFormat="1" ht="12.75" customHeight="1" outlineLevel="2" x14ac:dyDescent="0.25">
      <c r="A10" s="314"/>
      <c r="B10" s="304" t="str">
        <f t="shared" si="0"/>
        <v>Кабель ВБШв 2*35мс (N) - 1 ГОСТ 31996-2012</v>
      </c>
      <c r="C10" s="243">
        <v>2</v>
      </c>
      <c r="D10" s="227" t="s">
        <v>40</v>
      </c>
      <c r="E10" s="229">
        <v>35</v>
      </c>
      <c r="F10" s="307" t="s">
        <v>151</v>
      </c>
      <c r="G10" s="387">
        <v>7</v>
      </c>
      <c r="H10" s="23" t="s">
        <v>40</v>
      </c>
      <c r="I10" s="388">
        <v>2.5499999999999998</v>
      </c>
      <c r="J10" s="14">
        <v>33.44</v>
      </c>
      <c r="K10" s="395">
        <v>4.8</v>
      </c>
      <c r="L10" s="396">
        <v>10.6</v>
      </c>
      <c r="M10" s="14">
        <v>0</v>
      </c>
      <c r="N10" s="14">
        <v>40.03</v>
      </c>
      <c r="O10" s="14">
        <v>25.72</v>
      </c>
      <c r="P10" s="386">
        <f t="shared" si="1"/>
        <v>1.07</v>
      </c>
      <c r="Q10" s="386">
        <f t="shared" si="2"/>
        <v>1.3</v>
      </c>
      <c r="R10" s="247">
        <f t="shared" si="3"/>
        <v>6.9399999999999995</v>
      </c>
      <c r="S10" s="23" t="s">
        <v>40</v>
      </c>
      <c r="T10" s="246">
        <f t="shared" si="4"/>
        <v>12.74</v>
      </c>
      <c r="U10" s="247">
        <f t="shared" si="5"/>
        <v>7.4</v>
      </c>
      <c r="V10" s="23" t="s">
        <v>40</v>
      </c>
      <c r="W10" s="245">
        <f t="shared" si="6"/>
        <v>13.2</v>
      </c>
      <c r="X10" s="386">
        <f t="shared" si="7"/>
        <v>14.8</v>
      </c>
      <c r="Y10" s="43">
        <f t="shared" si="8"/>
        <v>0</v>
      </c>
      <c r="Z10" s="218">
        <f t="shared" si="9"/>
        <v>2</v>
      </c>
      <c r="AA10" s="251">
        <f t="shared" si="10"/>
        <v>3.5000000000000003E-2</v>
      </c>
      <c r="AB10" s="248" t="s">
        <v>40</v>
      </c>
      <c r="AC10" s="250">
        <f t="shared" si="11"/>
        <v>50</v>
      </c>
      <c r="AD10" s="249">
        <f t="shared" si="12"/>
        <v>30</v>
      </c>
      <c r="AE10" s="43">
        <f t="shared" si="13"/>
        <v>15.010000000000002</v>
      </c>
      <c r="AF10" s="386">
        <f t="shared" si="14"/>
        <v>0.5</v>
      </c>
      <c r="AG10" s="386">
        <f t="shared" si="15"/>
        <v>1.4</v>
      </c>
      <c r="AH10" s="386">
        <f t="shared" si="16"/>
        <v>17.810000000000002</v>
      </c>
      <c r="AI10" s="237">
        <f t="shared" si="17"/>
        <v>2</v>
      </c>
      <c r="AJ10" s="61">
        <f t="shared" si="18"/>
        <v>0.25</v>
      </c>
      <c r="AK10" s="61"/>
      <c r="AL10" s="201">
        <f t="shared" si="19"/>
        <v>30</v>
      </c>
      <c r="AM10" s="201">
        <f t="shared" si="20"/>
        <v>35</v>
      </c>
      <c r="AN10" s="386">
        <f t="shared" si="21"/>
        <v>18.810000000000002</v>
      </c>
      <c r="AO10" s="386">
        <f t="shared" si="22"/>
        <v>1.4300000000000002</v>
      </c>
      <c r="AP10" s="386">
        <f t="shared" si="23"/>
        <v>1.8</v>
      </c>
      <c r="AQ10" s="386">
        <f t="shared" si="24"/>
        <v>22.410000000000004</v>
      </c>
      <c r="AR10" s="15">
        <v>0</v>
      </c>
      <c r="AS10" s="15">
        <f t="shared" si="25"/>
        <v>598.72514239999998</v>
      </c>
      <c r="AT10" s="386">
        <f t="shared" si="26"/>
        <v>115.0206674284419</v>
      </c>
      <c r="AU10" s="386">
        <f t="shared" si="27"/>
        <v>0</v>
      </c>
      <c r="AV10" s="386">
        <f t="shared" si="28"/>
        <v>6.5467077538294749</v>
      </c>
      <c r="AW10" s="386">
        <f t="shared" si="29"/>
        <v>108.11807453611073</v>
      </c>
      <c r="AX10" s="386">
        <f t="shared" si="30"/>
        <v>166.01011245214323</v>
      </c>
      <c r="AY10" s="386">
        <f t="shared" si="31"/>
        <v>179.48207856482625</v>
      </c>
      <c r="AZ10" s="386">
        <f t="shared" si="32"/>
        <v>1173.9027831353515</v>
      </c>
    </row>
    <row r="11" spans="1:52" s="240" customFormat="1" ht="12.75" customHeight="1" outlineLevel="2" x14ac:dyDescent="0.25">
      <c r="A11" s="314"/>
      <c r="B11" s="304" t="str">
        <f t="shared" si="0"/>
        <v>Кабель ВБШв 2*50мс (N) - 1 ГОСТ 31996-2012</v>
      </c>
      <c r="C11" s="243">
        <v>2</v>
      </c>
      <c r="D11" s="227" t="s">
        <v>40</v>
      </c>
      <c r="E11" s="229">
        <v>50</v>
      </c>
      <c r="F11" s="307" t="s">
        <v>151</v>
      </c>
      <c r="G11" s="387">
        <v>7</v>
      </c>
      <c r="H11" s="23" t="s">
        <v>40</v>
      </c>
      <c r="I11" s="388">
        <v>3</v>
      </c>
      <c r="J11" s="14">
        <v>45.28</v>
      </c>
      <c r="K11" s="395">
        <v>5.6</v>
      </c>
      <c r="L11" s="396">
        <v>13</v>
      </c>
      <c r="M11" s="14">
        <v>0</v>
      </c>
      <c r="N11" s="14">
        <v>56.59</v>
      </c>
      <c r="O11" s="14">
        <v>31.2</v>
      </c>
      <c r="P11" s="386">
        <f t="shared" si="1"/>
        <v>1.25</v>
      </c>
      <c r="Q11" s="386">
        <f t="shared" si="2"/>
        <v>1.5</v>
      </c>
      <c r="R11" s="247">
        <f t="shared" si="3"/>
        <v>8.1</v>
      </c>
      <c r="S11" s="23" t="s">
        <v>40</v>
      </c>
      <c r="T11" s="246">
        <f t="shared" si="4"/>
        <v>15.5</v>
      </c>
      <c r="U11" s="247">
        <f t="shared" si="5"/>
        <v>8.6</v>
      </c>
      <c r="V11" s="23" t="s">
        <v>40</v>
      </c>
      <c r="W11" s="245">
        <f t="shared" si="6"/>
        <v>16</v>
      </c>
      <c r="X11" s="386">
        <f t="shared" si="7"/>
        <v>17.2</v>
      </c>
      <c r="Y11" s="43">
        <f t="shared" si="8"/>
        <v>0</v>
      </c>
      <c r="Z11" s="218">
        <f t="shared" si="9"/>
        <v>2</v>
      </c>
      <c r="AA11" s="251">
        <f t="shared" si="10"/>
        <v>3.5000000000000003E-2</v>
      </c>
      <c r="AB11" s="248" t="s">
        <v>40</v>
      </c>
      <c r="AC11" s="250">
        <f t="shared" si="11"/>
        <v>50</v>
      </c>
      <c r="AD11" s="249">
        <f t="shared" si="12"/>
        <v>25</v>
      </c>
      <c r="AE11" s="43">
        <f t="shared" si="13"/>
        <v>17.34</v>
      </c>
      <c r="AF11" s="386">
        <f t="shared" si="14"/>
        <v>0.5</v>
      </c>
      <c r="AG11" s="386">
        <f t="shared" si="15"/>
        <v>1.4</v>
      </c>
      <c r="AH11" s="386">
        <f t="shared" si="16"/>
        <v>20.14</v>
      </c>
      <c r="AI11" s="237">
        <f t="shared" si="17"/>
        <v>2</v>
      </c>
      <c r="AJ11" s="61">
        <f t="shared" si="18"/>
        <v>0.25</v>
      </c>
      <c r="AK11" s="61"/>
      <c r="AL11" s="201">
        <f t="shared" si="19"/>
        <v>30</v>
      </c>
      <c r="AM11" s="201">
        <f t="shared" si="20"/>
        <v>35</v>
      </c>
      <c r="AN11" s="386">
        <f t="shared" si="21"/>
        <v>21.14</v>
      </c>
      <c r="AO11" s="386">
        <f t="shared" si="22"/>
        <v>1.6</v>
      </c>
      <c r="AP11" s="386">
        <f t="shared" si="23"/>
        <v>2</v>
      </c>
      <c r="AQ11" s="386">
        <f t="shared" si="24"/>
        <v>25.14</v>
      </c>
      <c r="AR11" s="15">
        <v>0</v>
      </c>
      <c r="AS11" s="15">
        <f t="shared" si="25"/>
        <v>810.71394880000003</v>
      </c>
      <c r="AT11" s="386">
        <f t="shared" si="26"/>
        <v>159.91621615975995</v>
      </c>
      <c r="AU11" s="386">
        <f t="shared" si="27"/>
        <v>0</v>
      </c>
      <c r="AV11" s="386">
        <f t="shared" si="28"/>
        <v>7.0716364703177925</v>
      </c>
      <c r="AW11" s="386">
        <f t="shared" si="29"/>
        <v>123.46939163965355</v>
      </c>
      <c r="AX11" s="386">
        <f t="shared" si="30"/>
        <v>187.13537526008935</v>
      </c>
      <c r="AY11" s="386">
        <f t="shared" si="31"/>
        <v>223.90507833252889</v>
      </c>
      <c r="AZ11" s="386">
        <f t="shared" si="32"/>
        <v>1512.2116466623497</v>
      </c>
    </row>
    <row r="12" spans="1:52" s="240" customFormat="1" ht="12.75" customHeight="1" outlineLevel="2" x14ac:dyDescent="0.25">
      <c r="A12" s="314"/>
      <c r="B12" s="304" t="str">
        <f t="shared" si="0"/>
        <v>Кабель ВБШв 2*70мс (N) - 1 ГОСТ 31996-2012</v>
      </c>
      <c r="C12" s="244">
        <v>2</v>
      </c>
      <c r="D12" s="228" t="s">
        <v>40</v>
      </c>
      <c r="E12" s="230">
        <v>70</v>
      </c>
      <c r="F12" s="307" t="s">
        <v>151</v>
      </c>
      <c r="G12" s="387">
        <v>19</v>
      </c>
      <c r="H12" s="23" t="s">
        <v>40</v>
      </c>
      <c r="I12" s="388">
        <v>2.13</v>
      </c>
      <c r="J12" s="402">
        <v>65.39</v>
      </c>
      <c r="K12" s="403">
        <v>6.6</v>
      </c>
      <c r="L12" s="403">
        <v>15</v>
      </c>
      <c r="M12" s="69">
        <v>0</v>
      </c>
      <c r="N12" s="69">
        <v>77.37</v>
      </c>
      <c r="O12" s="69">
        <v>36.17</v>
      </c>
      <c r="P12" s="386">
        <f t="shared" si="1"/>
        <v>1.25</v>
      </c>
      <c r="Q12" s="386">
        <f t="shared" si="2"/>
        <v>1.5</v>
      </c>
      <c r="R12" s="247">
        <f t="shared" si="3"/>
        <v>9.1</v>
      </c>
      <c r="S12" s="23" t="s">
        <v>40</v>
      </c>
      <c r="T12" s="246">
        <f t="shared" si="4"/>
        <v>17.5</v>
      </c>
      <c r="U12" s="247">
        <f t="shared" si="5"/>
        <v>9.6</v>
      </c>
      <c r="V12" s="23" t="s">
        <v>40</v>
      </c>
      <c r="W12" s="245">
        <f t="shared" si="6"/>
        <v>18</v>
      </c>
      <c r="X12" s="386">
        <f t="shared" si="7"/>
        <v>19.2</v>
      </c>
      <c r="Y12" s="43">
        <f t="shared" si="8"/>
        <v>0</v>
      </c>
      <c r="Z12" s="218">
        <f t="shared" si="9"/>
        <v>2</v>
      </c>
      <c r="AA12" s="251">
        <f t="shared" si="10"/>
        <v>3.5000000000000003E-2</v>
      </c>
      <c r="AB12" s="248" t="s">
        <v>40</v>
      </c>
      <c r="AC12" s="250">
        <f t="shared" si="11"/>
        <v>50</v>
      </c>
      <c r="AD12" s="249">
        <f t="shared" si="12"/>
        <v>25</v>
      </c>
      <c r="AE12" s="43">
        <f t="shared" si="13"/>
        <v>19.34</v>
      </c>
      <c r="AF12" s="386">
        <f t="shared" si="14"/>
        <v>0.5</v>
      </c>
      <c r="AG12" s="386">
        <f t="shared" si="15"/>
        <v>1.4</v>
      </c>
      <c r="AH12" s="386">
        <f t="shared" si="16"/>
        <v>22.14</v>
      </c>
      <c r="AI12" s="237">
        <f t="shared" si="17"/>
        <v>2</v>
      </c>
      <c r="AJ12" s="61">
        <f t="shared" si="18"/>
        <v>0.25</v>
      </c>
      <c r="AK12" s="61"/>
      <c r="AL12" s="201">
        <f t="shared" si="19"/>
        <v>40</v>
      </c>
      <c r="AM12" s="201">
        <f t="shared" si="20"/>
        <v>35</v>
      </c>
      <c r="AN12" s="386">
        <f t="shared" si="21"/>
        <v>23.14</v>
      </c>
      <c r="AO12" s="386">
        <f t="shared" si="22"/>
        <v>1.6</v>
      </c>
      <c r="AP12" s="386">
        <f t="shared" si="23"/>
        <v>2</v>
      </c>
      <c r="AQ12" s="386">
        <f t="shared" si="24"/>
        <v>27.14</v>
      </c>
      <c r="AR12" s="15">
        <v>0</v>
      </c>
      <c r="AS12" s="15">
        <f t="shared" si="25"/>
        <v>1170.7726394000001</v>
      </c>
      <c r="AT12" s="386">
        <f t="shared" si="26"/>
        <v>182.04739753975994</v>
      </c>
      <c r="AU12" s="386">
        <f t="shared" si="27"/>
        <v>0</v>
      </c>
      <c r="AV12" s="386">
        <f t="shared" si="28"/>
        <v>7.8905868432555808</v>
      </c>
      <c r="AW12" s="386">
        <f t="shared" si="29"/>
        <v>136.64648786587054</v>
      </c>
      <c r="AX12" s="386">
        <f t="shared" si="30"/>
        <v>205.26864805660963</v>
      </c>
      <c r="AY12" s="386">
        <f t="shared" si="31"/>
        <v>243.257289078642</v>
      </c>
      <c r="AZ12" s="386">
        <f t="shared" si="32"/>
        <v>1945.8830487841378</v>
      </c>
    </row>
    <row r="13" spans="1:52" s="240" customFormat="1" ht="12.75" customHeight="1" outlineLevel="2" x14ac:dyDescent="0.25">
      <c r="A13" s="314"/>
      <c r="B13" s="304" t="str">
        <f t="shared" si="0"/>
        <v>Кабель ВБШв 2*95мс (N) - 1 ГОСТ 31996-2012</v>
      </c>
      <c r="C13" s="244">
        <v>2</v>
      </c>
      <c r="D13" s="228" t="s">
        <v>40</v>
      </c>
      <c r="E13" s="230">
        <v>95</v>
      </c>
      <c r="F13" s="307" t="s">
        <v>151</v>
      </c>
      <c r="G13" s="404">
        <v>19</v>
      </c>
      <c r="H13" s="62" t="s">
        <v>40</v>
      </c>
      <c r="I13" s="405">
        <v>2.5</v>
      </c>
      <c r="J13" s="402">
        <v>90.8</v>
      </c>
      <c r="K13" s="403">
        <v>8.1999999999999993</v>
      </c>
      <c r="L13" s="403">
        <v>16.5</v>
      </c>
      <c r="M13" s="69">
        <v>0</v>
      </c>
      <c r="N13" s="69">
        <v>108.99</v>
      </c>
      <c r="O13" s="69">
        <v>41.02</v>
      </c>
      <c r="P13" s="386">
        <f t="shared" si="1"/>
        <v>1.4300000000000002</v>
      </c>
      <c r="Q13" s="386">
        <f t="shared" si="2"/>
        <v>1.7000000000000002</v>
      </c>
      <c r="R13" s="247">
        <f t="shared" si="3"/>
        <v>11.059999999999999</v>
      </c>
      <c r="S13" s="23" t="s">
        <v>40</v>
      </c>
      <c r="T13" s="246">
        <f t="shared" si="4"/>
        <v>19.36</v>
      </c>
      <c r="U13" s="247">
        <f t="shared" si="5"/>
        <v>11.6</v>
      </c>
      <c r="V13" s="23" t="s">
        <v>40</v>
      </c>
      <c r="W13" s="245">
        <f t="shared" si="6"/>
        <v>19.899999999999999</v>
      </c>
      <c r="X13" s="386">
        <f t="shared" si="7"/>
        <v>23.2</v>
      </c>
      <c r="Y13" s="43">
        <f t="shared" si="8"/>
        <v>0</v>
      </c>
      <c r="Z13" s="218">
        <f t="shared" si="9"/>
        <v>2</v>
      </c>
      <c r="AA13" s="251">
        <f t="shared" si="10"/>
        <v>0.05</v>
      </c>
      <c r="AB13" s="248" t="s">
        <v>40</v>
      </c>
      <c r="AC13" s="250">
        <f t="shared" si="11"/>
        <v>60</v>
      </c>
      <c r="AD13" s="249">
        <f t="shared" si="12"/>
        <v>25</v>
      </c>
      <c r="AE13" s="43">
        <f t="shared" si="13"/>
        <v>23.4</v>
      </c>
      <c r="AF13" s="386">
        <f t="shared" si="14"/>
        <v>0.5</v>
      </c>
      <c r="AG13" s="386">
        <f t="shared" si="15"/>
        <v>1.4</v>
      </c>
      <c r="AH13" s="386">
        <f t="shared" si="16"/>
        <v>26.2</v>
      </c>
      <c r="AI13" s="237">
        <f t="shared" si="17"/>
        <v>2</v>
      </c>
      <c r="AJ13" s="61">
        <f t="shared" si="18"/>
        <v>0.25</v>
      </c>
      <c r="AK13" s="61"/>
      <c r="AL13" s="201">
        <f t="shared" si="19"/>
        <v>40</v>
      </c>
      <c r="AM13" s="201">
        <f t="shared" si="20"/>
        <v>35</v>
      </c>
      <c r="AN13" s="386">
        <f t="shared" si="21"/>
        <v>27.2</v>
      </c>
      <c r="AO13" s="386">
        <f t="shared" si="22"/>
        <v>1.6</v>
      </c>
      <c r="AP13" s="386">
        <f t="shared" si="23"/>
        <v>2</v>
      </c>
      <c r="AQ13" s="386">
        <f t="shared" si="24"/>
        <v>31.2</v>
      </c>
      <c r="AR13" s="15">
        <v>0</v>
      </c>
      <c r="AS13" s="15">
        <f t="shared" si="25"/>
        <v>1625.724968</v>
      </c>
      <c r="AT13" s="386">
        <f t="shared" si="26"/>
        <v>233.96771101498055</v>
      </c>
      <c r="AU13" s="386">
        <f t="shared" si="27"/>
        <v>0</v>
      </c>
      <c r="AV13" s="386">
        <f t="shared" si="28"/>
        <v>13.629674063893175</v>
      </c>
      <c r="AW13" s="386">
        <f t="shared" si="29"/>
        <v>163.39599320509112</v>
      </c>
      <c r="AX13" s="386">
        <f t="shared" si="30"/>
        <v>242.07919183354579</v>
      </c>
      <c r="AY13" s="386">
        <f t="shared" si="31"/>
        <v>282.5422768932516</v>
      </c>
      <c r="AZ13" s="386">
        <f t="shared" si="32"/>
        <v>2561.3398150107623</v>
      </c>
    </row>
    <row r="14" spans="1:52" s="240" customFormat="1" ht="12.75" customHeight="1" outlineLevel="2" x14ac:dyDescent="0.25">
      <c r="A14" s="314"/>
      <c r="B14" s="304" t="str">
        <f t="shared" si="0"/>
        <v>Кабель ВБШв 2*120мс (N) - 1 ГОСТ 31996-2012</v>
      </c>
      <c r="C14" s="243">
        <v>2</v>
      </c>
      <c r="D14" s="227" t="s">
        <v>40</v>
      </c>
      <c r="E14" s="229">
        <v>120</v>
      </c>
      <c r="F14" s="307" t="s">
        <v>151</v>
      </c>
      <c r="G14" s="387">
        <v>19</v>
      </c>
      <c r="H14" s="23" t="s">
        <v>40</v>
      </c>
      <c r="I14" s="388">
        <v>2.87</v>
      </c>
      <c r="J14" s="14">
        <v>114.53</v>
      </c>
      <c r="K14" s="395">
        <v>8.6</v>
      </c>
      <c r="L14" s="396">
        <v>19.2</v>
      </c>
      <c r="M14" s="14">
        <v>0</v>
      </c>
      <c r="N14" s="14">
        <v>128.87</v>
      </c>
      <c r="O14" s="14">
        <v>46.55</v>
      </c>
      <c r="P14" s="386">
        <f t="shared" si="1"/>
        <v>1.4300000000000002</v>
      </c>
      <c r="Q14" s="386">
        <f t="shared" si="2"/>
        <v>1.7000000000000002</v>
      </c>
      <c r="R14" s="247">
        <f t="shared" si="3"/>
        <v>11.46</v>
      </c>
      <c r="S14" s="23" t="s">
        <v>40</v>
      </c>
      <c r="T14" s="246">
        <f t="shared" si="4"/>
        <v>22.06</v>
      </c>
      <c r="U14" s="247">
        <f t="shared" si="5"/>
        <v>12</v>
      </c>
      <c r="V14" s="23" t="s">
        <v>40</v>
      </c>
      <c r="W14" s="245">
        <f t="shared" si="6"/>
        <v>22.6</v>
      </c>
      <c r="X14" s="386">
        <f t="shared" si="7"/>
        <v>24</v>
      </c>
      <c r="Y14" s="43">
        <f t="shared" si="8"/>
        <v>0</v>
      </c>
      <c r="Z14" s="218">
        <f t="shared" si="9"/>
        <v>2</v>
      </c>
      <c r="AA14" s="251">
        <f t="shared" si="10"/>
        <v>0.05</v>
      </c>
      <c r="AB14" s="248" t="s">
        <v>40</v>
      </c>
      <c r="AC14" s="250">
        <f t="shared" si="11"/>
        <v>60</v>
      </c>
      <c r="AD14" s="249">
        <f t="shared" si="12"/>
        <v>25</v>
      </c>
      <c r="AE14" s="43">
        <f t="shared" si="13"/>
        <v>24.2</v>
      </c>
      <c r="AF14" s="386">
        <f t="shared" si="14"/>
        <v>0.5</v>
      </c>
      <c r="AG14" s="386">
        <f t="shared" si="15"/>
        <v>1.4</v>
      </c>
      <c r="AH14" s="386">
        <f t="shared" si="16"/>
        <v>27</v>
      </c>
      <c r="AI14" s="237">
        <f t="shared" si="17"/>
        <v>2</v>
      </c>
      <c r="AJ14" s="61">
        <f t="shared" si="18"/>
        <v>0.25</v>
      </c>
      <c r="AK14" s="61"/>
      <c r="AL14" s="201">
        <f t="shared" si="19"/>
        <v>40</v>
      </c>
      <c r="AM14" s="201">
        <f t="shared" si="20"/>
        <v>35</v>
      </c>
      <c r="AN14" s="386">
        <f t="shared" si="21"/>
        <v>28</v>
      </c>
      <c r="AO14" s="386">
        <f t="shared" si="22"/>
        <v>1.6</v>
      </c>
      <c r="AP14" s="386">
        <f t="shared" si="23"/>
        <v>2</v>
      </c>
      <c r="AQ14" s="386">
        <f t="shared" si="24"/>
        <v>32</v>
      </c>
      <c r="AR14" s="15">
        <v>0</v>
      </c>
      <c r="AS14" s="15">
        <f t="shared" si="25"/>
        <v>2050.5978037999998</v>
      </c>
      <c r="AT14" s="386">
        <f t="shared" si="26"/>
        <v>261.87585805098058</v>
      </c>
      <c r="AU14" s="386">
        <f t="shared" si="27"/>
        <v>0</v>
      </c>
      <c r="AV14" s="386">
        <f t="shared" si="28"/>
        <v>14.09764570557191</v>
      </c>
      <c r="AW14" s="386">
        <f t="shared" si="29"/>
        <v>168.66683169557794</v>
      </c>
      <c r="AX14" s="386">
        <f t="shared" si="30"/>
        <v>249.33250095215394</v>
      </c>
      <c r="AY14" s="386">
        <f t="shared" si="31"/>
        <v>290.28316119169688</v>
      </c>
      <c r="AZ14" s="386">
        <f t="shared" si="32"/>
        <v>3034.853801395981</v>
      </c>
    </row>
    <row r="15" spans="1:52" s="240" customFormat="1" ht="12.75" customHeight="1" outlineLevel="2" x14ac:dyDescent="0.25">
      <c r="A15" s="314"/>
      <c r="B15" s="304" t="str">
        <f t="shared" si="0"/>
        <v>Кабель ВБШв 2*150мс (N) - 1 ГОСТ 31996-2012</v>
      </c>
      <c r="C15" s="244">
        <v>2</v>
      </c>
      <c r="D15" s="228" t="s">
        <v>40</v>
      </c>
      <c r="E15" s="230">
        <v>150</v>
      </c>
      <c r="F15" s="307" t="s">
        <v>151</v>
      </c>
      <c r="G15" s="404">
        <v>37</v>
      </c>
      <c r="H15" s="62" t="s">
        <v>40</v>
      </c>
      <c r="I15" s="405">
        <v>2.2599999999999998</v>
      </c>
      <c r="J15" s="402">
        <v>141.32</v>
      </c>
      <c r="K15" s="403">
        <v>9.6</v>
      </c>
      <c r="L15" s="403">
        <v>21.7</v>
      </c>
      <c r="M15" s="69">
        <v>0</v>
      </c>
      <c r="N15" s="69">
        <v>161.58000000000001</v>
      </c>
      <c r="O15" s="69">
        <v>52.54</v>
      </c>
      <c r="P15" s="386">
        <f t="shared" si="1"/>
        <v>1.61</v>
      </c>
      <c r="Q15" s="386">
        <f t="shared" si="2"/>
        <v>1.9000000000000001</v>
      </c>
      <c r="R15" s="247">
        <f t="shared" si="3"/>
        <v>12.82</v>
      </c>
      <c r="S15" s="23" t="s">
        <v>40</v>
      </c>
      <c r="T15" s="246">
        <f t="shared" si="4"/>
        <v>24.919999999999998</v>
      </c>
      <c r="U15" s="247">
        <f t="shared" si="5"/>
        <v>13.4</v>
      </c>
      <c r="V15" s="23" t="s">
        <v>40</v>
      </c>
      <c r="W15" s="245">
        <f t="shared" si="6"/>
        <v>25.5</v>
      </c>
      <c r="X15" s="386">
        <f t="shared" si="7"/>
        <v>26.8</v>
      </c>
      <c r="Y15" s="43">
        <f t="shared" si="8"/>
        <v>0</v>
      </c>
      <c r="Z15" s="218">
        <f t="shared" si="9"/>
        <v>2</v>
      </c>
      <c r="AA15" s="251">
        <f t="shared" si="10"/>
        <v>0.05</v>
      </c>
      <c r="AB15" s="248" t="s">
        <v>40</v>
      </c>
      <c r="AC15" s="250">
        <f t="shared" si="11"/>
        <v>60</v>
      </c>
      <c r="AD15" s="249">
        <f t="shared" si="12"/>
        <v>25</v>
      </c>
      <c r="AE15" s="43">
        <f t="shared" si="13"/>
        <v>27</v>
      </c>
      <c r="AF15" s="386">
        <f t="shared" si="14"/>
        <v>0.6</v>
      </c>
      <c r="AG15" s="386">
        <f t="shared" si="15"/>
        <v>1.5</v>
      </c>
      <c r="AH15" s="386">
        <f t="shared" si="16"/>
        <v>30</v>
      </c>
      <c r="AI15" s="237">
        <f t="shared" si="17"/>
        <v>2</v>
      </c>
      <c r="AJ15" s="61">
        <f t="shared" si="18"/>
        <v>0.25</v>
      </c>
      <c r="AK15" s="61"/>
      <c r="AL15" s="201">
        <f t="shared" si="19"/>
        <v>40</v>
      </c>
      <c r="AM15" s="201">
        <f t="shared" si="20"/>
        <v>35</v>
      </c>
      <c r="AN15" s="386">
        <f t="shared" si="21"/>
        <v>31</v>
      </c>
      <c r="AO15" s="386">
        <f t="shared" si="22"/>
        <v>1.77</v>
      </c>
      <c r="AP15" s="386">
        <f t="shared" si="23"/>
        <v>2.2000000000000002</v>
      </c>
      <c r="AQ15" s="386">
        <f t="shared" si="24"/>
        <v>35.4</v>
      </c>
      <c r="AR15" s="15">
        <v>0</v>
      </c>
      <c r="AS15" s="15">
        <f t="shared" si="25"/>
        <v>2530.2582871999998</v>
      </c>
      <c r="AT15" s="386">
        <f t="shared" si="26"/>
        <v>330.01480196210366</v>
      </c>
      <c r="AU15" s="386">
        <f t="shared" si="27"/>
        <v>0</v>
      </c>
      <c r="AV15" s="386">
        <f t="shared" si="28"/>
        <v>15.735546451447487</v>
      </c>
      <c r="AW15" s="386">
        <f t="shared" si="29"/>
        <v>201.18602273956358</v>
      </c>
      <c r="AX15" s="386">
        <f t="shared" si="30"/>
        <v>276.53241014693435</v>
      </c>
      <c r="AY15" s="386">
        <f t="shared" si="31"/>
        <v>353.37136822402573</v>
      </c>
      <c r="AZ15" s="386">
        <f t="shared" si="32"/>
        <v>3707.0984367240753</v>
      </c>
    </row>
    <row r="16" spans="1:52" s="240" customFormat="1" ht="12.75" customHeight="1" outlineLevel="2" x14ac:dyDescent="0.25">
      <c r="A16" s="314"/>
      <c r="B16" s="304" t="str">
        <f t="shared" si="0"/>
        <v>Кабель ВБШв 2*185мс (N) - 1 ГОСТ 31996-2012</v>
      </c>
      <c r="C16" s="243">
        <v>2</v>
      </c>
      <c r="D16" s="227" t="s">
        <v>40</v>
      </c>
      <c r="E16" s="229">
        <v>185</v>
      </c>
      <c r="F16" s="307" t="s">
        <v>151</v>
      </c>
      <c r="G16" s="387">
        <v>37</v>
      </c>
      <c r="H16" s="23" t="s">
        <v>40</v>
      </c>
      <c r="I16" s="388">
        <v>2.5</v>
      </c>
      <c r="J16" s="14">
        <v>176.83</v>
      </c>
      <c r="K16" s="395">
        <v>10.8</v>
      </c>
      <c r="L16" s="396">
        <v>24</v>
      </c>
      <c r="M16" s="14">
        <v>0</v>
      </c>
      <c r="N16" s="14">
        <v>201.23</v>
      </c>
      <c r="O16" s="14">
        <v>58.42</v>
      </c>
      <c r="P16" s="386">
        <f t="shared" si="1"/>
        <v>1.79</v>
      </c>
      <c r="Q16" s="386">
        <f t="shared" si="2"/>
        <v>2.1</v>
      </c>
      <c r="R16" s="247">
        <f t="shared" si="3"/>
        <v>14.38</v>
      </c>
      <c r="S16" s="23" t="s">
        <v>40</v>
      </c>
      <c r="T16" s="246">
        <f t="shared" si="4"/>
        <v>27.58</v>
      </c>
      <c r="U16" s="247">
        <f t="shared" si="5"/>
        <v>15</v>
      </c>
      <c r="V16" s="23" t="s">
        <v>40</v>
      </c>
      <c r="W16" s="245">
        <f t="shared" si="6"/>
        <v>28.2</v>
      </c>
      <c r="X16" s="386">
        <f t="shared" si="7"/>
        <v>30</v>
      </c>
      <c r="Y16" s="43">
        <f t="shared" si="8"/>
        <v>0</v>
      </c>
      <c r="Z16" s="218">
        <f t="shared" si="9"/>
        <v>2</v>
      </c>
      <c r="AA16" s="251">
        <f t="shared" si="10"/>
        <v>0.05</v>
      </c>
      <c r="AB16" s="248" t="s">
        <v>40</v>
      </c>
      <c r="AC16" s="250">
        <f t="shared" si="11"/>
        <v>60</v>
      </c>
      <c r="AD16" s="249">
        <f t="shared" si="12"/>
        <v>25</v>
      </c>
      <c r="AE16" s="43">
        <f t="shared" si="13"/>
        <v>30.2</v>
      </c>
      <c r="AF16" s="386">
        <f t="shared" si="14"/>
        <v>0.6</v>
      </c>
      <c r="AG16" s="386">
        <f t="shared" si="15"/>
        <v>1.5</v>
      </c>
      <c r="AH16" s="386">
        <f t="shared" si="16"/>
        <v>33.200000000000003</v>
      </c>
      <c r="AI16" s="237">
        <f t="shared" si="17"/>
        <v>2</v>
      </c>
      <c r="AJ16" s="61">
        <f t="shared" si="18"/>
        <v>0.25</v>
      </c>
      <c r="AK16" s="61"/>
      <c r="AL16" s="201">
        <f t="shared" si="19"/>
        <v>50</v>
      </c>
      <c r="AM16" s="201">
        <f t="shared" si="20"/>
        <v>35</v>
      </c>
      <c r="AN16" s="386">
        <f t="shared" si="21"/>
        <v>34.200000000000003</v>
      </c>
      <c r="AO16" s="386">
        <f t="shared" si="22"/>
        <v>1.77</v>
      </c>
      <c r="AP16" s="386">
        <f t="shared" si="23"/>
        <v>2.2000000000000002</v>
      </c>
      <c r="AQ16" s="386">
        <f t="shared" si="24"/>
        <v>38.6</v>
      </c>
      <c r="AR16" s="15">
        <v>0</v>
      </c>
      <c r="AS16" s="15">
        <f t="shared" si="25"/>
        <v>3166.0456617999998</v>
      </c>
      <c r="AT16" s="386">
        <f t="shared" si="26"/>
        <v>405.32694241712943</v>
      </c>
      <c r="AU16" s="386">
        <f t="shared" si="27"/>
        <v>0</v>
      </c>
      <c r="AV16" s="386">
        <f t="shared" si="28"/>
        <v>17.607433018162428</v>
      </c>
      <c r="AW16" s="386">
        <f t="shared" si="29"/>
        <v>223.7753305559356</v>
      </c>
      <c r="AX16" s="386">
        <f t="shared" si="30"/>
        <v>305.54564662136687</v>
      </c>
      <c r="AY16" s="386">
        <f t="shared" si="31"/>
        <v>387.4312591371849</v>
      </c>
      <c r="AZ16" s="386">
        <f t="shared" si="32"/>
        <v>4505.7322735497783</v>
      </c>
    </row>
    <row r="17" spans="1:52" s="240" customFormat="1" ht="12.75" customHeight="1" outlineLevel="2" x14ac:dyDescent="0.25">
      <c r="A17" s="314"/>
      <c r="B17" s="304" t="str">
        <f t="shared" si="0"/>
        <v>Кабель ВБШв 2*240мс (N) - 1 ГОСТ 31996-2012</v>
      </c>
      <c r="C17" s="243">
        <v>2</v>
      </c>
      <c r="D17" s="227" t="s">
        <v>40</v>
      </c>
      <c r="E17" s="229">
        <v>240</v>
      </c>
      <c r="F17" s="307" t="s">
        <v>151</v>
      </c>
      <c r="G17" s="387">
        <v>37</v>
      </c>
      <c r="H17" s="23" t="s">
        <v>40</v>
      </c>
      <c r="I17" s="388">
        <v>2.87</v>
      </c>
      <c r="J17" s="14">
        <v>232.41</v>
      </c>
      <c r="K17" s="395">
        <v>12.3</v>
      </c>
      <c r="L17" s="396">
        <v>27.4</v>
      </c>
      <c r="M17" s="14">
        <v>0</v>
      </c>
      <c r="N17" s="14">
        <v>261.06</v>
      </c>
      <c r="O17" s="14">
        <v>66.73</v>
      </c>
      <c r="P17" s="386">
        <f t="shared" si="1"/>
        <v>1.9700000000000002</v>
      </c>
      <c r="Q17" s="386">
        <f t="shared" si="2"/>
        <v>2.3000000000000003</v>
      </c>
      <c r="R17" s="247">
        <f t="shared" si="3"/>
        <v>16.240000000000002</v>
      </c>
      <c r="S17" s="23" t="s">
        <v>40</v>
      </c>
      <c r="T17" s="246">
        <f t="shared" si="4"/>
        <v>31.34</v>
      </c>
      <c r="U17" s="247">
        <f t="shared" si="5"/>
        <v>16.900000000000002</v>
      </c>
      <c r="V17" s="23" t="s">
        <v>40</v>
      </c>
      <c r="W17" s="245">
        <f t="shared" si="6"/>
        <v>32</v>
      </c>
      <c r="X17" s="386">
        <f t="shared" si="7"/>
        <v>33.800000000000004</v>
      </c>
      <c r="Y17" s="43">
        <f t="shared" si="8"/>
        <v>0</v>
      </c>
      <c r="Z17" s="218">
        <f t="shared" si="9"/>
        <v>2</v>
      </c>
      <c r="AA17" s="251">
        <f t="shared" si="10"/>
        <v>0.05</v>
      </c>
      <c r="AB17" s="248" t="s">
        <v>40</v>
      </c>
      <c r="AC17" s="250">
        <f t="shared" si="11"/>
        <v>60</v>
      </c>
      <c r="AD17" s="249">
        <f t="shared" si="12"/>
        <v>25</v>
      </c>
      <c r="AE17" s="43">
        <f t="shared" si="13"/>
        <v>34.000000000000007</v>
      </c>
      <c r="AF17" s="386">
        <f t="shared" si="14"/>
        <v>0.6</v>
      </c>
      <c r="AG17" s="386">
        <f t="shared" si="15"/>
        <v>1.5</v>
      </c>
      <c r="AH17" s="386">
        <f t="shared" si="16"/>
        <v>37.000000000000007</v>
      </c>
      <c r="AI17" s="237">
        <f t="shared" si="17"/>
        <v>2</v>
      </c>
      <c r="AJ17" s="61">
        <f t="shared" si="18"/>
        <v>0.25</v>
      </c>
      <c r="AK17" s="61"/>
      <c r="AL17" s="201">
        <f t="shared" si="19"/>
        <v>50</v>
      </c>
      <c r="AM17" s="201">
        <f t="shared" si="20"/>
        <v>35</v>
      </c>
      <c r="AN17" s="386">
        <f t="shared" si="21"/>
        <v>38.000000000000007</v>
      </c>
      <c r="AO17" s="386">
        <f t="shared" si="22"/>
        <v>1.77</v>
      </c>
      <c r="AP17" s="386">
        <f t="shared" si="23"/>
        <v>2.2000000000000002</v>
      </c>
      <c r="AQ17" s="386">
        <f t="shared" si="24"/>
        <v>42.400000000000006</v>
      </c>
      <c r="AR17" s="15">
        <v>0</v>
      </c>
      <c r="AS17" s="15">
        <f t="shared" si="25"/>
        <v>4161.1755485999993</v>
      </c>
      <c r="AT17" s="386">
        <f t="shared" si="26"/>
        <v>504.9591209520579</v>
      </c>
      <c r="AU17" s="386">
        <f t="shared" si="27"/>
        <v>0</v>
      </c>
      <c r="AV17" s="386">
        <f t="shared" si="28"/>
        <v>19.830298316136425</v>
      </c>
      <c r="AW17" s="386">
        <f t="shared" si="29"/>
        <v>250.60013358787745</v>
      </c>
      <c r="AX17" s="386">
        <f t="shared" si="30"/>
        <v>339.99886493475543</v>
      </c>
      <c r="AY17" s="386">
        <f t="shared" si="31"/>
        <v>427.87737959656135</v>
      </c>
      <c r="AZ17" s="386">
        <f t="shared" si="32"/>
        <v>5704.4413459873876</v>
      </c>
    </row>
    <row r="18" spans="1:52" s="240" customFormat="1" outlineLevel="1" x14ac:dyDescent="0.25">
      <c r="A18" s="313">
        <v>2</v>
      </c>
      <c r="B18" s="304"/>
      <c r="C18" s="397"/>
      <c r="D18" s="232"/>
      <c r="E18" s="233"/>
      <c r="F18" s="235"/>
      <c r="G18" s="222"/>
      <c r="H18" s="223"/>
      <c r="I18" s="188"/>
      <c r="J18" s="224"/>
      <c r="K18" s="224"/>
      <c r="L18" s="224"/>
      <c r="M18" s="224"/>
      <c r="N18" s="224"/>
      <c r="O18" s="224"/>
      <c r="P18" s="386"/>
      <c r="Q18" s="386"/>
      <c r="R18" s="247"/>
      <c r="S18" s="23"/>
      <c r="T18" s="246"/>
      <c r="U18" s="247"/>
      <c r="V18" s="23"/>
      <c r="W18" s="245"/>
      <c r="X18" s="386"/>
      <c r="Y18" s="43"/>
      <c r="Z18" s="218"/>
      <c r="AA18" s="251"/>
      <c r="AB18" s="248"/>
      <c r="AC18" s="250"/>
      <c r="AD18" s="249"/>
      <c r="AE18" s="43"/>
      <c r="AF18" s="386"/>
      <c r="AG18" s="386"/>
      <c r="AH18" s="386"/>
      <c r="AI18" s="237"/>
      <c r="AJ18" s="61"/>
      <c r="AK18" s="61"/>
      <c r="AL18" s="201"/>
      <c r="AM18" s="201"/>
      <c r="AN18" s="386"/>
      <c r="AO18" s="386"/>
      <c r="AP18" s="386"/>
      <c r="AQ18" s="386"/>
      <c r="AR18" s="15"/>
      <c r="AS18" s="15"/>
      <c r="AT18" s="386"/>
      <c r="AU18" s="386"/>
      <c r="AV18" s="386"/>
      <c r="AW18" s="386"/>
      <c r="AX18" s="386"/>
      <c r="AY18" s="386"/>
      <c r="AZ18" s="386"/>
    </row>
    <row r="19" spans="1:52" s="240" customFormat="1" ht="12.75" customHeight="1" outlineLevel="2" x14ac:dyDescent="0.25">
      <c r="A19" s="314"/>
      <c r="B19" s="304" t="str">
        <f t="shared" si="0"/>
        <v>Кабель ВБШв 3*35мс (N, PE) - 1 ГОСТ 31996-2012</v>
      </c>
      <c r="C19" s="243">
        <v>3</v>
      </c>
      <c r="D19" s="227" t="s">
        <v>40</v>
      </c>
      <c r="E19" s="229">
        <v>35</v>
      </c>
      <c r="F19" s="307" t="s">
        <v>151</v>
      </c>
      <c r="G19" s="387">
        <v>7</v>
      </c>
      <c r="H19" s="23" t="s">
        <v>40</v>
      </c>
      <c r="I19" s="388">
        <v>2.5499999999999998</v>
      </c>
      <c r="J19" s="14">
        <v>33.44</v>
      </c>
      <c r="K19" s="395">
        <v>5.8</v>
      </c>
      <c r="L19" s="396">
        <v>9.6</v>
      </c>
      <c r="M19" s="14">
        <v>2</v>
      </c>
      <c r="N19" s="14">
        <v>39.4</v>
      </c>
      <c r="O19" s="14">
        <v>23.92</v>
      </c>
      <c r="P19" s="386">
        <f t="shared" ref="P19:P21" si="33">Q19-(Q19*0.1+0.1)</f>
        <v>1.07</v>
      </c>
      <c r="Q19" s="386">
        <f t="shared" ref="Q19:Q37" si="34">IF(E19=1.5,0.8,IF(E19=2.5,0.8,IF(E19=4,1,IF(E19=6,1,IF(E19=10,1,IF(E19=16,1,IF(E19=25,1.2,IF(E19=35,1.2,IF(E19=50,1.4,IF(E19=70,1.4,IF(E19=95,1.6,IF(E19=120,1.6,IF(E19=150,1.8,IF(E19=185,2,IF(E19=240,2.2,IF(E19=300,2.4,"ошибка"))))))))))))))))+0.1</f>
        <v>1.3</v>
      </c>
      <c r="R19" s="247">
        <f t="shared" si="3"/>
        <v>7.9399999999999995</v>
      </c>
      <c r="S19" s="23" t="s">
        <v>40</v>
      </c>
      <c r="T19" s="246">
        <f t="shared" si="4"/>
        <v>11.74</v>
      </c>
      <c r="U19" s="247">
        <f t="shared" si="5"/>
        <v>8.4</v>
      </c>
      <c r="V19" s="23" t="s">
        <v>40</v>
      </c>
      <c r="W19" s="245">
        <f t="shared" si="6"/>
        <v>12.2</v>
      </c>
      <c r="X19" s="386">
        <f t="shared" si="7"/>
        <v>17.821023553303061</v>
      </c>
      <c r="Y19" s="43">
        <f t="shared" si="8"/>
        <v>0</v>
      </c>
      <c r="Z19" s="218">
        <f t="shared" si="9"/>
        <v>2</v>
      </c>
      <c r="AA19" s="251">
        <f t="shared" si="10"/>
        <v>3.5000000000000003E-2</v>
      </c>
      <c r="AB19" s="248" t="s">
        <v>40</v>
      </c>
      <c r="AC19" s="250">
        <f t="shared" si="11"/>
        <v>50</v>
      </c>
      <c r="AD19" s="249">
        <f t="shared" si="12"/>
        <v>25</v>
      </c>
      <c r="AE19" s="43">
        <f t="shared" si="13"/>
        <v>17.961023553303061</v>
      </c>
      <c r="AF19" s="386">
        <f t="shared" si="14"/>
        <v>0.5</v>
      </c>
      <c r="AG19" s="386">
        <f t="shared" si="15"/>
        <v>1.4</v>
      </c>
      <c r="AH19" s="386">
        <f t="shared" si="16"/>
        <v>20.761023553303062</v>
      </c>
      <c r="AI19" s="237">
        <f t="shared" si="17"/>
        <v>2</v>
      </c>
      <c r="AJ19" s="61">
        <f t="shared" si="18"/>
        <v>0.25</v>
      </c>
      <c r="AK19" s="61"/>
      <c r="AL19" s="201">
        <f t="shared" si="19"/>
        <v>30</v>
      </c>
      <c r="AM19" s="201">
        <f t="shared" si="20"/>
        <v>35</v>
      </c>
      <c r="AN19" s="386">
        <f t="shared" si="21"/>
        <v>21.761023553303062</v>
      </c>
      <c r="AO19" s="386">
        <f t="shared" si="22"/>
        <v>1.6</v>
      </c>
      <c r="AP19" s="386">
        <f t="shared" si="23"/>
        <v>2</v>
      </c>
      <c r="AQ19" s="386">
        <f t="shared" si="24"/>
        <v>25.761023553303062</v>
      </c>
      <c r="AR19" s="15">
        <v>0</v>
      </c>
      <c r="AS19" s="15">
        <f t="shared" si="25"/>
        <v>898.08771359999992</v>
      </c>
      <c r="AT19" s="386">
        <f t="shared" si="26"/>
        <v>162.1110887826629</v>
      </c>
      <c r="AU19" s="386">
        <f t="shared" si="27"/>
        <v>0</v>
      </c>
      <c r="AV19" s="386">
        <f t="shared" si="28"/>
        <v>7.3259302056081399</v>
      </c>
      <c r="AW19" s="386">
        <f t="shared" si="29"/>
        <v>127.56103519996437</v>
      </c>
      <c r="AX19" s="386">
        <f t="shared" si="30"/>
        <v>192.76597001264372</v>
      </c>
      <c r="AY19" s="386">
        <f t="shared" si="31"/>
        <v>229.91416767343932</v>
      </c>
      <c r="AZ19" s="386">
        <f t="shared" si="32"/>
        <v>1617.7659054743183</v>
      </c>
    </row>
    <row r="20" spans="1:52" s="240" customFormat="1" ht="12.75" customHeight="1" outlineLevel="2" x14ac:dyDescent="0.25">
      <c r="A20" s="314"/>
      <c r="B20" s="304" t="str">
        <f t="shared" si="0"/>
        <v>Кабель ВБШв 3*50мс (N, PE) - 1 ГОСТ 31996-2012</v>
      </c>
      <c r="C20" s="243">
        <v>3</v>
      </c>
      <c r="D20" s="227" t="s">
        <v>40</v>
      </c>
      <c r="E20" s="229">
        <v>50</v>
      </c>
      <c r="F20" s="307" t="s">
        <v>151</v>
      </c>
      <c r="G20" s="387">
        <v>7</v>
      </c>
      <c r="H20" s="23" t="s">
        <v>40</v>
      </c>
      <c r="I20" s="388">
        <v>3</v>
      </c>
      <c r="J20" s="14">
        <v>45.28</v>
      </c>
      <c r="K20" s="395">
        <v>6.8</v>
      </c>
      <c r="L20" s="396">
        <v>11.2</v>
      </c>
      <c r="M20" s="14">
        <v>2</v>
      </c>
      <c r="N20" s="14">
        <v>53.57</v>
      </c>
      <c r="O20" s="14">
        <v>27.96</v>
      </c>
      <c r="P20" s="386">
        <f t="shared" si="33"/>
        <v>1.25</v>
      </c>
      <c r="Q20" s="386">
        <f t="shared" si="34"/>
        <v>1.5</v>
      </c>
      <c r="R20" s="247">
        <f t="shared" si="3"/>
        <v>9.3000000000000007</v>
      </c>
      <c r="S20" s="23" t="s">
        <v>40</v>
      </c>
      <c r="T20" s="246">
        <f t="shared" si="4"/>
        <v>13.7</v>
      </c>
      <c r="U20" s="247">
        <f t="shared" si="5"/>
        <v>9.8000000000000007</v>
      </c>
      <c r="V20" s="23" t="s">
        <v>40</v>
      </c>
      <c r="W20" s="245">
        <f t="shared" si="6"/>
        <v>14.2</v>
      </c>
      <c r="X20" s="386">
        <f t="shared" si="7"/>
        <v>20.682903768654761</v>
      </c>
      <c r="Y20" s="43">
        <f t="shared" si="8"/>
        <v>0</v>
      </c>
      <c r="Z20" s="218">
        <f t="shared" si="9"/>
        <v>2</v>
      </c>
      <c r="AA20" s="251">
        <f t="shared" si="10"/>
        <v>0.05</v>
      </c>
      <c r="AB20" s="248" t="s">
        <v>40</v>
      </c>
      <c r="AC20" s="250">
        <f t="shared" si="11"/>
        <v>60</v>
      </c>
      <c r="AD20" s="249">
        <f t="shared" si="12"/>
        <v>25</v>
      </c>
      <c r="AE20" s="43">
        <f t="shared" si="13"/>
        <v>20.88290376865476</v>
      </c>
      <c r="AF20" s="386">
        <f t="shared" si="14"/>
        <v>0.5</v>
      </c>
      <c r="AG20" s="386">
        <f t="shared" si="15"/>
        <v>1.4</v>
      </c>
      <c r="AH20" s="386">
        <f t="shared" si="16"/>
        <v>23.682903768654761</v>
      </c>
      <c r="AI20" s="237">
        <f t="shared" si="17"/>
        <v>2</v>
      </c>
      <c r="AJ20" s="61">
        <f t="shared" si="18"/>
        <v>0.25</v>
      </c>
      <c r="AK20" s="61"/>
      <c r="AL20" s="201">
        <f t="shared" si="19"/>
        <v>40</v>
      </c>
      <c r="AM20" s="201">
        <f t="shared" si="20"/>
        <v>35</v>
      </c>
      <c r="AN20" s="386">
        <f t="shared" si="21"/>
        <v>24.682903768654761</v>
      </c>
      <c r="AO20" s="386">
        <f t="shared" si="22"/>
        <v>1.6</v>
      </c>
      <c r="AP20" s="386">
        <f t="shared" si="23"/>
        <v>2</v>
      </c>
      <c r="AQ20" s="386">
        <f t="shared" si="24"/>
        <v>28.682903768654761</v>
      </c>
      <c r="AR20" s="15">
        <v>0</v>
      </c>
      <c r="AS20" s="15">
        <f t="shared" si="25"/>
        <v>1216.0709231999999</v>
      </c>
      <c r="AT20" s="386">
        <f t="shared" si="26"/>
        <v>218.23296779963991</v>
      </c>
      <c r="AU20" s="386">
        <f t="shared" si="27"/>
        <v>0</v>
      </c>
      <c r="AV20" s="386">
        <f t="shared" si="28"/>
        <v>12.157261994335688</v>
      </c>
      <c r="AW20" s="386">
        <f t="shared" si="29"/>
        <v>146.81198357954889</v>
      </c>
      <c r="AX20" s="386">
        <f t="shared" si="30"/>
        <v>219.25759552450765</v>
      </c>
      <c r="AY20" s="386">
        <f t="shared" si="31"/>
        <v>258.18658852463159</v>
      </c>
      <c r="AZ20" s="386">
        <f t="shared" si="32"/>
        <v>2070.7173206226635</v>
      </c>
    </row>
    <row r="21" spans="1:52" s="240" customFormat="1" ht="12.75" customHeight="1" outlineLevel="2" x14ac:dyDescent="0.25">
      <c r="A21" s="314"/>
      <c r="B21" s="304" t="str">
        <f t="shared" si="0"/>
        <v>Кабель ВБШв 3*70мс (N, PE) - 1 ГОСТ 31996-2012</v>
      </c>
      <c r="C21" s="243">
        <v>3</v>
      </c>
      <c r="D21" s="227" t="s">
        <v>40</v>
      </c>
      <c r="E21" s="229">
        <v>70</v>
      </c>
      <c r="F21" s="307" t="s">
        <v>151</v>
      </c>
      <c r="G21" s="387">
        <v>19</v>
      </c>
      <c r="H21" s="23" t="s">
        <v>40</v>
      </c>
      <c r="I21" s="388">
        <v>2.13</v>
      </c>
      <c r="J21" s="14">
        <v>65.39</v>
      </c>
      <c r="K21" s="395">
        <v>8.1999999999999993</v>
      </c>
      <c r="L21" s="396">
        <v>13.4</v>
      </c>
      <c r="M21" s="14">
        <v>2</v>
      </c>
      <c r="N21" s="14">
        <v>76.8</v>
      </c>
      <c r="O21" s="14">
        <v>33.520000000000003</v>
      </c>
      <c r="P21" s="386">
        <f t="shared" si="33"/>
        <v>1.25</v>
      </c>
      <c r="Q21" s="386">
        <f t="shared" si="34"/>
        <v>1.5</v>
      </c>
      <c r="R21" s="247">
        <f t="shared" si="3"/>
        <v>10.7</v>
      </c>
      <c r="S21" s="23" t="s">
        <v>40</v>
      </c>
      <c r="T21" s="246">
        <f t="shared" si="4"/>
        <v>15.9</v>
      </c>
      <c r="U21" s="247">
        <f t="shared" si="5"/>
        <v>11.2</v>
      </c>
      <c r="V21" s="23" t="s">
        <v>40</v>
      </c>
      <c r="W21" s="245">
        <f t="shared" si="6"/>
        <v>16.399999999999999</v>
      </c>
      <c r="X21" s="386">
        <f t="shared" si="7"/>
        <v>23.482903768654758</v>
      </c>
      <c r="Y21" s="43">
        <f t="shared" si="8"/>
        <v>0</v>
      </c>
      <c r="Z21" s="218">
        <f t="shared" si="9"/>
        <v>2</v>
      </c>
      <c r="AA21" s="251">
        <f t="shared" si="10"/>
        <v>0.05</v>
      </c>
      <c r="AB21" s="248" t="s">
        <v>40</v>
      </c>
      <c r="AC21" s="250">
        <f t="shared" si="11"/>
        <v>60</v>
      </c>
      <c r="AD21" s="249">
        <f t="shared" si="12"/>
        <v>25</v>
      </c>
      <c r="AE21" s="43">
        <f t="shared" si="13"/>
        <v>23.682903768654757</v>
      </c>
      <c r="AF21" s="386">
        <f t="shared" si="14"/>
        <v>0.5</v>
      </c>
      <c r="AG21" s="386">
        <f t="shared" si="15"/>
        <v>1.4</v>
      </c>
      <c r="AH21" s="386">
        <f t="shared" si="16"/>
        <v>26.482903768654758</v>
      </c>
      <c r="AI21" s="237">
        <f t="shared" si="17"/>
        <v>2</v>
      </c>
      <c r="AJ21" s="61">
        <f t="shared" si="18"/>
        <v>0.25</v>
      </c>
      <c r="AK21" s="61"/>
      <c r="AL21" s="201">
        <f t="shared" si="19"/>
        <v>40</v>
      </c>
      <c r="AM21" s="201">
        <f t="shared" si="20"/>
        <v>35</v>
      </c>
      <c r="AN21" s="386">
        <f t="shared" si="21"/>
        <v>27.482903768654758</v>
      </c>
      <c r="AO21" s="386">
        <f t="shared" si="22"/>
        <v>1.6</v>
      </c>
      <c r="AP21" s="386">
        <f t="shared" si="23"/>
        <v>2</v>
      </c>
      <c r="AQ21" s="386">
        <f t="shared" si="24"/>
        <v>31.482903768654758</v>
      </c>
      <c r="AR21" s="15">
        <v>0</v>
      </c>
      <c r="AS21" s="15">
        <f t="shared" si="25"/>
        <v>1756.1589590999999</v>
      </c>
      <c r="AT21" s="386">
        <f t="shared" si="26"/>
        <v>255.37060415963992</v>
      </c>
      <c r="AU21" s="386">
        <f t="shared" si="27"/>
        <v>0</v>
      </c>
      <c r="AV21" s="386">
        <f t="shared" si="28"/>
        <v>13.795162740211259</v>
      </c>
      <c r="AW21" s="386">
        <f t="shared" si="29"/>
        <v>165.25991829625275</v>
      </c>
      <c r="AX21" s="386">
        <f t="shared" si="30"/>
        <v>244.644177439636</v>
      </c>
      <c r="AY21" s="386">
        <f t="shared" si="31"/>
        <v>285.2796835691899</v>
      </c>
      <c r="AZ21" s="386">
        <f t="shared" si="32"/>
        <v>2720.5085053049297</v>
      </c>
    </row>
    <row r="22" spans="1:52" s="240" customFormat="1" ht="12.75" customHeight="1" outlineLevel="2" x14ac:dyDescent="0.25">
      <c r="A22" s="314"/>
      <c r="B22" s="304" t="str">
        <f t="shared" si="0"/>
        <v>Кабель ВБШв 3*95мс (N, PE) - 1 ГОСТ 31996-2012</v>
      </c>
      <c r="C22" s="243">
        <v>3</v>
      </c>
      <c r="D22" s="227" t="s">
        <v>40</v>
      </c>
      <c r="E22" s="229">
        <v>95</v>
      </c>
      <c r="F22" s="307" t="s">
        <v>151</v>
      </c>
      <c r="G22" s="387">
        <v>19</v>
      </c>
      <c r="H22" s="23" t="s">
        <v>40</v>
      </c>
      <c r="I22" s="388">
        <v>2.5</v>
      </c>
      <c r="J22" s="14">
        <v>90.8</v>
      </c>
      <c r="K22" s="395">
        <v>9.6</v>
      </c>
      <c r="L22" s="396">
        <v>15.7</v>
      </c>
      <c r="M22" s="14">
        <v>2</v>
      </c>
      <c r="N22" s="14">
        <v>104.39</v>
      </c>
      <c r="O22" s="14">
        <v>39.14</v>
      </c>
      <c r="P22" s="386">
        <f t="shared" ref="P22:P31" si="35">Q22-(Q22*0.1+0.1)</f>
        <v>1.4300000000000002</v>
      </c>
      <c r="Q22" s="386">
        <f t="shared" si="34"/>
        <v>1.7000000000000002</v>
      </c>
      <c r="R22" s="247">
        <f t="shared" si="3"/>
        <v>12.46</v>
      </c>
      <c r="S22" s="23" t="s">
        <v>40</v>
      </c>
      <c r="T22" s="246">
        <f t="shared" si="4"/>
        <v>18.559999999999999</v>
      </c>
      <c r="U22" s="247">
        <f t="shared" si="5"/>
        <v>13</v>
      </c>
      <c r="V22" s="23" t="s">
        <v>40</v>
      </c>
      <c r="W22" s="245">
        <f t="shared" si="6"/>
        <v>19.100000000000001</v>
      </c>
      <c r="X22" s="386">
        <f t="shared" si="7"/>
        <v>27.144783984006462</v>
      </c>
      <c r="Y22" s="43">
        <f t="shared" si="8"/>
        <v>0</v>
      </c>
      <c r="Z22" s="218">
        <f t="shared" si="9"/>
        <v>2</v>
      </c>
      <c r="AA22" s="251">
        <f t="shared" si="10"/>
        <v>0.05</v>
      </c>
      <c r="AB22" s="248" t="s">
        <v>40</v>
      </c>
      <c r="AC22" s="250">
        <f t="shared" si="11"/>
        <v>60</v>
      </c>
      <c r="AD22" s="249">
        <f t="shared" si="12"/>
        <v>25</v>
      </c>
      <c r="AE22" s="43">
        <f t="shared" si="13"/>
        <v>27.344783984006462</v>
      </c>
      <c r="AF22" s="386">
        <f t="shared" si="14"/>
        <v>0.6</v>
      </c>
      <c r="AG22" s="386">
        <f t="shared" si="15"/>
        <v>1.5</v>
      </c>
      <c r="AH22" s="386">
        <f t="shared" si="16"/>
        <v>30.344783984006462</v>
      </c>
      <c r="AI22" s="237">
        <f t="shared" si="17"/>
        <v>2</v>
      </c>
      <c r="AJ22" s="61">
        <f t="shared" si="18"/>
        <v>0.25</v>
      </c>
      <c r="AK22" s="61"/>
      <c r="AL22" s="201">
        <f t="shared" si="19"/>
        <v>40</v>
      </c>
      <c r="AM22" s="201">
        <f t="shared" si="20"/>
        <v>35</v>
      </c>
      <c r="AN22" s="386">
        <f t="shared" si="21"/>
        <v>31.344783984006462</v>
      </c>
      <c r="AO22" s="386">
        <f t="shared" si="22"/>
        <v>1.77</v>
      </c>
      <c r="AP22" s="386">
        <f t="shared" si="23"/>
        <v>2.2000000000000002</v>
      </c>
      <c r="AQ22" s="386">
        <f t="shared" si="24"/>
        <v>35.74478398400646</v>
      </c>
      <c r="AR22" s="15">
        <v>0</v>
      </c>
      <c r="AS22" s="15">
        <f t="shared" si="25"/>
        <v>2438.5874519999998</v>
      </c>
      <c r="AT22" s="386">
        <f t="shared" si="26"/>
        <v>336.71992553847087</v>
      </c>
      <c r="AU22" s="386">
        <f t="shared" si="27"/>
        <v>0</v>
      </c>
      <c r="AV22" s="386">
        <f t="shared" si="28"/>
        <v>15.937232860222535</v>
      </c>
      <c r="AW22" s="386">
        <f t="shared" si="29"/>
        <v>203.61990759733763</v>
      </c>
      <c r="AX22" s="386">
        <f t="shared" si="30"/>
        <v>279.65844116586447</v>
      </c>
      <c r="AY22" s="386">
        <f t="shared" si="31"/>
        <v>357.04115100023336</v>
      </c>
      <c r="AZ22" s="386">
        <f t="shared" si="32"/>
        <v>3631.5641101621286</v>
      </c>
    </row>
    <row r="23" spans="1:52" s="240" customFormat="1" ht="12.75" customHeight="1" outlineLevel="2" x14ac:dyDescent="0.25">
      <c r="A23" s="314"/>
      <c r="B23" s="304" t="str">
        <f t="shared" si="0"/>
        <v>Кабель ВБШв 3*120мс (N, PE) - 1 ГОСТ 31996-2012</v>
      </c>
      <c r="C23" s="243">
        <v>3</v>
      </c>
      <c r="D23" s="227" t="s">
        <v>40</v>
      </c>
      <c r="E23" s="229">
        <v>120</v>
      </c>
      <c r="F23" s="307" t="s">
        <v>151</v>
      </c>
      <c r="G23" s="387">
        <v>19</v>
      </c>
      <c r="H23" s="23" t="s">
        <v>40</v>
      </c>
      <c r="I23" s="388">
        <v>2.87</v>
      </c>
      <c r="J23" s="14">
        <v>114.53</v>
      </c>
      <c r="K23" s="395">
        <v>10.9</v>
      </c>
      <c r="L23" s="396">
        <v>17.600000000000001</v>
      </c>
      <c r="M23" s="14">
        <v>2</v>
      </c>
      <c r="N23" s="14">
        <v>132.16999999999999</v>
      </c>
      <c r="O23" s="14">
        <v>43.92</v>
      </c>
      <c r="P23" s="386">
        <f t="shared" si="35"/>
        <v>1.4300000000000002</v>
      </c>
      <c r="Q23" s="386">
        <f t="shared" si="34"/>
        <v>1.7000000000000002</v>
      </c>
      <c r="R23" s="247">
        <f t="shared" si="3"/>
        <v>13.760000000000002</v>
      </c>
      <c r="S23" s="23" t="s">
        <v>40</v>
      </c>
      <c r="T23" s="246">
        <f t="shared" si="4"/>
        <v>20.46</v>
      </c>
      <c r="U23" s="247">
        <f t="shared" si="5"/>
        <v>14.3</v>
      </c>
      <c r="V23" s="23" t="s">
        <v>40</v>
      </c>
      <c r="W23" s="245">
        <f t="shared" si="6"/>
        <v>21</v>
      </c>
      <c r="X23" s="386">
        <f t="shared" si="7"/>
        <v>29.744783984006464</v>
      </c>
      <c r="Y23" s="43">
        <f t="shared" si="8"/>
        <v>0</v>
      </c>
      <c r="Z23" s="218">
        <f t="shared" si="9"/>
        <v>2</v>
      </c>
      <c r="AA23" s="251">
        <f t="shared" si="10"/>
        <v>0.05</v>
      </c>
      <c r="AB23" s="248" t="s">
        <v>40</v>
      </c>
      <c r="AC23" s="250">
        <f t="shared" si="11"/>
        <v>60</v>
      </c>
      <c r="AD23" s="249">
        <f t="shared" si="12"/>
        <v>25</v>
      </c>
      <c r="AE23" s="43">
        <f t="shared" si="13"/>
        <v>29.944783984006463</v>
      </c>
      <c r="AF23" s="386">
        <f t="shared" si="14"/>
        <v>0.6</v>
      </c>
      <c r="AG23" s="386">
        <f t="shared" si="15"/>
        <v>1.5</v>
      </c>
      <c r="AH23" s="386">
        <f t="shared" si="16"/>
        <v>32.944783984006463</v>
      </c>
      <c r="AI23" s="237">
        <f t="shared" si="17"/>
        <v>2</v>
      </c>
      <c r="AJ23" s="61">
        <f t="shared" si="18"/>
        <v>0.25</v>
      </c>
      <c r="AK23" s="61"/>
      <c r="AL23" s="201">
        <f t="shared" si="19"/>
        <v>50</v>
      </c>
      <c r="AM23" s="201">
        <f t="shared" si="20"/>
        <v>35</v>
      </c>
      <c r="AN23" s="386">
        <f t="shared" si="21"/>
        <v>33.944783984006463</v>
      </c>
      <c r="AO23" s="386">
        <f t="shared" si="22"/>
        <v>1.77</v>
      </c>
      <c r="AP23" s="386">
        <f t="shared" si="23"/>
        <v>2.2000000000000002</v>
      </c>
      <c r="AQ23" s="386">
        <f t="shared" si="24"/>
        <v>38.344783984006462</v>
      </c>
      <c r="AR23" s="15">
        <v>0</v>
      </c>
      <c r="AS23" s="15">
        <f t="shared" si="25"/>
        <v>3075.8967057000004</v>
      </c>
      <c r="AT23" s="386">
        <f t="shared" si="26"/>
        <v>372.90462974247083</v>
      </c>
      <c r="AU23" s="386">
        <f t="shared" si="27"/>
        <v>0</v>
      </c>
      <c r="AV23" s="386">
        <f t="shared" si="28"/>
        <v>17.458140695678424</v>
      </c>
      <c r="AW23" s="386">
        <f t="shared" si="29"/>
        <v>221.97372019813994</v>
      </c>
      <c r="AX23" s="386">
        <f t="shared" si="30"/>
        <v>303.23169580134089</v>
      </c>
      <c r="AY23" s="386">
        <f t="shared" si="31"/>
        <v>384.71481236717517</v>
      </c>
      <c r="AZ23" s="386">
        <f t="shared" si="32"/>
        <v>4376.1797045048052</v>
      </c>
    </row>
    <row r="24" spans="1:52" s="240" customFormat="1" ht="12.75" customHeight="1" outlineLevel="2" x14ac:dyDescent="0.25">
      <c r="A24" s="314"/>
      <c r="B24" s="304" t="str">
        <f t="shared" si="0"/>
        <v>Кабель ВБШв 3*150мс (N, PE) - 1 ГОСТ 31996-2012</v>
      </c>
      <c r="C24" s="243">
        <v>3</v>
      </c>
      <c r="D24" s="227" t="s">
        <v>40</v>
      </c>
      <c r="E24" s="229">
        <v>150</v>
      </c>
      <c r="F24" s="307" t="s">
        <v>151</v>
      </c>
      <c r="G24" s="387">
        <v>37</v>
      </c>
      <c r="H24" s="23" t="s">
        <v>40</v>
      </c>
      <c r="I24" s="388">
        <v>2.2599999999999998</v>
      </c>
      <c r="J24" s="14">
        <v>141.32</v>
      </c>
      <c r="K24" s="395">
        <v>12.2</v>
      </c>
      <c r="L24" s="396">
        <v>20</v>
      </c>
      <c r="M24" s="14">
        <v>2</v>
      </c>
      <c r="N24" s="14">
        <v>166.11</v>
      </c>
      <c r="O24" s="14">
        <v>49.53</v>
      </c>
      <c r="P24" s="386">
        <f t="shared" si="35"/>
        <v>1.61</v>
      </c>
      <c r="Q24" s="386">
        <f t="shared" si="34"/>
        <v>1.9000000000000001</v>
      </c>
      <c r="R24" s="247">
        <f t="shared" si="3"/>
        <v>15.42</v>
      </c>
      <c r="S24" s="23" t="s">
        <v>40</v>
      </c>
      <c r="T24" s="246">
        <f t="shared" si="4"/>
        <v>23.22</v>
      </c>
      <c r="U24" s="247">
        <f t="shared" si="5"/>
        <v>16</v>
      </c>
      <c r="V24" s="23" t="s">
        <v>40</v>
      </c>
      <c r="W24" s="245">
        <f t="shared" si="6"/>
        <v>23.8</v>
      </c>
      <c r="X24" s="386">
        <f t="shared" si="7"/>
        <v>33.206664199358158</v>
      </c>
      <c r="Y24" s="43">
        <f t="shared" si="8"/>
        <v>0</v>
      </c>
      <c r="Z24" s="218">
        <f t="shared" si="9"/>
        <v>2</v>
      </c>
      <c r="AA24" s="251">
        <f t="shared" si="10"/>
        <v>0.05</v>
      </c>
      <c r="AB24" s="248" t="s">
        <v>40</v>
      </c>
      <c r="AC24" s="250">
        <f t="shared" si="11"/>
        <v>60</v>
      </c>
      <c r="AD24" s="249">
        <f t="shared" si="12"/>
        <v>25</v>
      </c>
      <c r="AE24" s="43">
        <f t="shared" si="13"/>
        <v>33.406664199358161</v>
      </c>
      <c r="AF24" s="386">
        <f t="shared" si="14"/>
        <v>0.6</v>
      </c>
      <c r="AG24" s="386">
        <f t="shared" si="15"/>
        <v>1.5</v>
      </c>
      <c r="AH24" s="386">
        <f t="shared" si="16"/>
        <v>36.406664199358161</v>
      </c>
      <c r="AI24" s="237">
        <f t="shared" si="17"/>
        <v>2</v>
      </c>
      <c r="AJ24" s="61">
        <f t="shared" si="18"/>
        <v>0.25</v>
      </c>
      <c r="AK24" s="61"/>
      <c r="AL24" s="201">
        <f t="shared" si="19"/>
        <v>50</v>
      </c>
      <c r="AM24" s="201">
        <f t="shared" si="20"/>
        <v>35</v>
      </c>
      <c r="AN24" s="386">
        <f t="shared" si="21"/>
        <v>37.406664199358161</v>
      </c>
      <c r="AO24" s="386">
        <f t="shared" si="22"/>
        <v>1.77</v>
      </c>
      <c r="AP24" s="386">
        <f t="shared" si="23"/>
        <v>2.2000000000000002</v>
      </c>
      <c r="AQ24" s="386">
        <f t="shared" si="24"/>
        <v>41.80666419935816</v>
      </c>
      <c r="AR24" s="15">
        <v>0</v>
      </c>
      <c r="AS24" s="15">
        <f t="shared" si="25"/>
        <v>3795.3874307999995</v>
      </c>
      <c r="AT24" s="386">
        <f t="shared" si="26"/>
        <v>469.55575901715571</v>
      </c>
      <c r="AU24" s="386">
        <f t="shared" si="27"/>
        <v>0</v>
      </c>
      <c r="AV24" s="386">
        <f t="shared" si="28"/>
        <v>19.48321790527001</v>
      </c>
      <c r="AW24" s="386">
        <f t="shared" si="29"/>
        <v>246.41168201313616</v>
      </c>
      <c r="AX24" s="386">
        <f t="shared" si="30"/>
        <v>334.61930496826523</v>
      </c>
      <c r="AY24" s="386">
        <f t="shared" si="31"/>
        <v>421.56208189508226</v>
      </c>
      <c r="AZ24" s="386">
        <f t="shared" si="32"/>
        <v>5287.0194765989081</v>
      </c>
    </row>
    <row r="25" spans="1:52" s="240" customFormat="1" ht="12.75" customHeight="1" outlineLevel="2" x14ac:dyDescent="0.25">
      <c r="A25" s="314"/>
      <c r="B25" s="304" t="str">
        <f t="shared" si="0"/>
        <v>Кабель ВБШв 3*185мс (N, PE) - 1 ГОСТ 31996-2012</v>
      </c>
      <c r="C25" s="243">
        <v>3</v>
      </c>
      <c r="D25" s="227" t="s">
        <v>40</v>
      </c>
      <c r="E25" s="229">
        <v>185</v>
      </c>
      <c r="F25" s="307" t="s">
        <v>151</v>
      </c>
      <c r="G25" s="387">
        <v>37</v>
      </c>
      <c r="H25" s="23" t="s">
        <v>40</v>
      </c>
      <c r="I25" s="388">
        <v>2.5</v>
      </c>
      <c r="J25" s="14">
        <v>176.83</v>
      </c>
      <c r="K25" s="395">
        <v>13.8</v>
      </c>
      <c r="L25" s="396">
        <v>22.8</v>
      </c>
      <c r="M25" s="14">
        <v>2</v>
      </c>
      <c r="N25" s="14">
        <v>211.61</v>
      </c>
      <c r="O25" s="14">
        <v>56.2</v>
      </c>
      <c r="P25" s="386">
        <f t="shared" si="35"/>
        <v>1.79</v>
      </c>
      <c r="Q25" s="386">
        <f t="shared" si="34"/>
        <v>2.1</v>
      </c>
      <c r="R25" s="247">
        <f t="shared" si="3"/>
        <v>17.380000000000003</v>
      </c>
      <c r="S25" s="23" t="s">
        <v>40</v>
      </c>
      <c r="T25" s="246">
        <f t="shared" si="4"/>
        <v>26.380000000000003</v>
      </c>
      <c r="U25" s="247">
        <f t="shared" si="5"/>
        <v>18</v>
      </c>
      <c r="V25" s="23" t="s">
        <v>40</v>
      </c>
      <c r="W25" s="245">
        <f t="shared" si="6"/>
        <v>27</v>
      </c>
      <c r="X25" s="386">
        <f t="shared" si="7"/>
        <v>37.268544414709865</v>
      </c>
      <c r="Y25" s="43">
        <f t="shared" si="8"/>
        <v>0</v>
      </c>
      <c r="Z25" s="218">
        <f t="shared" si="9"/>
        <v>2</v>
      </c>
      <c r="AA25" s="251">
        <f t="shared" si="10"/>
        <v>0.05</v>
      </c>
      <c r="AB25" s="248" t="s">
        <v>40</v>
      </c>
      <c r="AC25" s="250">
        <f t="shared" si="11"/>
        <v>60</v>
      </c>
      <c r="AD25" s="249">
        <f t="shared" si="12"/>
        <v>25</v>
      </c>
      <c r="AE25" s="43">
        <f t="shared" si="13"/>
        <v>37.468544414709868</v>
      </c>
      <c r="AF25" s="386">
        <f t="shared" si="14"/>
        <v>0.7</v>
      </c>
      <c r="AG25" s="386">
        <f t="shared" si="15"/>
        <v>1.6</v>
      </c>
      <c r="AH25" s="386">
        <f t="shared" si="16"/>
        <v>40.668544414709871</v>
      </c>
      <c r="AI25" s="237">
        <f t="shared" si="17"/>
        <v>2</v>
      </c>
      <c r="AJ25" s="61">
        <f t="shared" si="18"/>
        <v>0.25</v>
      </c>
      <c r="AK25" s="61"/>
      <c r="AL25" s="201">
        <f t="shared" si="19"/>
        <v>50</v>
      </c>
      <c r="AM25" s="201">
        <f t="shared" si="20"/>
        <v>35</v>
      </c>
      <c r="AN25" s="386">
        <f t="shared" si="21"/>
        <v>41.668544414709871</v>
      </c>
      <c r="AO25" s="386">
        <f t="shared" si="22"/>
        <v>1.94</v>
      </c>
      <c r="AP25" s="386">
        <f t="shared" si="23"/>
        <v>2.4</v>
      </c>
      <c r="AQ25" s="386">
        <f t="shared" si="24"/>
        <v>46.468544414709868</v>
      </c>
      <c r="AR25" s="15">
        <v>0</v>
      </c>
      <c r="AS25" s="15">
        <f t="shared" si="25"/>
        <v>4749.0684926999993</v>
      </c>
      <c r="AT25" s="386">
        <f t="shared" si="26"/>
        <v>587.23074207769434</v>
      </c>
      <c r="AU25" s="386">
        <f t="shared" si="27"/>
        <v>0</v>
      </c>
      <c r="AV25" s="386">
        <f t="shared" si="28"/>
        <v>21.859273846120651</v>
      </c>
      <c r="AW25" s="386">
        <f t="shared" si="29"/>
        <v>294.17712524049477</v>
      </c>
      <c r="AX25" s="386">
        <f t="shared" si="30"/>
        <v>373.26022325379779</v>
      </c>
      <c r="AY25" s="386">
        <f t="shared" si="31"/>
        <v>511.69425527274717</v>
      </c>
      <c r="AZ25" s="386">
        <f t="shared" si="32"/>
        <v>6537.2901123908532</v>
      </c>
    </row>
    <row r="26" spans="1:52" s="240" customFormat="1" ht="12.75" customHeight="1" outlineLevel="2" x14ac:dyDescent="0.25">
      <c r="A26" s="314"/>
      <c r="B26" s="304" t="str">
        <f t="shared" si="0"/>
        <v>Кабель ВБШв 3*240мс (N, PE) - 1 ГОСТ 31996-2012</v>
      </c>
      <c r="C26" s="243">
        <v>3</v>
      </c>
      <c r="D26" s="227" t="s">
        <v>40</v>
      </c>
      <c r="E26" s="229">
        <v>240</v>
      </c>
      <c r="F26" s="307" t="s">
        <v>151</v>
      </c>
      <c r="G26" s="387">
        <v>37</v>
      </c>
      <c r="H26" s="23" t="s">
        <v>40</v>
      </c>
      <c r="I26" s="388">
        <v>2.87</v>
      </c>
      <c r="J26" s="14">
        <v>232.41</v>
      </c>
      <c r="K26" s="395">
        <v>15.8</v>
      </c>
      <c r="L26" s="396">
        <v>26.3</v>
      </c>
      <c r="M26" s="14">
        <v>2</v>
      </c>
      <c r="N26" s="14">
        <v>276.58999999999997</v>
      </c>
      <c r="O26" s="14">
        <v>64.459999999999994</v>
      </c>
      <c r="P26" s="386">
        <f t="shared" si="35"/>
        <v>1.9700000000000002</v>
      </c>
      <c r="Q26" s="386">
        <f t="shared" si="34"/>
        <v>2.3000000000000003</v>
      </c>
      <c r="R26" s="247">
        <f t="shared" si="3"/>
        <v>19.740000000000002</v>
      </c>
      <c r="S26" s="23" t="s">
        <v>40</v>
      </c>
      <c r="T26" s="246">
        <f t="shared" si="4"/>
        <v>30.240000000000002</v>
      </c>
      <c r="U26" s="247">
        <f t="shared" si="5"/>
        <v>20.400000000000002</v>
      </c>
      <c r="V26" s="23" t="s">
        <v>40</v>
      </c>
      <c r="W26" s="245">
        <f t="shared" si="6"/>
        <v>30.900000000000002</v>
      </c>
      <c r="X26" s="386">
        <f t="shared" si="7"/>
        <v>42.130424630061569</v>
      </c>
      <c r="Y26" s="43">
        <f t="shared" si="8"/>
        <v>0</v>
      </c>
      <c r="Z26" s="218">
        <f t="shared" si="9"/>
        <v>2</v>
      </c>
      <c r="AA26" s="251">
        <f t="shared" si="10"/>
        <v>0.05</v>
      </c>
      <c r="AB26" s="248" t="s">
        <v>40</v>
      </c>
      <c r="AC26" s="250">
        <f t="shared" si="11"/>
        <v>60</v>
      </c>
      <c r="AD26" s="249">
        <f t="shared" si="12"/>
        <v>25</v>
      </c>
      <c r="AE26" s="43">
        <f t="shared" si="13"/>
        <v>42.330424630061572</v>
      </c>
      <c r="AF26" s="386">
        <f t="shared" si="14"/>
        <v>0.7</v>
      </c>
      <c r="AG26" s="386">
        <f t="shared" si="15"/>
        <v>1.6</v>
      </c>
      <c r="AH26" s="386">
        <f t="shared" si="16"/>
        <v>45.530424630061574</v>
      </c>
      <c r="AI26" s="237">
        <f t="shared" si="17"/>
        <v>2</v>
      </c>
      <c r="AJ26" s="61">
        <f t="shared" si="18"/>
        <v>0.5</v>
      </c>
      <c r="AK26" s="61"/>
      <c r="AL26" s="201">
        <f t="shared" si="19"/>
        <v>50</v>
      </c>
      <c r="AM26" s="201">
        <f t="shared" si="20"/>
        <v>35</v>
      </c>
      <c r="AN26" s="386">
        <f t="shared" si="21"/>
        <v>47.530424630061574</v>
      </c>
      <c r="AO26" s="386">
        <f t="shared" si="22"/>
        <v>1.94</v>
      </c>
      <c r="AP26" s="386">
        <f t="shared" si="23"/>
        <v>2.4</v>
      </c>
      <c r="AQ26" s="386">
        <f t="shared" si="24"/>
        <v>52.330424630061572</v>
      </c>
      <c r="AR26" s="15">
        <v>0</v>
      </c>
      <c r="AS26" s="15">
        <f t="shared" si="25"/>
        <v>6241.7633229000003</v>
      </c>
      <c r="AT26" s="386">
        <f t="shared" si="26"/>
        <v>734.18980859408657</v>
      </c>
      <c r="AU26" s="386">
        <f t="shared" si="27"/>
        <v>0</v>
      </c>
      <c r="AV26" s="386">
        <f t="shared" si="28"/>
        <v>24.703301428650033</v>
      </c>
      <c r="AW26" s="386">
        <f t="shared" si="29"/>
        <v>330.78596149079766</v>
      </c>
      <c r="AX26" s="386">
        <f t="shared" si="30"/>
        <v>843.74888315483304</v>
      </c>
      <c r="AY26" s="386">
        <f t="shared" si="31"/>
        <v>579.75846005032145</v>
      </c>
      <c r="AZ26" s="386">
        <f t="shared" si="32"/>
        <v>8754.9497376186882</v>
      </c>
    </row>
    <row r="27" spans="1:52" s="240" customFormat="1" outlineLevel="1" x14ac:dyDescent="0.25">
      <c r="A27" s="313">
        <v>3</v>
      </c>
      <c r="B27" s="304"/>
      <c r="C27" s="397"/>
      <c r="D27" s="232"/>
      <c r="E27" s="233"/>
      <c r="F27" s="235"/>
      <c r="G27" s="222"/>
      <c r="H27" s="223"/>
      <c r="I27" s="188"/>
      <c r="J27" s="224"/>
      <c r="K27" s="224"/>
      <c r="L27" s="224"/>
      <c r="M27" s="224"/>
      <c r="N27" s="224"/>
      <c r="O27" s="224"/>
      <c r="P27" s="188"/>
      <c r="Q27" s="386"/>
      <c r="R27" s="247"/>
      <c r="S27" s="23"/>
      <c r="T27" s="246"/>
      <c r="U27" s="247"/>
      <c r="V27" s="23"/>
      <c r="W27" s="245"/>
      <c r="X27" s="386"/>
      <c r="Y27" s="43"/>
      <c r="Z27" s="218"/>
      <c r="AA27" s="251"/>
      <c r="AB27" s="248"/>
      <c r="AC27" s="250"/>
      <c r="AD27" s="249"/>
      <c r="AE27" s="43"/>
      <c r="AF27" s="386"/>
      <c r="AG27" s="386"/>
      <c r="AH27" s="386"/>
      <c r="AI27" s="237"/>
      <c r="AJ27" s="61"/>
      <c r="AK27" s="61"/>
      <c r="AL27" s="201"/>
      <c r="AM27" s="201"/>
      <c r="AN27" s="386"/>
      <c r="AO27" s="386"/>
      <c r="AP27" s="386"/>
      <c r="AQ27" s="386"/>
      <c r="AR27" s="15"/>
      <c r="AS27" s="15"/>
      <c r="AT27" s="386"/>
      <c r="AU27" s="386"/>
      <c r="AV27" s="386"/>
      <c r="AW27" s="386"/>
      <c r="AX27" s="386"/>
      <c r="AY27" s="386"/>
      <c r="AZ27" s="386"/>
    </row>
    <row r="28" spans="1:52" s="240" customFormat="1" ht="12.75" customHeight="1" outlineLevel="2" x14ac:dyDescent="0.25">
      <c r="A28" s="314"/>
      <c r="B28" s="304" t="str">
        <f t="shared" si="0"/>
        <v>Кабель ВБШв 4*25мс (N) - 1 ГОСТ 31996-2012</v>
      </c>
      <c r="C28" s="260">
        <v>4</v>
      </c>
      <c r="D28" s="23" t="s">
        <v>40</v>
      </c>
      <c r="E28" s="400">
        <v>25</v>
      </c>
      <c r="F28" s="401" t="s">
        <v>151</v>
      </c>
      <c r="G28" s="387">
        <v>7</v>
      </c>
      <c r="H28" s="23" t="s">
        <v>40</v>
      </c>
      <c r="I28" s="388">
        <v>2.19</v>
      </c>
      <c r="J28" s="14">
        <v>24.1</v>
      </c>
      <c r="K28" s="395">
        <v>5.5</v>
      </c>
      <c r="L28" s="396">
        <v>7.4</v>
      </c>
      <c r="M28" s="14">
        <v>2.2000000000000002</v>
      </c>
      <c r="N28" s="14">
        <v>29.9</v>
      </c>
      <c r="O28" s="14">
        <v>20.149999999999999</v>
      </c>
      <c r="P28" s="386">
        <f t="shared" si="35"/>
        <v>1.07</v>
      </c>
      <c r="Q28" s="386">
        <f t="shared" si="34"/>
        <v>1.3</v>
      </c>
      <c r="R28" s="247">
        <f t="shared" si="3"/>
        <v>7.6400000000000006</v>
      </c>
      <c r="S28" s="23" t="s">
        <v>40</v>
      </c>
      <c r="T28" s="246">
        <f t="shared" si="4"/>
        <v>9.5400000000000009</v>
      </c>
      <c r="U28" s="247">
        <f t="shared" si="5"/>
        <v>8.1</v>
      </c>
      <c r="V28" s="23" t="s">
        <v>40</v>
      </c>
      <c r="W28" s="245">
        <f t="shared" si="6"/>
        <v>10</v>
      </c>
      <c r="X28" s="386">
        <f t="shared" si="7"/>
        <v>19.099494936611663</v>
      </c>
      <c r="Y28" s="43">
        <f t="shared" si="8"/>
        <v>2.8994949366116645</v>
      </c>
      <c r="Z28" s="218">
        <f t="shared" si="9"/>
        <v>2</v>
      </c>
      <c r="AA28" s="251">
        <f t="shared" si="10"/>
        <v>3.5000000000000003E-2</v>
      </c>
      <c r="AB28" s="248" t="s">
        <v>40</v>
      </c>
      <c r="AC28" s="250">
        <f t="shared" si="11"/>
        <v>50</v>
      </c>
      <c r="AD28" s="249">
        <f t="shared" si="12"/>
        <v>25</v>
      </c>
      <c r="AE28" s="43">
        <f t="shared" si="13"/>
        <v>19.239494936611663</v>
      </c>
      <c r="AF28" s="386">
        <f t="shared" si="14"/>
        <v>0.5</v>
      </c>
      <c r="AG28" s="386">
        <f t="shared" si="15"/>
        <v>1.4</v>
      </c>
      <c r="AH28" s="386">
        <f t="shared" si="16"/>
        <v>22.039494936611664</v>
      </c>
      <c r="AI28" s="237">
        <f t="shared" si="17"/>
        <v>2</v>
      </c>
      <c r="AJ28" s="61">
        <f t="shared" si="18"/>
        <v>0.25</v>
      </c>
      <c r="AK28" s="61"/>
      <c r="AL28" s="201">
        <f t="shared" si="19"/>
        <v>40</v>
      </c>
      <c r="AM28" s="201">
        <f t="shared" si="20"/>
        <v>35</v>
      </c>
      <c r="AN28" s="386">
        <f t="shared" si="21"/>
        <v>23.039494936611664</v>
      </c>
      <c r="AO28" s="386">
        <f t="shared" si="22"/>
        <v>1.6</v>
      </c>
      <c r="AP28" s="386">
        <f t="shared" si="23"/>
        <v>2</v>
      </c>
      <c r="AQ28" s="386">
        <f t="shared" si="24"/>
        <v>27.039494936611664</v>
      </c>
      <c r="AR28" s="15">
        <v>0</v>
      </c>
      <c r="AS28" s="15">
        <f t="shared" si="25"/>
        <v>862.99497200000008</v>
      </c>
      <c r="AT28" s="386">
        <f t="shared" si="26"/>
        <v>187.04954830488381</v>
      </c>
      <c r="AU28" s="386">
        <f t="shared" si="27"/>
        <v>9.2440572483628927</v>
      </c>
      <c r="AV28" s="386">
        <f t="shared" si="28"/>
        <v>7.8494325136835732</v>
      </c>
      <c r="AW28" s="386">
        <f t="shared" si="29"/>
        <v>135.98430542012548</v>
      </c>
      <c r="AX28" s="386">
        <f t="shared" si="30"/>
        <v>204.35740519068349</v>
      </c>
      <c r="AY28" s="386">
        <f t="shared" si="31"/>
        <v>242.28479149477073</v>
      </c>
      <c r="AZ28" s="386">
        <f t="shared" si="32"/>
        <v>1649.76451217251</v>
      </c>
    </row>
    <row r="29" spans="1:52" s="240" customFormat="1" ht="12.75" customHeight="1" outlineLevel="2" x14ac:dyDescent="0.25">
      <c r="A29" s="314"/>
      <c r="B29" s="304" t="str">
        <f t="shared" si="0"/>
        <v>Кабель ВБШв 4*35мс (N) - 1 ГОСТ 31996-2012</v>
      </c>
      <c r="C29" s="260">
        <v>4</v>
      </c>
      <c r="D29" s="23" t="s">
        <v>40</v>
      </c>
      <c r="E29" s="400">
        <v>35</v>
      </c>
      <c r="F29" s="401" t="s">
        <v>151</v>
      </c>
      <c r="G29" s="387">
        <v>7</v>
      </c>
      <c r="H29" s="23" t="s">
        <v>40</v>
      </c>
      <c r="I29" s="388">
        <v>2.5499999999999998</v>
      </c>
      <c r="J29" s="14">
        <v>33.44</v>
      </c>
      <c r="K29" s="395">
        <v>6.4</v>
      </c>
      <c r="L29" s="396">
        <v>9</v>
      </c>
      <c r="M29" s="14">
        <v>2</v>
      </c>
      <c r="N29" s="14">
        <v>39.99</v>
      </c>
      <c r="O29" s="14">
        <v>23.8</v>
      </c>
      <c r="P29" s="386">
        <f t="shared" si="35"/>
        <v>1.07</v>
      </c>
      <c r="Q29" s="386">
        <f t="shared" si="34"/>
        <v>1.3</v>
      </c>
      <c r="R29" s="247">
        <f t="shared" si="3"/>
        <v>8.5400000000000009</v>
      </c>
      <c r="S29" s="23" t="s">
        <v>40</v>
      </c>
      <c r="T29" s="246">
        <f t="shared" si="4"/>
        <v>11.14</v>
      </c>
      <c r="U29" s="247">
        <f t="shared" si="5"/>
        <v>9</v>
      </c>
      <c r="V29" s="23" t="s">
        <v>40</v>
      </c>
      <c r="W29" s="245">
        <f t="shared" si="6"/>
        <v>11.6</v>
      </c>
      <c r="X29" s="386">
        <f t="shared" si="7"/>
        <v>20.733809511662425</v>
      </c>
      <c r="Y29" s="43">
        <f t="shared" si="8"/>
        <v>2.7338095116624261</v>
      </c>
      <c r="Z29" s="218">
        <f t="shared" si="9"/>
        <v>2</v>
      </c>
      <c r="AA29" s="251">
        <f t="shared" si="10"/>
        <v>0.05</v>
      </c>
      <c r="AB29" s="248" t="s">
        <v>40</v>
      </c>
      <c r="AC29" s="250">
        <f t="shared" si="11"/>
        <v>60</v>
      </c>
      <c r="AD29" s="249">
        <f t="shared" si="12"/>
        <v>25</v>
      </c>
      <c r="AE29" s="43">
        <f t="shared" si="13"/>
        <v>20.933809511662425</v>
      </c>
      <c r="AF29" s="386">
        <f t="shared" si="14"/>
        <v>0.5</v>
      </c>
      <c r="AG29" s="386">
        <f t="shared" si="15"/>
        <v>1.4</v>
      </c>
      <c r="AH29" s="386">
        <f t="shared" si="16"/>
        <v>23.733809511662425</v>
      </c>
      <c r="AI29" s="237">
        <f t="shared" si="17"/>
        <v>2</v>
      </c>
      <c r="AJ29" s="61">
        <f t="shared" si="18"/>
        <v>0.25</v>
      </c>
      <c r="AK29" s="61"/>
      <c r="AL29" s="201">
        <f t="shared" si="19"/>
        <v>40</v>
      </c>
      <c r="AM29" s="201">
        <f t="shared" si="20"/>
        <v>35</v>
      </c>
      <c r="AN29" s="386">
        <f t="shared" si="21"/>
        <v>24.733809511662425</v>
      </c>
      <c r="AO29" s="386">
        <f t="shared" si="22"/>
        <v>1.6</v>
      </c>
      <c r="AP29" s="386">
        <f t="shared" si="23"/>
        <v>2</v>
      </c>
      <c r="AQ29" s="386">
        <f t="shared" si="24"/>
        <v>28.733809511662425</v>
      </c>
      <c r="AR29" s="15">
        <v>0</v>
      </c>
      <c r="AS29" s="15">
        <f t="shared" si="25"/>
        <v>1197.4502848</v>
      </c>
      <c r="AT29" s="386">
        <f t="shared" si="26"/>
        <v>215.22190394488379</v>
      </c>
      <c r="AU29" s="386">
        <f t="shared" si="27"/>
        <v>8.2177782395650514</v>
      </c>
      <c r="AV29" s="386">
        <f t="shared" si="28"/>
        <v>12.187040049493405</v>
      </c>
      <c r="AW29" s="386">
        <f t="shared" si="29"/>
        <v>147.14737851658845</v>
      </c>
      <c r="AX29" s="386">
        <f t="shared" si="30"/>
        <v>219.71913938694141</v>
      </c>
      <c r="AY29" s="386">
        <f t="shared" si="31"/>
        <v>258.67915785806747</v>
      </c>
      <c r="AZ29" s="386">
        <f t="shared" si="32"/>
        <v>2058.6226827955393</v>
      </c>
    </row>
    <row r="30" spans="1:52" s="240" customFormat="1" ht="12.75" customHeight="1" outlineLevel="2" x14ac:dyDescent="0.25">
      <c r="A30" s="314"/>
      <c r="B30" s="304" t="str">
        <f t="shared" si="0"/>
        <v>Кабель ВБШв 4*50мс (N) - 1 ГОСТ 31996-2012</v>
      </c>
      <c r="C30" s="260">
        <v>4</v>
      </c>
      <c r="D30" s="23" t="s">
        <v>40</v>
      </c>
      <c r="E30" s="400">
        <v>50</v>
      </c>
      <c r="F30" s="401" t="s">
        <v>151</v>
      </c>
      <c r="G30" s="387">
        <v>7</v>
      </c>
      <c r="H30" s="23" t="s">
        <v>40</v>
      </c>
      <c r="I30" s="388">
        <v>3</v>
      </c>
      <c r="J30" s="14">
        <v>45.28</v>
      </c>
      <c r="K30" s="395">
        <v>7.5</v>
      </c>
      <c r="L30" s="396">
        <v>10.4</v>
      </c>
      <c r="M30" s="14">
        <v>2</v>
      </c>
      <c r="N30" s="14">
        <v>56.68</v>
      </c>
      <c r="O30" s="14">
        <v>27.56</v>
      </c>
      <c r="P30" s="386">
        <f t="shared" si="35"/>
        <v>1.25</v>
      </c>
      <c r="Q30" s="386">
        <f t="shared" si="34"/>
        <v>1.5</v>
      </c>
      <c r="R30" s="247">
        <f t="shared" si="3"/>
        <v>10</v>
      </c>
      <c r="S30" s="23" t="s">
        <v>40</v>
      </c>
      <c r="T30" s="246">
        <f t="shared" si="4"/>
        <v>12.9</v>
      </c>
      <c r="U30" s="247">
        <f t="shared" si="5"/>
        <v>10.5</v>
      </c>
      <c r="V30" s="23" t="s">
        <v>40</v>
      </c>
      <c r="W30" s="245">
        <f t="shared" si="6"/>
        <v>13.4</v>
      </c>
      <c r="X30" s="386">
        <f t="shared" si="7"/>
        <v>23.899494936611664</v>
      </c>
      <c r="Y30" s="43">
        <f t="shared" si="8"/>
        <v>2.8994949366116645</v>
      </c>
      <c r="Z30" s="218">
        <f t="shared" si="9"/>
        <v>2</v>
      </c>
      <c r="AA30" s="251">
        <f t="shared" si="10"/>
        <v>0.05</v>
      </c>
      <c r="AB30" s="248" t="s">
        <v>40</v>
      </c>
      <c r="AC30" s="250">
        <f t="shared" si="11"/>
        <v>60</v>
      </c>
      <c r="AD30" s="249">
        <f t="shared" si="12"/>
        <v>25</v>
      </c>
      <c r="AE30" s="43">
        <f t="shared" si="13"/>
        <v>24.099494936611663</v>
      </c>
      <c r="AF30" s="386">
        <f t="shared" si="14"/>
        <v>0.5</v>
      </c>
      <c r="AG30" s="386">
        <f t="shared" si="15"/>
        <v>1.4</v>
      </c>
      <c r="AH30" s="386">
        <f t="shared" si="16"/>
        <v>26.899494936611664</v>
      </c>
      <c r="AI30" s="237">
        <f t="shared" si="17"/>
        <v>2</v>
      </c>
      <c r="AJ30" s="61">
        <f t="shared" si="18"/>
        <v>0.25</v>
      </c>
      <c r="AK30" s="61"/>
      <c r="AL30" s="201">
        <f t="shared" si="19"/>
        <v>40</v>
      </c>
      <c r="AM30" s="201">
        <f t="shared" si="20"/>
        <v>35</v>
      </c>
      <c r="AN30" s="386">
        <f t="shared" si="21"/>
        <v>27.899494936611664</v>
      </c>
      <c r="AO30" s="386">
        <f t="shared" si="22"/>
        <v>1.6</v>
      </c>
      <c r="AP30" s="386">
        <f t="shared" si="23"/>
        <v>2</v>
      </c>
      <c r="AQ30" s="386">
        <f t="shared" si="24"/>
        <v>31.899494936611664</v>
      </c>
      <c r="AR30" s="15">
        <v>0</v>
      </c>
      <c r="AS30" s="15">
        <f t="shared" si="25"/>
        <v>1621.4278976000001</v>
      </c>
      <c r="AT30" s="386">
        <f t="shared" si="26"/>
        <v>287.41492719951987</v>
      </c>
      <c r="AU30" s="386">
        <f t="shared" si="27"/>
        <v>9.2440572483628927</v>
      </c>
      <c r="AV30" s="386">
        <f t="shared" si="28"/>
        <v>14.038853806183329</v>
      </c>
      <c r="AW30" s="386">
        <f t="shared" si="29"/>
        <v>168.00464924983285</v>
      </c>
      <c r="AX30" s="386">
        <f t="shared" si="30"/>
        <v>248.42125808622779</v>
      </c>
      <c r="AY30" s="386">
        <f t="shared" si="31"/>
        <v>289.31066360782563</v>
      </c>
      <c r="AZ30" s="386">
        <f t="shared" si="32"/>
        <v>2637.862306797952</v>
      </c>
    </row>
    <row r="31" spans="1:52" s="240" customFormat="1" ht="12.75" customHeight="1" outlineLevel="2" x14ac:dyDescent="0.25">
      <c r="A31" s="314"/>
      <c r="B31" s="304" t="str">
        <f t="shared" si="0"/>
        <v>Кабель ВБШв 4*70мс (N) - 1 ГОСТ 31996-2012</v>
      </c>
      <c r="C31" s="260">
        <v>4</v>
      </c>
      <c r="D31" s="23" t="s">
        <v>40</v>
      </c>
      <c r="E31" s="400">
        <v>70</v>
      </c>
      <c r="F31" s="401" t="s">
        <v>151</v>
      </c>
      <c r="G31" s="387">
        <v>19</v>
      </c>
      <c r="H31" s="23" t="s">
        <v>40</v>
      </c>
      <c r="I31" s="388">
        <v>2.13</v>
      </c>
      <c r="J31" s="14">
        <v>65.39</v>
      </c>
      <c r="K31" s="395">
        <v>8.9</v>
      </c>
      <c r="L31" s="396">
        <v>12.6</v>
      </c>
      <c r="M31" s="14">
        <v>3</v>
      </c>
      <c r="N31" s="14">
        <v>78</v>
      </c>
      <c r="O31" s="14">
        <v>34.08</v>
      </c>
      <c r="P31" s="386">
        <f t="shared" si="35"/>
        <v>1.25</v>
      </c>
      <c r="Q31" s="386">
        <f t="shared" si="34"/>
        <v>1.5</v>
      </c>
      <c r="R31" s="247">
        <f t="shared" si="3"/>
        <v>11.4</v>
      </c>
      <c r="S31" s="23" t="s">
        <v>40</v>
      </c>
      <c r="T31" s="246">
        <f t="shared" si="4"/>
        <v>15.1</v>
      </c>
      <c r="U31" s="247">
        <f t="shared" si="5"/>
        <v>11.9</v>
      </c>
      <c r="V31" s="23" t="s">
        <v>40</v>
      </c>
      <c r="W31" s="245">
        <f t="shared" si="6"/>
        <v>15.6</v>
      </c>
      <c r="X31" s="386">
        <f t="shared" si="7"/>
        <v>27.527922061357856</v>
      </c>
      <c r="Y31" s="43">
        <f t="shared" si="8"/>
        <v>3.7279220613578543</v>
      </c>
      <c r="Z31" s="218">
        <f t="shared" si="9"/>
        <v>2</v>
      </c>
      <c r="AA31" s="251">
        <f t="shared" si="10"/>
        <v>0.05</v>
      </c>
      <c r="AB31" s="248" t="s">
        <v>40</v>
      </c>
      <c r="AC31" s="250">
        <f t="shared" si="11"/>
        <v>60</v>
      </c>
      <c r="AD31" s="249">
        <f t="shared" si="12"/>
        <v>25</v>
      </c>
      <c r="AE31" s="43">
        <f t="shared" si="13"/>
        <v>27.727922061357855</v>
      </c>
      <c r="AF31" s="386">
        <f t="shared" si="14"/>
        <v>0.6</v>
      </c>
      <c r="AG31" s="386">
        <f t="shared" si="15"/>
        <v>1.5</v>
      </c>
      <c r="AH31" s="386">
        <f t="shared" si="16"/>
        <v>30.727922061357855</v>
      </c>
      <c r="AI31" s="237">
        <f t="shared" si="17"/>
        <v>2</v>
      </c>
      <c r="AJ31" s="61">
        <f t="shared" si="18"/>
        <v>0.25</v>
      </c>
      <c r="AK31" s="61"/>
      <c r="AL31" s="201">
        <f t="shared" si="19"/>
        <v>40</v>
      </c>
      <c r="AM31" s="201">
        <f t="shared" si="20"/>
        <v>35</v>
      </c>
      <c r="AN31" s="386">
        <f t="shared" si="21"/>
        <v>31.727922061357855</v>
      </c>
      <c r="AO31" s="386">
        <f t="shared" si="22"/>
        <v>1.77</v>
      </c>
      <c r="AP31" s="386">
        <f t="shared" si="23"/>
        <v>2.2000000000000002</v>
      </c>
      <c r="AQ31" s="386">
        <f t="shared" si="24"/>
        <v>36.127922061357857</v>
      </c>
      <c r="AR31" s="15">
        <v>0</v>
      </c>
      <c r="AS31" s="15">
        <f t="shared" si="25"/>
        <v>2341.5452788000002</v>
      </c>
      <c r="AT31" s="386">
        <f t="shared" si="26"/>
        <v>345.48144735951985</v>
      </c>
      <c r="AU31" s="386">
        <f t="shared" si="27"/>
        <v>15.28099259423254</v>
      </c>
      <c r="AV31" s="386">
        <f t="shared" si="28"/>
        <v>16.161355054032242</v>
      </c>
      <c r="AW31" s="386">
        <f t="shared" si="29"/>
        <v>206.32454008654503</v>
      </c>
      <c r="AX31" s="386">
        <f t="shared" si="30"/>
        <v>283.13221480353803</v>
      </c>
      <c r="AY31" s="386">
        <f t="shared" si="31"/>
        <v>361.11916385000399</v>
      </c>
      <c r="AZ31" s="386">
        <f t="shared" si="32"/>
        <v>3569.0449925478715</v>
      </c>
    </row>
    <row r="32" spans="1:52" s="240" customFormat="1" ht="12.75" customHeight="1" outlineLevel="2" x14ac:dyDescent="0.25">
      <c r="A32" s="314"/>
      <c r="B32" s="304" t="str">
        <f t="shared" si="0"/>
        <v>Кабель ВБШв 4*95мс (N) - 1 ГОСТ 31996-2012</v>
      </c>
      <c r="C32" s="260">
        <v>4</v>
      </c>
      <c r="D32" s="23" t="s">
        <v>40</v>
      </c>
      <c r="E32" s="400">
        <v>95</v>
      </c>
      <c r="F32" s="401" t="s">
        <v>151</v>
      </c>
      <c r="G32" s="387">
        <v>19</v>
      </c>
      <c r="H32" s="23" t="s">
        <v>40</v>
      </c>
      <c r="I32" s="388">
        <v>2.5</v>
      </c>
      <c r="J32" s="14">
        <v>90.8</v>
      </c>
      <c r="K32" s="395">
        <v>10.7</v>
      </c>
      <c r="L32" s="396">
        <v>14.9</v>
      </c>
      <c r="M32" s="14">
        <v>3</v>
      </c>
      <c r="N32" s="14">
        <v>108.92</v>
      </c>
      <c r="O32" s="14">
        <v>39.369999999999997</v>
      </c>
      <c r="P32" s="386">
        <f t="shared" ref="P32" si="36">Q32-(Q32*0.1+0.1)</f>
        <v>1.4300000000000002</v>
      </c>
      <c r="Q32" s="386">
        <f t="shared" si="34"/>
        <v>1.7000000000000002</v>
      </c>
      <c r="R32" s="247">
        <f t="shared" si="3"/>
        <v>13.559999999999999</v>
      </c>
      <c r="S32" s="23" t="s">
        <v>40</v>
      </c>
      <c r="T32" s="246">
        <f t="shared" si="4"/>
        <v>17.760000000000002</v>
      </c>
      <c r="U32" s="247">
        <f t="shared" si="5"/>
        <v>14.1</v>
      </c>
      <c r="V32" s="23" t="s">
        <v>40</v>
      </c>
      <c r="W32" s="245">
        <f t="shared" si="6"/>
        <v>18.3</v>
      </c>
      <c r="X32" s="386">
        <f t="shared" si="7"/>
        <v>32.093607486307093</v>
      </c>
      <c r="Y32" s="43">
        <f t="shared" si="8"/>
        <v>3.8936074863070926</v>
      </c>
      <c r="Z32" s="218">
        <f t="shared" si="9"/>
        <v>2</v>
      </c>
      <c r="AA32" s="251">
        <f t="shared" si="10"/>
        <v>0.05</v>
      </c>
      <c r="AB32" s="248" t="s">
        <v>40</v>
      </c>
      <c r="AC32" s="250">
        <f t="shared" si="11"/>
        <v>60</v>
      </c>
      <c r="AD32" s="249">
        <f t="shared" si="12"/>
        <v>25</v>
      </c>
      <c r="AE32" s="43">
        <f t="shared" si="13"/>
        <v>32.293607486307096</v>
      </c>
      <c r="AF32" s="386">
        <f t="shared" si="14"/>
        <v>0.6</v>
      </c>
      <c r="AG32" s="386">
        <f t="shared" si="15"/>
        <v>1.5</v>
      </c>
      <c r="AH32" s="386">
        <f t="shared" si="16"/>
        <v>35.293607486307096</v>
      </c>
      <c r="AI32" s="237">
        <f t="shared" si="17"/>
        <v>2</v>
      </c>
      <c r="AJ32" s="61">
        <f t="shared" si="18"/>
        <v>0.25</v>
      </c>
      <c r="AK32" s="61"/>
      <c r="AL32" s="201">
        <f t="shared" si="19"/>
        <v>50</v>
      </c>
      <c r="AM32" s="201">
        <f t="shared" si="20"/>
        <v>35</v>
      </c>
      <c r="AN32" s="386">
        <f t="shared" si="21"/>
        <v>36.293607486307096</v>
      </c>
      <c r="AO32" s="386">
        <f t="shared" si="22"/>
        <v>1.77</v>
      </c>
      <c r="AP32" s="386">
        <f t="shared" si="23"/>
        <v>2.2000000000000002</v>
      </c>
      <c r="AQ32" s="386">
        <f t="shared" si="24"/>
        <v>40.693607486307094</v>
      </c>
      <c r="AR32" s="15">
        <v>0</v>
      </c>
      <c r="AS32" s="15">
        <f t="shared" si="25"/>
        <v>3251.449936</v>
      </c>
      <c r="AT32" s="386">
        <f t="shared" si="26"/>
        <v>451.28137406996115</v>
      </c>
      <c r="AU32" s="386">
        <f t="shared" si="27"/>
        <v>16.669487723782559</v>
      </c>
      <c r="AV32" s="386">
        <f t="shared" si="28"/>
        <v>18.832119183659952</v>
      </c>
      <c r="AW32" s="386">
        <f t="shared" si="29"/>
        <v>238.55443804182687</v>
      </c>
      <c r="AX32" s="386">
        <f t="shared" si="30"/>
        <v>324.52762446038861</v>
      </c>
      <c r="AY32" s="386">
        <f t="shared" si="31"/>
        <v>409.71502244924517</v>
      </c>
      <c r="AZ32" s="386">
        <f t="shared" si="32"/>
        <v>4711.0300019288643</v>
      </c>
    </row>
    <row r="33" spans="1:60" s="240" customFormat="1" ht="12.75" customHeight="1" outlineLevel="2" x14ac:dyDescent="0.25">
      <c r="A33" s="314"/>
      <c r="B33" s="304" t="str">
        <f t="shared" si="0"/>
        <v>Кабель ВБШв 4*120мс (N) - 1 ГОСТ 31996-2012</v>
      </c>
      <c r="C33" s="260">
        <v>4</v>
      </c>
      <c r="D33" s="23" t="s">
        <v>40</v>
      </c>
      <c r="E33" s="400">
        <v>120</v>
      </c>
      <c r="F33" s="401" t="s">
        <v>151</v>
      </c>
      <c r="G33" s="387">
        <v>19</v>
      </c>
      <c r="H33" s="23" t="s">
        <v>40</v>
      </c>
      <c r="I33" s="388">
        <v>2.87</v>
      </c>
      <c r="J33" s="14">
        <v>114.53</v>
      </c>
      <c r="K33" s="395">
        <v>11.8</v>
      </c>
      <c r="L33" s="396">
        <v>16.7</v>
      </c>
      <c r="M33" s="14">
        <v>4</v>
      </c>
      <c r="N33" s="14">
        <v>136.85</v>
      </c>
      <c r="O33" s="14">
        <v>43.98</v>
      </c>
      <c r="P33" s="386">
        <f t="shared" ref="P33:P34" si="37">Q33-(Q33*0.1+0.1)</f>
        <v>1.4300000000000002</v>
      </c>
      <c r="Q33" s="386">
        <f t="shared" si="34"/>
        <v>1.7000000000000002</v>
      </c>
      <c r="R33" s="247">
        <f t="shared" si="3"/>
        <v>14.66</v>
      </c>
      <c r="S33" s="23" t="s">
        <v>40</v>
      </c>
      <c r="T33" s="246">
        <f t="shared" si="4"/>
        <v>19.559999999999999</v>
      </c>
      <c r="U33" s="247">
        <f t="shared" si="5"/>
        <v>15.200000000000001</v>
      </c>
      <c r="V33" s="23" t="s">
        <v>40</v>
      </c>
      <c r="W33" s="245">
        <f t="shared" si="6"/>
        <v>20.100000000000001</v>
      </c>
      <c r="X33" s="386">
        <f t="shared" si="7"/>
        <v>35.122034611053287</v>
      </c>
      <c r="Y33" s="43">
        <f t="shared" si="8"/>
        <v>4.7220346110532825</v>
      </c>
      <c r="Z33" s="218">
        <f t="shared" si="9"/>
        <v>2</v>
      </c>
      <c r="AA33" s="251">
        <f t="shared" si="10"/>
        <v>0.05</v>
      </c>
      <c r="AB33" s="248" t="s">
        <v>40</v>
      </c>
      <c r="AC33" s="250">
        <f t="shared" si="11"/>
        <v>60</v>
      </c>
      <c r="AD33" s="249">
        <f t="shared" si="12"/>
        <v>25</v>
      </c>
      <c r="AE33" s="43">
        <f t="shared" si="13"/>
        <v>35.32203461105329</v>
      </c>
      <c r="AF33" s="386">
        <f t="shared" si="14"/>
        <v>0.7</v>
      </c>
      <c r="AG33" s="386">
        <f t="shared" si="15"/>
        <v>1.6</v>
      </c>
      <c r="AH33" s="386">
        <f t="shared" si="16"/>
        <v>38.522034611053293</v>
      </c>
      <c r="AI33" s="237">
        <f t="shared" si="17"/>
        <v>2</v>
      </c>
      <c r="AJ33" s="61">
        <f t="shared" si="18"/>
        <v>0.25</v>
      </c>
      <c r="AK33" s="61"/>
      <c r="AL33" s="201">
        <f t="shared" si="19"/>
        <v>50</v>
      </c>
      <c r="AM33" s="201">
        <f t="shared" si="20"/>
        <v>35</v>
      </c>
      <c r="AN33" s="386">
        <f t="shared" si="21"/>
        <v>39.522034611053293</v>
      </c>
      <c r="AO33" s="386">
        <f t="shared" si="22"/>
        <v>1.77</v>
      </c>
      <c r="AP33" s="386">
        <f t="shared" si="23"/>
        <v>2.2000000000000002</v>
      </c>
      <c r="AQ33" s="386">
        <f t="shared" si="24"/>
        <v>43.922034611053292</v>
      </c>
      <c r="AR33" s="15">
        <v>0</v>
      </c>
      <c r="AS33" s="15">
        <f t="shared" si="25"/>
        <v>4101.1956075999997</v>
      </c>
      <c r="AT33" s="386">
        <f t="shared" si="26"/>
        <v>497.8117747339611</v>
      </c>
      <c r="AU33" s="386">
        <f t="shared" si="27"/>
        <v>24.517503673413099</v>
      </c>
      <c r="AV33" s="386">
        <f t="shared" si="28"/>
        <v>20.603641700249817</v>
      </c>
      <c r="AW33" s="386">
        <f t="shared" si="29"/>
        <v>278.01440167860852</v>
      </c>
      <c r="AX33" s="386">
        <f t="shared" si="30"/>
        <v>353.79859933874286</v>
      </c>
      <c r="AY33" s="386">
        <f t="shared" si="31"/>
        <v>444.07748360235126</v>
      </c>
      <c r="AZ33" s="386">
        <f t="shared" si="32"/>
        <v>5720.019012327326</v>
      </c>
    </row>
    <row r="34" spans="1:60" s="240" customFormat="1" ht="12.75" customHeight="1" outlineLevel="2" x14ac:dyDescent="0.25">
      <c r="A34" s="314"/>
      <c r="B34" s="304" t="str">
        <f t="shared" si="0"/>
        <v>Кабель ВБШв 4*150мс (N) - 1 ГОСТ 31996-2012</v>
      </c>
      <c r="C34" s="260">
        <v>4</v>
      </c>
      <c r="D34" s="23" t="s">
        <v>40</v>
      </c>
      <c r="E34" s="400">
        <v>150</v>
      </c>
      <c r="F34" s="401" t="s">
        <v>151</v>
      </c>
      <c r="G34" s="387">
        <v>37</v>
      </c>
      <c r="H34" s="23" t="s">
        <v>40</v>
      </c>
      <c r="I34" s="388">
        <v>2.2599999999999998</v>
      </c>
      <c r="J34" s="14">
        <v>141.32</v>
      </c>
      <c r="K34" s="395">
        <v>13.1</v>
      </c>
      <c r="L34" s="396">
        <v>18.5</v>
      </c>
      <c r="M34" s="14">
        <v>4</v>
      </c>
      <c r="N34" s="14">
        <v>165.89</v>
      </c>
      <c r="O34" s="14">
        <v>48.62</v>
      </c>
      <c r="P34" s="386">
        <f t="shared" si="37"/>
        <v>1.61</v>
      </c>
      <c r="Q34" s="386">
        <f t="shared" si="34"/>
        <v>1.9000000000000001</v>
      </c>
      <c r="R34" s="247">
        <f t="shared" si="3"/>
        <v>16.32</v>
      </c>
      <c r="S34" s="23" t="s">
        <v>40</v>
      </c>
      <c r="T34" s="246">
        <f t="shared" si="4"/>
        <v>21.72</v>
      </c>
      <c r="U34" s="247">
        <f t="shared" si="5"/>
        <v>16.899999999999999</v>
      </c>
      <c r="V34" s="23" t="s">
        <v>40</v>
      </c>
      <c r="W34" s="245">
        <f t="shared" si="6"/>
        <v>22.3</v>
      </c>
      <c r="X34" s="386">
        <f t="shared" si="7"/>
        <v>38.687720036002517</v>
      </c>
      <c r="Y34" s="43">
        <f t="shared" si="8"/>
        <v>4.8877200360025208</v>
      </c>
      <c r="Z34" s="218">
        <f t="shared" si="9"/>
        <v>2</v>
      </c>
      <c r="AA34" s="251">
        <f t="shared" si="10"/>
        <v>0.05</v>
      </c>
      <c r="AB34" s="248" t="s">
        <v>40</v>
      </c>
      <c r="AC34" s="250">
        <f t="shared" si="11"/>
        <v>60</v>
      </c>
      <c r="AD34" s="249">
        <f t="shared" si="12"/>
        <v>25</v>
      </c>
      <c r="AE34" s="43">
        <f t="shared" si="13"/>
        <v>38.88772003600252</v>
      </c>
      <c r="AF34" s="386">
        <f t="shared" si="14"/>
        <v>0.7</v>
      </c>
      <c r="AG34" s="386">
        <f t="shared" si="15"/>
        <v>1.6</v>
      </c>
      <c r="AH34" s="386">
        <f t="shared" si="16"/>
        <v>42.087720036002523</v>
      </c>
      <c r="AI34" s="237">
        <f t="shared" si="17"/>
        <v>2</v>
      </c>
      <c r="AJ34" s="61">
        <f t="shared" si="18"/>
        <v>0.25</v>
      </c>
      <c r="AK34" s="61"/>
      <c r="AL34" s="201">
        <f t="shared" si="19"/>
        <v>50</v>
      </c>
      <c r="AM34" s="201">
        <f t="shared" si="20"/>
        <v>35</v>
      </c>
      <c r="AN34" s="386">
        <f t="shared" si="21"/>
        <v>43.087720036002523</v>
      </c>
      <c r="AO34" s="386">
        <f t="shared" si="22"/>
        <v>1.94</v>
      </c>
      <c r="AP34" s="386">
        <f t="shared" si="23"/>
        <v>2.4</v>
      </c>
      <c r="AQ34" s="386">
        <f t="shared" si="24"/>
        <v>47.88772003600252</v>
      </c>
      <c r="AR34" s="15">
        <v>0</v>
      </c>
      <c r="AS34" s="15">
        <f t="shared" si="25"/>
        <v>5060.5165743999996</v>
      </c>
      <c r="AT34" s="386">
        <f t="shared" si="26"/>
        <v>615.80880206820734</v>
      </c>
      <c r="AU34" s="386">
        <f t="shared" si="27"/>
        <v>26.268214923715302</v>
      </c>
      <c r="AV34" s="386">
        <f t="shared" si="28"/>
        <v>22.689441277779103</v>
      </c>
      <c r="AW34" s="386">
        <f t="shared" si="29"/>
        <v>304.86319022545166</v>
      </c>
      <c r="AX34" s="386">
        <f t="shared" si="30"/>
        <v>386.12737259733325</v>
      </c>
      <c r="AY34" s="386">
        <f t="shared" si="31"/>
        <v>528.17276669814805</v>
      </c>
      <c r="AZ34" s="386">
        <f t="shared" si="32"/>
        <v>6944.4463621906343</v>
      </c>
    </row>
    <row r="35" spans="1:60" s="240" customFormat="1" ht="12.75" customHeight="1" outlineLevel="2" x14ac:dyDescent="0.25">
      <c r="A35" s="314"/>
      <c r="B35" s="304" t="str">
        <f t="shared" si="0"/>
        <v>Кабель ВБШв 4*185мс (N) - 1 ГОСТ 31996-2012</v>
      </c>
      <c r="C35" s="260">
        <v>4</v>
      </c>
      <c r="D35" s="23" t="s">
        <v>40</v>
      </c>
      <c r="E35" s="400">
        <v>185</v>
      </c>
      <c r="F35" s="401" t="s">
        <v>151</v>
      </c>
      <c r="G35" s="387">
        <v>37</v>
      </c>
      <c r="H35" s="23" t="s">
        <v>40</v>
      </c>
      <c r="I35" s="388">
        <v>2.5</v>
      </c>
      <c r="J35" s="14">
        <v>176.83</v>
      </c>
      <c r="K35" s="395">
        <v>14.7</v>
      </c>
      <c r="L35" s="396">
        <v>21.4</v>
      </c>
      <c r="M35" s="14">
        <v>5</v>
      </c>
      <c r="N35" s="14">
        <v>212.62</v>
      </c>
      <c r="O35" s="14">
        <v>55.36</v>
      </c>
      <c r="P35" s="386">
        <f t="shared" ref="P35:P41" si="38">Q35-(Q35*0.1+0.1)</f>
        <v>1.79</v>
      </c>
      <c r="Q35" s="386">
        <f t="shared" si="34"/>
        <v>2.1</v>
      </c>
      <c r="R35" s="247">
        <f t="shared" si="3"/>
        <v>18.28</v>
      </c>
      <c r="S35" s="23" t="s">
        <v>40</v>
      </c>
      <c r="T35" s="246">
        <f t="shared" si="4"/>
        <v>24.979999999999997</v>
      </c>
      <c r="U35" s="247">
        <f t="shared" si="5"/>
        <v>18.899999999999999</v>
      </c>
      <c r="V35" s="23" t="s">
        <v>40</v>
      </c>
      <c r="W35" s="245">
        <f t="shared" si="6"/>
        <v>25.599999999999998</v>
      </c>
      <c r="X35" s="386">
        <f t="shared" si="7"/>
        <v>43.681832585697947</v>
      </c>
      <c r="Y35" s="43">
        <f t="shared" si="8"/>
        <v>5.8818325856979472</v>
      </c>
      <c r="Z35" s="218">
        <f t="shared" si="9"/>
        <v>2</v>
      </c>
      <c r="AA35" s="251">
        <f t="shared" si="10"/>
        <v>0.05</v>
      </c>
      <c r="AB35" s="248" t="s">
        <v>40</v>
      </c>
      <c r="AC35" s="250">
        <f t="shared" si="11"/>
        <v>60</v>
      </c>
      <c r="AD35" s="249">
        <f t="shared" si="12"/>
        <v>25</v>
      </c>
      <c r="AE35" s="43">
        <f t="shared" si="13"/>
        <v>43.88183258569795</v>
      </c>
      <c r="AF35" s="386">
        <f t="shared" si="14"/>
        <v>0.7</v>
      </c>
      <c r="AG35" s="386">
        <f t="shared" si="15"/>
        <v>1.6</v>
      </c>
      <c r="AH35" s="386">
        <f t="shared" si="16"/>
        <v>47.081832585697953</v>
      </c>
      <c r="AI35" s="237">
        <f t="shared" si="17"/>
        <v>2</v>
      </c>
      <c r="AJ35" s="61">
        <f t="shared" si="18"/>
        <v>0.5</v>
      </c>
      <c r="AK35" s="61"/>
      <c r="AL35" s="201">
        <f t="shared" si="19"/>
        <v>50</v>
      </c>
      <c r="AM35" s="201">
        <f t="shared" si="20"/>
        <v>35</v>
      </c>
      <c r="AN35" s="386">
        <f t="shared" si="21"/>
        <v>49.081832585697953</v>
      </c>
      <c r="AO35" s="386">
        <f t="shared" si="22"/>
        <v>1.94</v>
      </c>
      <c r="AP35" s="386">
        <f t="shared" si="23"/>
        <v>2.4</v>
      </c>
      <c r="AQ35" s="386">
        <f t="shared" si="24"/>
        <v>53.88183258569795</v>
      </c>
      <c r="AR35" s="15">
        <v>0</v>
      </c>
      <c r="AS35" s="15">
        <f t="shared" si="25"/>
        <v>6332.0913235999997</v>
      </c>
      <c r="AT35" s="386">
        <f t="shared" si="26"/>
        <v>772.50097496225908</v>
      </c>
      <c r="AU35" s="386">
        <f t="shared" si="27"/>
        <v>38.040238848161088</v>
      </c>
      <c r="AV35" s="386">
        <f t="shared" si="28"/>
        <v>25.610820088540791</v>
      </c>
      <c r="AW35" s="386">
        <f t="shared" si="29"/>
        <v>342.46770544367723</v>
      </c>
      <c r="AX35" s="386">
        <f t="shared" si="30"/>
        <v>871.88098683307931</v>
      </c>
      <c r="AY35" s="386">
        <f t="shared" si="31"/>
        <v>597.77236427672449</v>
      </c>
      <c r="AZ35" s="386">
        <f t="shared" si="32"/>
        <v>8980.3644140524411</v>
      </c>
    </row>
    <row r="36" spans="1:60" s="240" customFormat="1" ht="12.75" customHeight="1" outlineLevel="2" x14ac:dyDescent="0.25">
      <c r="A36" s="314"/>
      <c r="B36" s="304" t="str">
        <f t="shared" si="0"/>
        <v>Кабель ВБШв 4*240мс (N) - 1 ГОСТ 31996-2012</v>
      </c>
      <c r="C36" s="260">
        <v>4</v>
      </c>
      <c r="D36" s="23" t="s">
        <v>40</v>
      </c>
      <c r="E36" s="400">
        <v>240</v>
      </c>
      <c r="F36" s="401" t="s">
        <v>151</v>
      </c>
      <c r="G36" s="387">
        <v>37</v>
      </c>
      <c r="H36" s="23" t="s">
        <v>40</v>
      </c>
      <c r="I36" s="388">
        <v>2.87</v>
      </c>
      <c r="J36" s="14">
        <v>232.41</v>
      </c>
      <c r="K36" s="395">
        <v>17</v>
      </c>
      <c r="L36" s="396">
        <v>24.7</v>
      </c>
      <c r="M36" s="14">
        <v>5</v>
      </c>
      <c r="N36" s="14">
        <v>280.64999999999998</v>
      </c>
      <c r="O36" s="14">
        <v>63.88</v>
      </c>
      <c r="P36" s="386">
        <f t="shared" si="38"/>
        <v>1.9700000000000002</v>
      </c>
      <c r="Q36" s="386">
        <f t="shared" si="34"/>
        <v>2.3000000000000003</v>
      </c>
      <c r="R36" s="247">
        <f t="shared" si="3"/>
        <v>20.94</v>
      </c>
      <c r="S36" s="23" t="s">
        <v>40</v>
      </c>
      <c r="T36" s="246">
        <f t="shared" si="4"/>
        <v>28.64</v>
      </c>
      <c r="U36" s="247">
        <f t="shared" si="5"/>
        <v>21.6</v>
      </c>
      <c r="V36" s="23" t="s">
        <v>40</v>
      </c>
      <c r="W36" s="245">
        <f t="shared" si="6"/>
        <v>29.3</v>
      </c>
      <c r="X36" s="386">
        <f t="shared" si="7"/>
        <v>49.247518010647191</v>
      </c>
      <c r="Y36" s="43">
        <f t="shared" si="8"/>
        <v>6.0475180106471864</v>
      </c>
      <c r="Z36" s="218">
        <f t="shared" si="9"/>
        <v>2</v>
      </c>
      <c r="AA36" s="251">
        <f t="shared" si="10"/>
        <v>0.05</v>
      </c>
      <c r="AB36" s="248" t="s">
        <v>40</v>
      </c>
      <c r="AC36" s="250">
        <f t="shared" si="11"/>
        <v>60</v>
      </c>
      <c r="AD36" s="249">
        <f t="shared" si="12"/>
        <v>25</v>
      </c>
      <c r="AE36" s="43">
        <f t="shared" si="13"/>
        <v>49.447518010647194</v>
      </c>
      <c r="AF36" s="386">
        <f t="shared" si="14"/>
        <v>0.8</v>
      </c>
      <c r="AG36" s="386">
        <f t="shared" si="15"/>
        <v>1.7</v>
      </c>
      <c r="AH36" s="386">
        <f t="shared" si="16"/>
        <v>52.847518010647192</v>
      </c>
      <c r="AI36" s="237">
        <f t="shared" si="17"/>
        <v>2</v>
      </c>
      <c r="AJ36" s="61">
        <f t="shared" si="18"/>
        <v>0.5</v>
      </c>
      <c r="AK36" s="61"/>
      <c r="AL36" s="201">
        <f t="shared" si="19"/>
        <v>50</v>
      </c>
      <c r="AM36" s="201">
        <f t="shared" si="20"/>
        <v>35</v>
      </c>
      <c r="AN36" s="386">
        <f t="shared" si="21"/>
        <v>54.847518010647192</v>
      </c>
      <c r="AO36" s="386">
        <f t="shared" si="22"/>
        <v>2.1100000000000003</v>
      </c>
      <c r="AP36" s="386">
        <f t="shared" si="23"/>
        <v>2.6</v>
      </c>
      <c r="AQ36" s="386">
        <f t="shared" si="24"/>
        <v>60.047518010647195</v>
      </c>
      <c r="AR36" s="15">
        <v>0</v>
      </c>
      <c r="AS36" s="15">
        <f t="shared" si="25"/>
        <v>8322.3510971999985</v>
      </c>
      <c r="AT36" s="386">
        <f t="shared" si="26"/>
        <v>970.99942394411573</v>
      </c>
      <c r="AU36" s="386">
        <f t="shared" si="27"/>
        <v>40.213535572674175</v>
      </c>
      <c r="AV36" s="386">
        <f t="shared" si="28"/>
        <v>28.86654877026692</v>
      </c>
      <c r="AW36" s="386">
        <f t="shared" si="29"/>
        <v>409.19957255335476</v>
      </c>
      <c r="AX36" s="386">
        <f t="shared" si="30"/>
        <v>976.43173350260486</v>
      </c>
      <c r="AY36" s="386">
        <f t="shared" si="31"/>
        <v>722.62870899906318</v>
      </c>
      <c r="AZ36" s="386">
        <f t="shared" si="32"/>
        <v>11470.69062054208</v>
      </c>
    </row>
    <row r="37" spans="1:60" s="240" customFormat="1" ht="12.75" customHeight="1" outlineLevel="2" thickBot="1" x14ac:dyDescent="0.3">
      <c r="A37" s="314"/>
      <c r="B37" s="304" t="str">
        <f t="shared" si="0"/>
        <v>Кабель ВБШв 4*300мс (N) - 1 ГОСТ 31996-2012</v>
      </c>
      <c r="C37" s="260">
        <v>4</v>
      </c>
      <c r="D37" s="23" t="s">
        <v>40</v>
      </c>
      <c r="E37" s="400">
        <v>300</v>
      </c>
      <c r="F37" s="401" t="s">
        <v>151</v>
      </c>
      <c r="G37" s="387">
        <v>61</v>
      </c>
      <c r="H37" s="23" t="s">
        <v>40</v>
      </c>
      <c r="I37" s="388">
        <v>2.5</v>
      </c>
      <c r="J37" s="14">
        <v>292.58999999999997</v>
      </c>
      <c r="K37" s="395">
        <v>19.100000000000001</v>
      </c>
      <c r="L37" s="396">
        <v>27.8</v>
      </c>
      <c r="M37" s="14">
        <v>5</v>
      </c>
      <c r="N37" s="14">
        <v>349.23</v>
      </c>
      <c r="O37" s="14">
        <v>71.67</v>
      </c>
      <c r="P37" s="386">
        <f t="shared" si="38"/>
        <v>2.15</v>
      </c>
      <c r="Q37" s="386">
        <f t="shared" si="34"/>
        <v>2.5</v>
      </c>
      <c r="R37" s="247">
        <f t="shared" si="3"/>
        <v>23.400000000000002</v>
      </c>
      <c r="S37" s="23" t="s">
        <v>40</v>
      </c>
      <c r="T37" s="246">
        <f t="shared" si="4"/>
        <v>32.1</v>
      </c>
      <c r="U37" s="247">
        <f t="shared" si="5"/>
        <v>24.1</v>
      </c>
      <c r="V37" s="23" t="s">
        <v>40</v>
      </c>
      <c r="W37" s="245">
        <f t="shared" si="6"/>
        <v>32.799999999999997</v>
      </c>
      <c r="X37" s="386">
        <f t="shared" si="7"/>
        <v>54.413203435596429</v>
      </c>
      <c r="Y37" s="43">
        <f t="shared" si="8"/>
        <v>6.2132034355964239</v>
      </c>
      <c r="Z37" s="218">
        <f t="shared" si="9"/>
        <v>2</v>
      </c>
      <c r="AA37" s="251">
        <f t="shared" si="10"/>
        <v>0.05</v>
      </c>
      <c r="AB37" s="248" t="s">
        <v>40</v>
      </c>
      <c r="AC37" s="250">
        <f t="shared" si="11"/>
        <v>60</v>
      </c>
      <c r="AD37" s="249">
        <f t="shared" si="12"/>
        <v>25</v>
      </c>
      <c r="AE37" s="43">
        <f t="shared" si="13"/>
        <v>54.613203435596432</v>
      </c>
      <c r="AF37" s="386">
        <f t="shared" si="14"/>
        <v>0.8</v>
      </c>
      <c r="AG37" s="386">
        <f t="shared" si="15"/>
        <v>1.7</v>
      </c>
      <c r="AH37" s="386">
        <f t="shared" si="16"/>
        <v>58.013203435596431</v>
      </c>
      <c r="AI37" s="237">
        <f t="shared" si="17"/>
        <v>2</v>
      </c>
      <c r="AJ37" s="61">
        <f t="shared" si="18"/>
        <v>0.5</v>
      </c>
      <c r="AK37" s="61"/>
      <c r="AL37" s="201">
        <f t="shared" si="19"/>
        <v>50</v>
      </c>
      <c r="AM37" s="201">
        <f t="shared" si="20"/>
        <v>35</v>
      </c>
      <c r="AN37" s="386">
        <f t="shared" si="21"/>
        <v>60.013203435596431</v>
      </c>
      <c r="AO37" s="386">
        <f t="shared" si="22"/>
        <v>2.5350000000000001</v>
      </c>
      <c r="AP37" s="386">
        <f t="shared" si="23"/>
        <v>3.1</v>
      </c>
      <c r="AQ37" s="386">
        <f t="shared" si="24"/>
        <v>66.213203435596427</v>
      </c>
      <c r="AR37" s="15">
        <v>0</v>
      </c>
      <c r="AS37" s="15">
        <f t="shared" si="25"/>
        <v>10477.331902799999</v>
      </c>
      <c r="AT37" s="386">
        <f t="shared" si="26"/>
        <v>1180.3887737097775</v>
      </c>
      <c r="AU37" s="386">
        <f t="shared" si="27"/>
        <v>42.447201650645937</v>
      </c>
      <c r="AV37" s="386">
        <f t="shared" si="28"/>
        <v>31.888291631153685</v>
      </c>
      <c r="AW37" s="386">
        <f t="shared" si="29"/>
        <v>450.52701814698645</v>
      </c>
      <c r="AX37" s="386">
        <f t="shared" si="30"/>
        <v>1070.1025164942182</v>
      </c>
      <c r="AY37" s="386">
        <f t="shared" si="31"/>
        <v>946.56951065467922</v>
      </c>
      <c r="AZ37" s="386">
        <f t="shared" si="32"/>
        <v>14199.25521508746</v>
      </c>
    </row>
    <row r="38" spans="1:60" s="240" customFormat="1" ht="13.8" outlineLevel="1" thickBot="1" x14ac:dyDescent="0.3">
      <c r="A38" s="313">
        <v>4</v>
      </c>
      <c r="B38" s="304"/>
      <c r="C38" s="397"/>
      <c r="D38" s="232"/>
      <c r="E38" s="233"/>
      <c r="F38" s="235"/>
      <c r="G38" s="222"/>
      <c r="H38" s="223"/>
      <c r="I38" s="188"/>
      <c r="J38" s="224"/>
      <c r="K38" s="224"/>
      <c r="L38" s="224"/>
      <c r="M38" s="224"/>
      <c r="N38" s="224"/>
      <c r="O38" s="224"/>
      <c r="P38" s="188"/>
      <c r="Q38" s="386"/>
      <c r="R38" s="247"/>
      <c r="S38" s="23"/>
      <c r="T38" s="246"/>
      <c r="U38" s="247"/>
      <c r="V38" s="23"/>
      <c r="W38" s="245"/>
      <c r="X38" s="386"/>
      <c r="Y38" s="43"/>
      <c r="Z38" s="218"/>
      <c r="AA38" s="251"/>
      <c r="AB38" s="248"/>
      <c r="AC38" s="250"/>
      <c r="AD38" s="249"/>
      <c r="AE38" s="43"/>
      <c r="AF38" s="386"/>
      <c r="AG38" s="386"/>
      <c r="AH38" s="386"/>
      <c r="AI38" s="237"/>
      <c r="AJ38" s="61"/>
      <c r="AK38" s="61"/>
      <c r="AL38" s="201"/>
      <c r="AM38" s="201"/>
      <c r="AN38" s="386"/>
      <c r="AO38" s="386"/>
      <c r="AP38" s="386"/>
      <c r="AQ38" s="386"/>
      <c r="AR38" s="15"/>
      <c r="AS38" s="15"/>
      <c r="AT38" s="386"/>
      <c r="AU38" s="386"/>
      <c r="AV38" s="386"/>
      <c r="AW38" s="386"/>
      <c r="AX38" s="386"/>
      <c r="AY38" s="386"/>
      <c r="AZ38" s="386"/>
      <c r="BC38" s="352">
        <v>42619</v>
      </c>
    </row>
    <row r="39" spans="1:60" outlineLevel="2" x14ac:dyDescent="0.25">
      <c r="A39" s="311"/>
      <c r="B39" s="358" t="str">
        <f>CONCATENATE("Кабель ","ВБШв ",C39,"*",E39,F39,IF(OR(C39=2,C39=4)," (N)",IF(OR(C39=3,C39=5)," (N, PE)",""))," - 1 ГОСТ 31996-2012")</f>
        <v>Кабель ВБШв 5*25мс (N, PE) - 1 ГОСТ 31996-2012</v>
      </c>
      <c r="C39" s="243">
        <v>5</v>
      </c>
      <c r="D39" s="227" t="s">
        <v>40</v>
      </c>
      <c r="E39" s="229">
        <v>25</v>
      </c>
      <c r="F39" s="307" t="s">
        <v>151</v>
      </c>
      <c r="G39" s="189">
        <v>7</v>
      </c>
      <c r="H39" s="23" t="s">
        <v>40</v>
      </c>
      <c r="I39" s="187">
        <v>2.19</v>
      </c>
      <c r="J39" s="69">
        <v>24.1</v>
      </c>
      <c r="K39" s="25">
        <v>5.8</v>
      </c>
      <c r="L39" s="69">
        <v>7.4</v>
      </c>
      <c r="M39" s="69">
        <v>2</v>
      </c>
      <c r="N39" s="69">
        <v>30.49</v>
      </c>
      <c r="O39" s="69">
        <v>20.64</v>
      </c>
      <c r="P39" s="186">
        <f t="shared" si="38"/>
        <v>1.07</v>
      </c>
      <c r="Q39" s="324">
        <f t="shared" ref="Q39:Q47" si="39">IF(E39=1.5,0.8,IF(E39=2.5,0.8,IF(E39=4,1,IF(E39=6,1,IF(E39=10,1,IF(E39=16,1,IF(E39=25,1.2,IF(E39=35,1.2,IF(E39=50,1.4,IF(E39=70,1.4,IF(E39=95,1.6,IF(E39=120,1.6,IF(E39=150,1.8,IF(E39=185,2,IF(E39=240,2.2,IF(E39=300,2.4,"ошибка"))))))))))))))))+0.1</f>
        <v>1.3</v>
      </c>
      <c r="R39" s="247">
        <f t="shared" ref="R39:R47" si="40">K39+2*P39</f>
        <v>7.9399999999999995</v>
      </c>
      <c r="S39" s="23" t="s">
        <v>40</v>
      </c>
      <c r="T39" s="246">
        <f t="shared" ref="T39:T47" si="41">L39+2*P39</f>
        <v>9.5400000000000009</v>
      </c>
      <c r="U39" s="247">
        <f t="shared" ref="U39:U47" si="42">K39+2*Q39</f>
        <v>8.4</v>
      </c>
      <c r="V39" s="23" t="s">
        <v>40</v>
      </c>
      <c r="W39" s="245">
        <f t="shared" ref="W39:W47" si="43">L39+2*Q39</f>
        <v>10</v>
      </c>
      <c r="X39" s="186">
        <f t="shared" ref="X39:X47" si="44">2*(U39+(M39+Q39)*(1/COS(PI()*(C39-2)/(2*C39))-1))</f>
        <v>21.428590670246926</v>
      </c>
      <c r="Y39" s="43">
        <f t="shared" si="8"/>
        <v>4.6285906702469264</v>
      </c>
      <c r="Z39" s="218">
        <f t="shared" ref="Z39:Z88" si="45">$Z$8</f>
        <v>2</v>
      </c>
      <c r="AA39" s="251">
        <f>IF(AND(X39&gt;=10,X39&lt;=20),0.035,IF(X39&gt;20,0.05,"ошибка"))</f>
        <v>0.05</v>
      </c>
      <c r="AB39" s="248" t="s">
        <v>40</v>
      </c>
      <c r="AC39" s="250">
        <f>IF(AND(X39&gt;=10,X39&lt;=20),50,IF(X39&gt;20,60,"ошибка"))</f>
        <v>60</v>
      </c>
      <c r="AD39" s="249">
        <f>IF(AND(X39&gt;=10,X39&lt;=13),40,IF(AND(X39&gt;=13,X39&lt;=16),30,IF(X39&gt;16,25,"ошибка")))</f>
        <v>25</v>
      </c>
      <c r="AE39" s="43">
        <f>X39+2*Z39*AA39*IF(AD39&lt;=25,1,IF(AD39&gt;33,2,1.5))</f>
        <v>21.628590670246925</v>
      </c>
      <c r="AF39" s="327">
        <f t="shared" ref="AF39:AF73" si="46">IF(AE39&lt;=25,0.5,IF(AND(AE39&gt;25,AE39&lt;=35),0.6,IF(AND(AE39&gt;35,AE39&lt;=45),0.7,IF(AND(AE39&gt;45,AE39&lt;=60),0.8,IF(AND(AE39&gt;60,AE39&lt;=80),0.9,1)))))</f>
        <v>0.5</v>
      </c>
      <c r="AG39" s="327">
        <f t="shared" ref="AG39:AG73" si="47">IF(AE39&lt;=25,1.4,IF(AND(AE39&gt;25,AE39&lt;=35),1.5,IF(AND(AE39&gt;35,AE39&lt;=45),1.6,IF(AND(AE39&gt;45,AE39&lt;=60),1.7,IF(AND(AE39&gt;60,AE39&lt;=80),2,2.2)))))</f>
        <v>1.4</v>
      </c>
      <c r="AH39" s="186">
        <f t="shared" ref="AH39:AH47" si="48">AE39+2*AG39</f>
        <v>24.428590670246926</v>
      </c>
      <c r="AI39" s="237">
        <f t="shared" ref="AI39:AI88" si="49">$AI$8</f>
        <v>2</v>
      </c>
      <c r="AJ39" s="61">
        <f t="shared" ref="AJ39:AJ75" si="50">IF(AH39&lt;=45,0.25,IF(AND(AH39&gt;45,AH39&lt;=70),0.5,0.8))</f>
        <v>0.25</v>
      </c>
      <c r="AK39" s="61"/>
      <c r="AL39" s="201">
        <f t="shared" ref="AL39:AL45" si="51">IF(AND(AH39&gt;7,AH39&lt;=10),15,IF(AND(AH39&gt;10,AH39&lt;=13),20,IF(AND(AH39&gt;13,AH39&lt;=21),30,IF(AND(AH39&gt;21,AH39&lt;=31),40,IF(AND(AH39&gt;31,AH39&lt;=70),50,IF(AND(AH39&gt;70,AH39&lt;=80),60,"ошибка"))))))</f>
        <v>40</v>
      </c>
      <c r="AM39" s="201">
        <f>$AM$8</f>
        <v>35</v>
      </c>
      <c r="AN39" s="186">
        <f t="shared" ref="AN39:AN47" si="52">AH39+2*AI39*AJ39</f>
        <v>25.428590670246926</v>
      </c>
      <c r="AO39" s="186">
        <f t="shared" ref="AO39:AO41" si="53">AP39-(AP39*0.15+0.1)</f>
        <v>1.6</v>
      </c>
      <c r="AP39" s="186">
        <f t="shared" ref="AP39:AP47" si="54">IF(AN39&lt;=20,1.8,IF(AND(AN39&gt;20,AN39&lt;=30),2,IF(AND(AN39&gt;30,AN39&lt;=40),2.2,IF(AND(AN39&gt;40,AN39&lt;=50),2.4,IF(AND(AN39&gt;50,AN39&lt;=60),2.6,3.1)))))</f>
        <v>2</v>
      </c>
      <c r="AQ39" s="186">
        <f t="shared" ref="AQ39:AQ47" si="55">AN39+2*AP39</f>
        <v>29.428590670246926</v>
      </c>
      <c r="AR39" s="15">
        <v>0</v>
      </c>
      <c r="AS39" s="15">
        <f t="shared" ref="AS39:AS47" si="56">J39*C39*1.007*$AS$8</f>
        <v>1078.7437150000001</v>
      </c>
      <c r="AT39" s="186">
        <f t="shared" ref="AT39:AT47" si="57">PI()*(O39/PI()+Q39)*Q39*$AT$8*1.1*C39*1.007</f>
        <v>238.53948821110475</v>
      </c>
      <c r="AU39" s="186">
        <f>PI()*Y39^2/4*$AU$8</f>
        <v>23.55675517132509</v>
      </c>
      <c r="AV39" s="186">
        <f>PI()*(X39+Z39*AA39)*Z39*AA39*$AV$8*ROUND(100/(100-AD39),2)</f>
        <v>12.593462398731205</v>
      </c>
      <c r="AW39" s="186">
        <f>PI()*(AE39+AG39)*AG39*1.07*$AW$8</f>
        <v>151.72497760800371</v>
      </c>
      <c r="AX39" s="186">
        <f>PI()*(AH39+AI39*AJ39)*AI39*AJ39*$AX$8*ROUND(100/(100+AM39),2)</f>
        <v>226.01846752818901</v>
      </c>
      <c r="AY39" s="186">
        <f>PI()*(AN39+AP39)*AP39*$AY$8*1.1</f>
        <v>265.40193355974543</v>
      </c>
      <c r="AZ39" s="186">
        <f>SUM(AR39:AY39)</f>
        <v>1996.578799477099</v>
      </c>
      <c r="BA39" s="264">
        <f>ROUND(AR39*1.015,2)</f>
        <v>0</v>
      </c>
      <c r="BB39" s="350">
        <f>ROUND(AS39*1.015,2)</f>
        <v>1094.92</v>
      </c>
      <c r="BC39" s="350">
        <f>ROUND(AT39*1.032,2)</f>
        <v>246.17</v>
      </c>
      <c r="BD39" s="350">
        <f>ROUND(AU39*1.032,2)</f>
        <v>24.31</v>
      </c>
      <c r="BE39" s="350">
        <f>ROUND(AV39*1.05,2)</f>
        <v>13.22</v>
      </c>
      <c r="BF39" s="350">
        <f>ROUND(AW39*1.032,2)</f>
        <v>156.58000000000001</v>
      </c>
      <c r="BG39" s="350">
        <f>ROUND(AX39*1.03,2)</f>
        <v>232.8</v>
      </c>
      <c r="BH39" s="350">
        <f>ROUND(AY39*1.032,2)</f>
        <v>273.89</v>
      </c>
    </row>
    <row r="40" spans="1:60" outlineLevel="2" x14ac:dyDescent="0.25">
      <c r="A40" s="311"/>
      <c r="B40" s="358" t="str">
        <f t="shared" ref="B40:B47" si="58">CONCATENATE("Кабель ","ВБШв ",C40,"*",E40,F40,IF(OR(C40=2,C40=4)," (N)",IF(OR(C40=3,C40=5)," (N, PE)",""))," - 1 ГОСТ 31996-2012")</f>
        <v>Кабель ВБШв 5*35мс (N, PE) - 1 ГОСТ 31996-2012</v>
      </c>
      <c r="C40" s="243">
        <v>5</v>
      </c>
      <c r="D40" s="227" t="s">
        <v>40</v>
      </c>
      <c r="E40" s="229">
        <v>35</v>
      </c>
      <c r="F40" s="307" t="s">
        <v>151</v>
      </c>
      <c r="G40" s="189">
        <v>7</v>
      </c>
      <c r="H40" s="23" t="s">
        <v>40</v>
      </c>
      <c r="I40" s="187">
        <v>2.5499999999999998</v>
      </c>
      <c r="J40" s="69">
        <v>33.44</v>
      </c>
      <c r="K40" s="25">
        <v>6.8</v>
      </c>
      <c r="L40" s="69">
        <v>8.5</v>
      </c>
      <c r="M40" s="69">
        <v>2</v>
      </c>
      <c r="N40" s="69">
        <v>40</v>
      </c>
      <c r="O40" s="69">
        <v>23.75</v>
      </c>
      <c r="P40" s="186">
        <f t="shared" si="38"/>
        <v>1.07</v>
      </c>
      <c r="Q40" s="324">
        <f t="shared" si="39"/>
        <v>1.3</v>
      </c>
      <c r="R40" s="247">
        <f t="shared" si="40"/>
        <v>8.94</v>
      </c>
      <c r="S40" s="23" t="s">
        <v>40</v>
      </c>
      <c r="T40" s="246">
        <f t="shared" si="41"/>
        <v>10.64</v>
      </c>
      <c r="U40" s="247">
        <f t="shared" si="42"/>
        <v>9.4</v>
      </c>
      <c r="V40" s="23" t="s">
        <v>40</v>
      </c>
      <c r="W40" s="245">
        <f t="shared" si="43"/>
        <v>11.1</v>
      </c>
      <c r="X40" s="186">
        <f t="shared" si="44"/>
        <v>23.428590670246926</v>
      </c>
      <c r="Y40" s="43">
        <f t="shared" si="8"/>
        <v>4.6285906702469264</v>
      </c>
      <c r="Z40" s="218">
        <f t="shared" si="45"/>
        <v>2</v>
      </c>
      <c r="AA40" s="251">
        <f t="shared" ref="AA40:AA47" si="59">IF(AND(X40&gt;=10,X40&lt;=20),0.035,IF(X40&gt;20,0.05,"ошибка"))</f>
        <v>0.05</v>
      </c>
      <c r="AB40" s="248" t="s">
        <v>40</v>
      </c>
      <c r="AC40" s="250">
        <f t="shared" ref="AC40:AC89" si="60">IF(AND(X40&gt;=10,X40&lt;=20),50,IF(X40&gt;20,60,"ошибка"))</f>
        <v>60</v>
      </c>
      <c r="AD40" s="249">
        <f t="shared" ref="AD40:AD89" si="61">IF(AND(X40&gt;=10,X40&lt;=13),40,IF(AND(X40&gt;=13,X40&lt;=16),30,IF(X40&gt;16,25,"ошибка")))</f>
        <v>25</v>
      </c>
      <c r="AE40" s="43">
        <f t="shared" ref="AE40:AE89" si="62">X40+2*Z40*AA40*IF(AD40&lt;=25,1,IF(AD40&gt;33,2,1.5))</f>
        <v>23.628590670246925</v>
      </c>
      <c r="AF40" s="327">
        <f t="shared" si="46"/>
        <v>0.5</v>
      </c>
      <c r="AG40" s="327">
        <f t="shared" si="47"/>
        <v>1.4</v>
      </c>
      <c r="AH40" s="186">
        <f t="shared" si="48"/>
        <v>26.428590670246926</v>
      </c>
      <c r="AI40" s="237">
        <f t="shared" si="49"/>
        <v>2</v>
      </c>
      <c r="AJ40" s="61">
        <f t="shared" si="50"/>
        <v>0.25</v>
      </c>
      <c r="AK40" s="61"/>
      <c r="AL40" s="201">
        <f t="shared" si="51"/>
        <v>40</v>
      </c>
      <c r="AM40" s="201">
        <f t="shared" ref="AM40:AM89" si="63">$AM$8</f>
        <v>35</v>
      </c>
      <c r="AN40" s="186">
        <f t="shared" si="52"/>
        <v>27.428590670246926</v>
      </c>
      <c r="AO40" s="186">
        <f t="shared" si="53"/>
        <v>1.6</v>
      </c>
      <c r="AP40" s="186">
        <f t="shared" si="54"/>
        <v>2</v>
      </c>
      <c r="AQ40" s="186">
        <f t="shared" si="55"/>
        <v>31.428590670246926</v>
      </c>
      <c r="AR40" s="15">
        <v>0</v>
      </c>
      <c r="AS40" s="15">
        <f t="shared" si="56"/>
        <v>1496.8128559999998</v>
      </c>
      <c r="AT40" s="199">
        <f t="shared" si="57"/>
        <v>268.54497658110478</v>
      </c>
      <c r="AU40" s="186">
        <f t="shared" ref="AU40:AU47" si="64">PI()*Y40^2/4*$AU$8</f>
        <v>23.55675517132509</v>
      </c>
      <c r="AV40" s="186">
        <f t="shared" ref="AV40:AV47" si="65">PI()*(X40+Z40*AA40)*Z40*AA40*$AV$8*ROUND(100/(100-AD40),2)</f>
        <v>13.763391502928046</v>
      </c>
      <c r="AW40" s="186">
        <f t="shared" ref="AW40:AW47" si="66">PI()*(AE40+AG40)*AG40*1.07*$AW$8</f>
        <v>164.90207383422072</v>
      </c>
      <c r="AX40" s="186">
        <f t="shared" ref="AX40:AX47" si="67">PI()*(AH40+AI40*AJ40)*AI40*AJ40*$AX$8*ROUND(100/(100+AM40),2)</f>
        <v>244.15174032470927</v>
      </c>
      <c r="AY40" s="186">
        <f t="shared" ref="AY40:AY47" si="68">PI()*(AN40+AP40)*AP40*$AY$8*1.1</f>
        <v>284.75414430585852</v>
      </c>
      <c r="AZ40" s="186">
        <f t="shared" ref="AZ40:AZ47" si="69">SUM(AR40:AY40)</f>
        <v>2496.485937720146</v>
      </c>
      <c r="BA40" s="264">
        <f t="shared" ref="BA40:BA46" si="70">ROUND(AR40*1.015,2)</f>
        <v>0</v>
      </c>
      <c r="BB40" s="350">
        <f t="shared" ref="BB40:BB46" si="71">ROUND(AS40*1.015,2)</f>
        <v>1519.27</v>
      </c>
      <c r="BC40" s="350">
        <f t="shared" ref="BC40:BC46" si="72">ROUND(AT40*1.032,2)</f>
        <v>277.14</v>
      </c>
      <c r="BD40" s="350">
        <f t="shared" ref="BD40:BD46" si="73">ROUND(AU40*1.032,2)</f>
        <v>24.31</v>
      </c>
      <c r="BE40" s="350">
        <f t="shared" ref="BE40:BE46" si="74">ROUND(AV40*1.05,2)</f>
        <v>14.45</v>
      </c>
      <c r="BF40" s="350">
        <f t="shared" ref="BF40:BF46" si="75">ROUND(AW40*1.032,2)</f>
        <v>170.18</v>
      </c>
      <c r="BG40" s="350">
        <f t="shared" ref="BG40:BG46" si="76">ROUND(AX40*1.03,2)</f>
        <v>251.48</v>
      </c>
      <c r="BH40" s="350">
        <f t="shared" ref="BH40:BH46" si="77">ROUND(AY40*1.032,2)</f>
        <v>293.87</v>
      </c>
    </row>
    <row r="41" spans="1:60" outlineLevel="2" x14ac:dyDescent="0.25">
      <c r="A41" s="311"/>
      <c r="B41" s="358" t="str">
        <f t="shared" si="58"/>
        <v>Кабель ВБШв 5*50мс (N, PE) - 1 ГОСТ 31996-2012</v>
      </c>
      <c r="C41" s="244">
        <v>5</v>
      </c>
      <c r="D41" s="228" t="s">
        <v>40</v>
      </c>
      <c r="E41" s="230">
        <v>50</v>
      </c>
      <c r="F41" s="307" t="s">
        <v>151</v>
      </c>
      <c r="G41" s="66">
        <v>7</v>
      </c>
      <c r="H41" s="62" t="s">
        <v>40</v>
      </c>
      <c r="I41" s="73">
        <v>3</v>
      </c>
      <c r="J41" s="14">
        <v>45.28</v>
      </c>
      <c r="K41" s="14">
        <v>7.8</v>
      </c>
      <c r="L41" s="14">
        <v>9.8000000000000007</v>
      </c>
      <c r="M41" s="14">
        <v>2.5</v>
      </c>
      <c r="N41" s="14">
        <v>53.88</v>
      </c>
      <c r="O41" s="14">
        <v>27.47</v>
      </c>
      <c r="P41" s="186">
        <f t="shared" si="38"/>
        <v>1.25</v>
      </c>
      <c r="Q41" s="324">
        <f t="shared" si="39"/>
        <v>1.5</v>
      </c>
      <c r="R41" s="247">
        <f t="shared" si="40"/>
        <v>10.3</v>
      </c>
      <c r="S41" s="23" t="s">
        <v>40</v>
      </c>
      <c r="T41" s="246">
        <f t="shared" si="41"/>
        <v>12.3</v>
      </c>
      <c r="U41" s="247">
        <f t="shared" si="42"/>
        <v>10.8</v>
      </c>
      <c r="V41" s="23" t="s">
        <v>40</v>
      </c>
      <c r="W41" s="245">
        <f t="shared" si="43"/>
        <v>12.8</v>
      </c>
      <c r="X41" s="186">
        <f t="shared" si="44"/>
        <v>27.210412933632639</v>
      </c>
      <c r="Y41" s="43">
        <f t="shared" si="8"/>
        <v>5.610412933632638</v>
      </c>
      <c r="Z41" s="218">
        <f t="shared" si="45"/>
        <v>2</v>
      </c>
      <c r="AA41" s="251">
        <f t="shared" si="59"/>
        <v>0.05</v>
      </c>
      <c r="AB41" s="248" t="s">
        <v>40</v>
      </c>
      <c r="AC41" s="250">
        <f t="shared" si="60"/>
        <v>60</v>
      </c>
      <c r="AD41" s="249">
        <f t="shared" si="61"/>
        <v>25</v>
      </c>
      <c r="AE41" s="43">
        <f t="shared" si="62"/>
        <v>27.410412933632639</v>
      </c>
      <c r="AF41" s="327">
        <f t="shared" si="46"/>
        <v>0.6</v>
      </c>
      <c r="AG41" s="327">
        <f t="shared" si="47"/>
        <v>1.5</v>
      </c>
      <c r="AH41" s="186">
        <f t="shared" si="48"/>
        <v>30.410412933632639</v>
      </c>
      <c r="AI41" s="237">
        <f t="shared" si="49"/>
        <v>2</v>
      </c>
      <c r="AJ41" s="61">
        <f t="shared" si="50"/>
        <v>0.25</v>
      </c>
      <c r="AK41" s="61"/>
      <c r="AL41" s="201">
        <f t="shared" si="51"/>
        <v>40</v>
      </c>
      <c r="AM41" s="201">
        <f t="shared" si="63"/>
        <v>35</v>
      </c>
      <c r="AN41" s="186">
        <f t="shared" si="52"/>
        <v>31.410412933632639</v>
      </c>
      <c r="AO41" s="186">
        <f t="shared" si="53"/>
        <v>1.77</v>
      </c>
      <c r="AP41" s="186">
        <f t="shared" si="54"/>
        <v>2.2000000000000002</v>
      </c>
      <c r="AQ41" s="186">
        <f t="shared" si="55"/>
        <v>35.810412933632641</v>
      </c>
      <c r="AR41" s="15">
        <v>0</v>
      </c>
      <c r="AS41" s="15">
        <f t="shared" si="56"/>
        <v>2026.784872</v>
      </c>
      <c r="AT41" s="199">
        <f t="shared" si="57"/>
        <v>358.26674434939986</v>
      </c>
      <c r="AU41" s="186">
        <f t="shared" si="64"/>
        <v>34.610475917465699</v>
      </c>
      <c r="AV41" s="186">
        <f t="shared" si="65"/>
        <v>15.975623469345301</v>
      </c>
      <c r="AW41" s="186">
        <f t="shared" si="66"/>
        <v>204.08319276757854</v>
      </c>
      <c r="AX41" s="186">
        <f t="shared" si="67"/>
        <v>280.25347498932473</v>
      </c>
      <c r="AY41" s="186">
        <f t="shared" si="68"/>
        <v>357.73968689554982</v>
      </c>
      <c r="AZ41" s="186">
        <f t="shared" si="69"/>
        <v>3277.7140703886644</v>
      </c>
      <c r="BA41" s="264">
        <f t="shared" si="70"/>
        <v>0</v>
      </c>
      <c r="BB41" s="350">
        <f t="shared" si="71"/>
        <v>2057.19</v>
      </c>
      <c r="BC41" s="350">
        <f t="shared" si="72"/>
        <v>369.73</v>
      </c>
      <c r="BD41" s="350">
        <f t="shared" si="73"/>
        <v>35.72</v>
      </c>
      <c r="BE41" s="350">
        <f t="shared" si="74"/>
        <v>16.77</v>
      </c>
      <c r="BF41" s="350">
        <f t="shared" si="75"/>
        <v>210.61</v>
      </c>
      <c r="BG41" s="350">
        <f t="shared" si="76"/>
        <v>288.66000000000003</v>
      </c>
      <c r="BH41" s="350">
        <f t="shared" si="77"/>
        <v>369.19</v>
      </c>
    </row>
    <row r="42" spans="1:60" outlineLevel="2" x14ac:dyDescent="0.25">
      <c r="A42" s="311"/>
      <c r="B42" s="358" t="str">
        <f t="shared" si="58"/>
        <v>Кабель ВБШв 5*70мс (N, PE) - 1 ГОСТ 31996-2012</v>
      </c>
      <c r="C42" s="244">
        <v>5</v>
      </c>
      <c r="D42" s="241" t="s">
        <v>40</v>
      </c>
      <c r="E42" s="230">
        <v>70</v>
      </c>
      <c r="F42" s="307" t="s">
        <v>151</v>
      </c>
      <c r="G42" s="189">
        <v>19</v>
      </c>
      <c r="H42" s="23" t="s">
        <v>40</v>
      </c>
      <c r="I42" s="187">
        <v>2.13</v>
      </c>
      <c r="J42" s="242">
        <v>65.39</v>
      </c>
      <c r="K42" s="70">
        <v>9.4</v>
      </c>
      <c r="L42" s="70">
        <v>11.9</v>
      </c>
      <c r="M42" s="70">
        <v>3</v>
      </c>
      <c r="N42" s="70">
        <v>78.430000000000007</v>
      </c>
      <c r="O42" s="70">
        <v>33.21</v>
      </c>
      <c r="P42" s="186">
        <f>Q42-(Q42*0.1+0.1)</f>
        <v>1.25</v>
      </c>
      <c r="Q42" s="324">
        <f t="shared" si="39"/>
        <v>1.5</v>
      </c>
      <c r="R42" s="247">
        <f t="shared" si="40"/>
        <v>11.9</v>
      </c>
      <c r="S42" s="23" t="s">
        <v>40</v>
      </c>
      <c r="T42" s="246">
        <f t="shared" si="41"/>
        <v>14.4</v>
      </c>
      <c r="U42" s="247">
        <f t="shared" si="42"/>
        <v>12.4</v>
      </c>
      <c r="V42" s="23" t="s">
        <v>40</v>
      </c>
      <c r="W42" s="245">
        <f t="shared" si="43"/>
        <v>14.9</v>
      </c>
      <c r="X42" s="186">
        <f t="shared" si="44"/>
        <v>31.111714550336718</v>
      </c>
      <c r="Y42" s="43">
        <f t="shared" si="8"/>
        <v>6.3117145503367178</v>
      </c>
      <c r="Z42" s="218">
        <f t="shared" si="45"/>
        <v>2</v>
      </c>
      <c r="AA42" s="251">
        <f t="shared" si="59"/>
        <v>0.05</v>
      </c>
      <c r="AB42" s="248" t="s">
        <v>40</v>
      </c>
      <c r="AC42" s="250">
        <f t="shared" si="60"/>
        <v>60</v>
      </c>
      <c r="AD42" s="249">
        <f t="shared" si="61"/>
        <v>25</v>
      </c>
      <c r="AE42" s="43">
        <f t="shared" si="62"/>
        <v>31.311714550336717</v>
      </c>
      <c r="AF42" s="327">
        <f t="shared" si="46"/>
        <v>0.6</v>
      </c>
      <c r="AG42" s="327">
        <f t="shared" si="47"/>
        <v>1.5</v>
      </c>
      <c r="AH42" s="186">
        <f t="shared" si="48"/>
        <v>34.311714550336717</v>
      </c>
      <c r="AI42" s="237">
        <f t="shared" si="49"/>
        <v>2</v>
      </c>
      <c r="AJ42" s="61">
        <f t="shared" si="50"/>
        <v>0.25</v>
      </c>
      <c r="AK42" s="61"/>
      <c r="AL42" s="201">
        <f t="shared" si="51"/>
        <v>50</v>
      </c>
      <c r="AM42" s="201">
        <f t="shared" si="63"/>
        <v>35</v>
      </c>
      <c r="AN42" s="186">
        <f t="shared" si="52"/>
        <v>35.311714550336717</v>
      </c>
      <c r="AO42" s="186">
        <f>AP42-(AP42*0.15+0.1)</f>
        <v>1.77</v>
      </c>
      <c r="AP42" s="186">
        <f t="shared" si="54"/>
        <v>2.2000000000000002</v>
      </c>
      <c r="AQ42" s="186">
        <f t="shared" si="55"/>
        <v>39.711714550336715</v>
      </c>
      <c r="AR42" s="15">
        <v>0</v>
      </c>
      <c r="AS42" s="15">
        <f t="shared" si="56"/>
        <v>2926.9315984999998</v>
      </c>
      <c r="AT42" s="199">
        <f t="shared" si="57"/>
        <v>422.16663424939981</v>
      </c>
      <c r="AU42" s="186">
        <f t="shared" si="64"/>
        <v>43.80388358304252</v>
      </c>
      <c r="AV42" s="186">
        <f t="shared" si="65"/>
        <v>18.257746622161445</v>
      </c>
      <c r="AW42" s="186">
        <f t="shared" si="66"/>
        <v>231.62309998765301</v>
      </c>
      <c r="AX42" s="186">
        <f t="shared" si="67"/>
        <v>315.62515822792511</v>
      </c>
      <c r="AY42" s="186">
        <f t="shared" si="68"/>
        <v>399.26403298438493</v>
      </c>
      <c r="AZ42" s="186">
        <f t="shared" si="69"/>
        <v>4357.6721541545667</v>
      </c>
      <c r="BA42" s="264">
        <f t="shared" si="70"/>
        <v>0</v>
      </c>
      <c r="BB42" s="350">
        <f t="shared" si="71"/>
        <v>2970.84</v>
      </c>
      <c r="BC42" s="350">
        <f t="shared" si="72"/>
        <v>435.68</v>
      </c>
      <c r="BD42" s="350">
        <f t="shared" si="73"/>
        <v>45.21</v>
      </c>
      <c r="BE42" s="350">
        <f t="shared" si="74"/>
        <v>19.170000000000002</v>
      </c>
      <c r="BF42" s="350">
        <f t="shared" si="75"/>
        <v>239.04</v>
      </c>
      <c r="BG42" s="350">
        <f t="shared" si="76"/>
        <v>325.08999999999997</v>
      </c>
      <c r="BH42" s="350">
        <f t="shared" si="77"/>
        <v>412.04</v>
      </c>
    </row>
    <row r="43" spans="1:60" outlineLevel="2" x14ac:dyDescent="0.25">
      <c r="A43" s="311"/>
      <c r="B43" s="358" t="str">
        <f t="shared" si="58"/>
        <v>Кабель ВБШв 5*95мс (N, PE) - 1 ГОСТ 31996-2012</v>
      </c>
      <c r="C43" s="244">
        <v>5</v>
      </c>
      <c r="D43" s="241" t="s">
        <v>40</v>
      </c>
      <c r="E43" s="230">
        <v>95</v>
      </c>
      <c r="F43" s="307" t="s">
        <v>151</v>
      </c>
      <c r="G43" s="189">
        <v>19</v>
      </c>
      <c r="H43" s="23" t="s">
        <v>40</v>
      </c>
      <c r="I43" s="187">
        <v>2.5</v>
      </c>
      <c r="J43" s="242">
        <v>90.8</v>
      </c>
      <c r="K43" s="70">
        <v>11.4</v>
      </c>
      <c r="L43" s="70">
        <v>14</v>
      </c>
      <c r="M43" s="70">
        <v>3</v>
      </c>
      <c r="N43" s="70">
        <v>109.04</v>
      </c>
      <c r="O43" s="70">
        <v>39.31</v>
      </c>
      <c r="P43" s="186">
        <f>Q43-(Q43*0.1+0.1)</f>
        <v>1.4300000000000002</v>
      </c>
      <c r="Q43" s="324">
        <f t="shared" si="39"/>
        <v>1.7000000000000002</v>
      </c>
      <c r="R43" s="247">
        <f t="shared" si="40"/>
        <v>14.260000000000002</v>
      </c>
      <c r="S43" s="23" t="s">
        <v>40</v>
      </c>
      <c r="T43" s="246">
        <f t="shared" si="41"/>
        <v>16.86</v>
      </c>
      <c r="U43" s="247">
        <f t="shared" si="42"/>
        <v>14.8</v>
      </c>
      <c r="V43" s="23" t="s">
        <v>40</v>
      </c>
      <c r="W43" s="245">
        <f t="shared" si="43"/>
        <v>17.399999999999999</v>
      </c>
      <c r="X43" s="186">
        <f t="shared" si="44"/>
        <v>36.192235197018348</v>
      </c>
      <c r="Y43" s="43">
        <f t="shared" si="8"/>
        <v>6.5922351970183497</v>
      </c>
      <c r="Z43" s="218">
        <f t="shared" si="45"/>
        <v>2</v>
      </c>
      <c r="AA43" s="251">
        <f t="shared" si="59"/>
        <v>0.05</v>
      </c>
      <c r="AB43" s="248" t="s">
        <v>40</v>
      </c>
      <c r="AC43" s="250">
        <f t="shared" si="60"/>
        <v>60</v>
      </c>
      <c r="AD43" s="249">
        <f t="shared" si="61"/>
        <v>25</v>
      </c>
      <c r="AE43" s="43">
        <f t="shared" si="62"/>
        <v>36.392235197018351</v>
      </c>
      <c r="AF43" s="327">
        <f t="shared" si="46"/>
        <v>0.7</v>
      </c>
      <c r="AG43" s="327">
        <f t="shared" si="47"/>
        <v>1.6</v>
      </c>
      <c r="AH43" s="186">
        <f t="shared" si="48"/>
        <v>39.592235197018354</v>
      </c>
      <c r="AI43" s="237">
        <f t="shared" si="49"/>
        <v>2</v>
      </c>
      <c r="AJ43" s="61">
        <f t="shared" si="50"/>
        <v>0.25</v>
      </c>
      <c r="AK43" s="61"/>
      <c r="AL43" s="201">
        <f t="shared" si="51"/>
        <v>50</v>
      </c>
      <c r="AM43" s="201">
        <f t="shared" si="63"/>
        <v>35</v>
      </c>
      <c r="AN43" s="186">
        <f t="shared" si="52"/>
        <v>40.592235197018354</v>
      </c>
      <c r="AO43" s="186">
        <f>AP43-(AP43*0.15+0.1)</f>
        <v>1.94</v>
      </c>
      <c r="AP43" s="186">
        <f t="shared" si="54"/>
        <v>2.4</v>
      </c>
      <c r="AQ43" s="186">
        <f t="shared" si="55"/>
        <v>45.392235197018351</v>
      </c>
      <c r="AR43" s="15">
        <v>0</v>
      </c>
      <c r="AS43" s="15">
        <f t="shared" si="56"/>
        <v>4064.3124199999997</v>
      </c>
      <c r="AT43" s="199">
        <f t="shared" si="57"/>
        <v>563.34471540745153</v>
      </c>
      <c r="AU43" s="186">
        <f t="shared" si="64"/>
        <v>47.784088313551074</v>
      </c>
      <c r="AV43" s="186">
        <f t="shared" si="65"/>
        <v>21.229671106674338</v>
      </c>
      <c r="AW43" s="186">
        <f t="shared" si="66"/>
        <v>286.07276516581726</v>
      </c>
      <c r="AX43" s="186">
        <f t="shared" si="67"/>
        <v>363.501718924893</v>
      </c>
      <c r="AY43" s="186">
        <f t="shared" si="68"/>
        <v>499.19687758749683</v>
      </c>
      <c r="AZ43" s="186">
        <f t="shared" si="69"/>
        <v>5845.442256505884</v>
      </c>
      <c r="BA43" s="264">
        <f t="shared" si="70"/>
        <v>0</v>
      </c>
      <c r="BB43" s="350">
        <f t="shared" si="71"/>
        <v>4125.28</v>
      </c>
      <c r="BC43" s="350">
        <f t="shared" si="72"/>
        <v>581.37</v>
      </c>
      <c r="BD43" s="350">
        <f t="shared" si="73"/>
        <v>49.31</v>
      </c>
      <c r="BE43" s="350">
        <f t="shared" si="74"/>
        <v>22.29</v>
      </c>
      <c r="BF43" s="350">
        <f t="shared" si="75"/>
        <v>295.23</v>
      </c>
      <c r="BG43" s="350">
        <f t="shared" si="76"/>
        <v>374.41</v>
      </c>
      <c r="BH43" s="350">
        <f t="shared" si="77"/>
        <v>515.16999999999996</v>
      </c>
    </row>
    <row r="44" spans="1:60" outlineLevel="2" x14ac:dyDescent="0.25">
      <c r="A44" s="311"/>
      <c r="B44" s="358" t="str">
        <f t="shared" si="58"/>
        <v>Кабель ВБШв 5*120мс (N, PE) - 1 ГОСТ 31996-2012</v>
      </c>
      <c r="C44" s="244">
        <v>5</v>
      </c>
      <c r="D44" s="228" t="s">
        <v>40</v>
      </c>
      <c r="E44" s="229">
        <v>120</v>
      </c>
      <c r="F44" s="307" t="s">
        <v>151</v>
      </c>
      <c r="G44" s="189">
        <v>19</v>
      </c>
      <c r="H44" s="23" t="s">
        <v>40</v>
      </c>
      <c r="I44" s="187">
        <v>2.87</v>
      </c>
      <c r="J44" s="14">
        <v>114.53</v>
      </c>
      <c r="K44" s="14">
        <v>12.4</v>
      </c>
      <c r="L44" s="14">
        <v>15.7</v>
      </c>
      <c r="M44" s="14">
        <v>4</v>
      </c>
      <c r="N44" s="14">
        <v>135.91999999999999</v>
      </c>
      <c r="O44" s="14">
        <v>43.63</v>
      </c>
      <c r="P44" s="186">
        <f t="shared" ref="P44:P45" si="78">Q44-(Q44*0.1+0.1)</f>
        <v>1.4300000000000002</v>
      </c>
      <c r="Q44" s="324">
        <f t="shared" si="39"/>
        <v>1.7000000000000002</v>
      </c>
      <c r="R44" s="247">
        <f t="shared" si="40"/>
        <v>15.260000000000002</v>
      </c>
      <c r="S44" s="23" t="s">
        <v>40</v>
      </c>
      <c r="T44" s="246">
        <f t="shared" si="41"/>
        <v>18.559999999999999</v>
      </c>
      <c r="U44" s="247">
        <f t="shared" si="42"/>
        <v>15.8</v>
      </c>
      <c r="V44" s="23" t="s">
        <v>40</v>
      </c>
      <c r="W44" s="245">
        <f t="shared" si="43"/>
        <v>19.100000000000001</v>
      </c>
      <c r="X44" s="186">
        <f t="shared" si="44"/>
        <v>39.594838430426513</v>
      </c>
      <c r="Y44" s="43">
        <f t="shared" si="8"/>
        <v>7.9948384304265092</v>
      </c>
      <c r="Z44" s="218">
        <f t="shared" si="45"/>
        <v>2</v>
      </c>
      <c r="AA44" s="251">
        <f t="shared" si="59"/>
        <v>0.05</v>
      </c>
      <c r="AB44" s="248" t="s">
        <v>40</v>
      </c>
      <c r="AC44" s="250">
        <f t="shared" si="60"/>
        <v>60</v>
      </c>
      <c r="AD44" s="249">
        <f t="shared" si="61"/>
        <v>25</v>
      </c>
      <c r="AE44" s="43">
        <f t="shared" si="62"/>
        <v>39.794838430426516</v>
      </c>
      <c r="AF44" s="327">
        <f t="shared" si="46"/>
        <v>0.7</v>
      </c>
      <c r="AG44" s="327">
        <f t="shared" si="47"/>
        <v>1.6</v>
      </c>
      <c r="AH44" s="186">
        <f t="shared" si="48"/>
        <v>42.994838430426519</v>
      </c>
      <c r="AI44" s="237">
        <f t="shared" si="49"/>
        <v>2</v>
      </c>
      <c r="AJ44" s="61">
        <f t="shared" si="50"/>
        <v>0.25</v>
      </c>
      <c r="AK44" s="61"/>
      <c r="AL44" s="201">
        <f t="shared" si="51"/>
        <v>50</v>
      </c>
      <c r="AM44" s="201">
        <f t="shared" si="63"/>
        <v>35</v>
      </c>
      <c r="AN44" s="186">
        <f t="shared" si="52"/>
        <v>43.994838430426519</v>
      </c>
      <c r="AO44" s="186">
        <f t="shared" ref="AO44:AO45" si="79">AP44-(AP44*0.15+0.1)</f>
        <v>1.94</v>
      </c>
      <c r="AP44" s="186">
        <f t="shared" si="54"/>
        <v>2.4</v>
      </c>
      <c r="AQ44" s="186">
        <f t="shared" si="55"/>
        <v>48.794838430426516</v>
      </c>
      <c r="AR44" s="15">
        <v>0</v>
      </c>
      <c r="AS44" s="15">
        <f t="shared" si="56"/>
        <v>5126.4945094999994</v>
      </c>
      <c r="AT44" s="199">
        <f t="shared" si="57"/>
        <v>617.84887236745135</v>
      </c>
      <c r="AU44" s="186">
        <f t="shared" si="64"/>
        <v>70.280897659903772</v>
      </c>
      <c r="AV44" s="186">
        <f t="shared" si="65"/>
        <v>23.220073383073579</v>
      </c>
      <c r="AW44" s="186">
        <f t="shared" si="66"/>
        <v>311.69358243796393</v>
      </c>
      <c r="AX44" s="186">
        <f t="shared" si="67"/>
        <v>394.3518852497491</v>
      </c>
      <c r="AY44" s="186">
        <f t="shared" si="68"/>
        <v>538.70561450248931</v>
      </c>
      <c r="AZ44" s="186">
        <f t="shared" si="69"/>
        <v>7082.5954351006303</v>
      </c>
      <c r="BA44" s="264">
        <f t="shared" si="70"/>
        <v>0</v>
      </c>
      <c r="BB44" s="350">
        <f t="shared" si="71"/>
        <v>5203.3900000000003</v>
      </c>
      <c r="BC44" s="350">
        <f t="shared" si="72"/>
        <v>637.62</v>
      </c>
      <c r="BD44" s="350">
        <f t="shared" si="73"/>
        <v>72.53</v>
      </c>
      <c r="BE44" s="350">
        <f t="shared" si="74"/>
        <v>24.38</v>
      </c>
      <c r="BF44" s="350">
        <f t="shared" si="75"/>
        <v>321.67</v>
      </c>
      <c r="BG44" s="350">
        <f t="shared" si="76"/>
        <v>406.18</v>
      </c>
      <c r="BH44" s="350">
        <f t="shared" si="77"/>
        <v>555.94000000000005</v>
      </c>
    </row>
    <row r="45" spans="1:60" outlineLevel="2" x14ac:dyDescent="0.25">
      <c r="A45" s="311"/>
      <c r="B45" s="358" t="str">
        <f t="shared" si="58"/>
        <v>Кабель ВБШв 5*150мс (N, PE) - 1 ГОСТ 31996-2012</v>
      </c>
      <c r="C45" s="244">
        <v>5</v>
      </c>
      <c r="D45" s="241" t="s">
        <v>40</v>
      </c>
      <c r="E45" s="230">
        <v>150</v>
      </c>
      <c r="F45" s="307" t="s">
        <v>151</v>
      </c>
      <c r="G45" s="189">
        <v>37</v>
      </c>
      <c r="H45" s="23" t="s">
        <v>40</v>
      </c>
      <c r="I45" s="187">
        <v>2.23</v>
      </c>
      <c r="J45" s="242">
        <v>141.32</v>
      </c>
      <c r="K45" s="70">
        <v>13.9</v>
      </c>
      <c r="L45" s="70">
        <v>17.5</v>
      </c>
      <c r="M45" s="70">
        <v>4</v>
      </c>
      <c r="N45" s="70">
        <v>166.78</v>
      </c>
      <c r="O45" s="70">
        <v>48.67</v>
      </c>
      <c r="P45" s="186">
        <f t="shared" si="78"/>
        <v>1.61</v>
      </c>
      <c r="Q45" s="324">
        <f t="shared" si="39"/>
        <v>1.9000000000000001</v>
      </c>
      <c r="R45" s="247">
        <f t="shared" si="40"/>
        <v>17.12</v>
      </c>
      <c r="S45" s="23" t="s">
        <v>40</v>
      </c>
      <c r="T45" s="246">
        <f t="shared" si="41"/>
        <v>20.72</v>
      </c>
      <c r="U45" s="247">
        <f t="shared" si="42"/>
        <v>17.7</v>
      </c>
      <c r="V45" s="23" t="s">
        <v>40</v>
      </c>
      <c r="W45" s="245">
        <f t="shared" si="43"/>
        <v>21.3</v>
      </c>
      <c r="X45" s="186">
        <f t="shared" si="44"/>
        <v>43.675359077108141</v>
      </c>
      <c r="Y45" s="43">
        <f t="shared" si="8"/>
        <v>8.275359077108142</v>
      </c>
      <c r="Z45" s="218">
        <f t="shared" si="45"/>
        <v>2</v>
      </c>
      <c r="AA45" s="251">
        <f t="shared" si="59"/>
        <v>0.05</v>
      </c>
      <c r="AB45" s="248" t="s">
        <v>40</v>
      </c>
      <c r="AC45" s="250">
        <f t="shared" si="60"/>
        <v>60</v>
      </c>
      <c r="AD45" s="249">
        <f t="shared" si="61"/>
        <v>25</v>
      </c>
      <c r="AE45" s="43">
        <f t="shared" si="62"/>
        <v>43.875359077108143</v>
      </c>
      <c r="AF45" s="327">
        <f t="shared" si="46"/>
        <v>0.7</v>
      </c>
      <c r="AG45" s="327">
        <f t="shared" si="47"/>
        <v>1.6</v>
      </c>
      <c r="AH45" s="186">
        <f>AE45+2*AG45</f>
        <v>47.075359077108146</v>
      </c>
      <c r="AI45" s="237">
        <f t="shared" si="49"/>
        <v>2</v>
      </c>
      <c r="AJ45" s="61">
        <f t="shared" si="50"/>
        <v>0.5</v>
      </c>
      <c r="AK45" s="61"/>
      <c r="AL45" s="201">
        <f t="shared" si="51"/>
        <v>50</v>
      </c>
      <c r="AM45" s="201">
        <f t="shared" si="63"/>
        <v>35</v>
      </c>
      <c r="AN45" s="186">
        <f t="shared" si="52"/>
        <v>49.075359077108146</v>
      </c>
      <c r="AO45" s="186">
        <f t="shared" si="79"/>
        <v>1.94</v>
      </c>
      <c r="AP45" s="186">
        <f t="shared" si="54"/>
        <v>2.4</v>
      </c>
      <c r="AQ45" s="186">
        <f t="shared" si="55"/>
        <v>53.875359077108143</v>
      </c>
      <c r="AR45" s="15">
        <v>0</v>
      </c>
      <c r="AS45" s="15">
        <f t="shared" si="56"/>
        <v>6325.6457179999998</v>
      </c>
      <c r="AT45" s="199">
        <f t="shared" si="57"/>
        <v>770.46605363525941</v>
      </c>
      <c r="AU45" s="186">
        <f t="shared" si="64"/>
        <v>75.299416667936327</v>
      </c>
      <c r="AV45" s="186">
        <f t="shared" si="65"/>
        <v>25.607033315488049</v>
      </c>
      <c r="AW45" s="186">
        <f t="shared" si="66"/>
        <v>342.41896141761487</v>
      </c>
      <c r="AX45" s="186">
        <f t="shared" si="67"/>
        <v>871.76360093586982</v>
      </c>
      <c r="AY45" s="186">
        <f t="shared" si="68"/>
        <v>597.69719825522645</v>
      </c>
      <c r="AZ45" s="186">
        <f t="shared" si="69"/>
        <v>9008.8979822273941</v>
      </c>
      <c r="BA45" s="264">
        <f t="shared" si="70"/>
        <v>0</v>
      </c>
      <c r="BB45" s="350">
        <f t="shared" si="71"/>
        <v>6420.53</v>
      </c>
      <c r="BC45" s="350">
        <f t="shared" si="72"/>
        <v>795.12</v>
      </c>
      <c r="BD45" s="350">
        <f t="shared" si="73"/>
        <v>77.709999999999994</v>
      </c>
      <c r="BE45" s="350">
        <f t="shared" si="74"/>
        <v>26.89</v>
      </c>
      <c r="BF45" s="350">
        <f t="shared" si="75"/>
        <v>353.38</v>
      </c>
      <c r="BG45" s="350">
        <f t="shared" si="76"/>
        <v>897.92</v>
      </c>
      <c r="BH45" s="350">
        <f t="shared" si="77"/>
        <v>616.82000000000005</v>
      </c>
    </row>
    <row r="46" spans="1:60" outlineLevel="2" x14ac:dyDescent="0.25">
      <c r="A46" s="328">
        <v>40206916</v>
      </c>
      <c r="B46" s="304" t="str">
        <f t="shared" si="58"/>
        <v>Кабель ВБШв 5*185мс (N, PE) - 1 ГОСТ 31996-2012</v>
      </c>
      <c r="C46" s="244">
        <v>5</v>
      </c>
      <c r="D46" s="228" t="s">
        <v>40</v>
      </c>
      <c r="E46" s="229">
        <v>185</v>
      </c>
      <c r="F46" s="307" t="s">
        <v>151</v>
      </c>
      <c r="G46" s="189">
        <v>37</v>
      </c>
      <c r="H46" s="23" t="s">
        <v>40</v>
      </c>
      <c r="I46" s="187">
        <v>2.5</v>
      </c>
      <c r="J46" s="14">
        <v>176.83</v>
      </c>
      <c r="K46" s="14">
        <v>15.6</v>
      </c>
      <c r="L46" s="14">
        <v>20.2</v>
      </c>
      <c r="M46" s="14">
        <v>5</v>
      </c>
      <c r="N46" s="14">
        <v>215.87</v>
      </c>
      <c r="O46" s="14">
        <v>55.39</v>
      </c>
      <c r="P46" s="186">
        <f t="shared" ref="P46:P47" si="80">Q46-(Q46*0.1+0.1)</f>
        <v>1.79</v>
      </c>
      <c r="Q46" s="324">
        <f t="shared" si="39"/>
        <v>2.1</v>
      </c>
      <c r="R46" s="247">
        <f t="shared" si="40"/>
        <v>19.18</v>
      </c>
      <c r="S46" s="23" t="s">
        <v>40</v>
      </c>
      <c r="T46" s="246">
        <f t="shared" si="41"/>
        <v>23.78</v>
      </c>
      <c r="U46" s="247">
        <f t="shared" si="42"/>
        <v>19.8</v>
      </c>
      <c r="V46" s="23" t="s">
        <v>40</v>
      </c>
      <c r="W46" s="245">
        <f t="shared" si="43"/>
        <v>24.4</v>
      </c>
      <c r="X46" s="186">
        <f t="shared" si="44"/>
        <v>49.558482957197931</v>
      </c>
      <c r="Y46" s="43">
        <f t="shared" si="8"/>
        <v>9.9584829571979316</v>
      </c>
      <c r="Z46" s="218">
        <f t="shared" si="45"/>
        <v>2</v>
      </c>
      <c r="AA46" s="251">
        <f t="shared" si="59"/>
        <v>0.05</v>
      </c>
      <c r="AB46" s="248" t="s">
        <v>40</v>
      </c>
      <c r="AC46" s="250">
        <f t="shared" si="60"/>
        <v>60</v>
      </c>
      <c r="AD46" s="249">
        <f t="shared" si="61"/>
        <v>25</v>
      </c>
      <c r="AE46" s="43">
        <f t="shared" si="62"/>
        <v>49.758482957197934</v>
      </c>
      <c r="AF46" s="327">
        <f t="shared" si="46"/>
        <v>0.8</v>
      </c>
      <c r="AG46" s="327">
        <f t="shared" si="47"/>
        <v>1.7</v>
      </c>
      <c r="AH46" s="186">
        <f t="shared" si="48"/>
        <v>53.158482957197933</v>
      </c>
      <c r="AI46" s="237">
        <f t="shared" si="49"/>
        <v>2</v>
      </c>
      <c r="AJ46" s="61">
        <f t="shared" si="50"/>
        <v>0.5</v>
      </c>
      <c r="AK46" s="61"/>
      <c r="AL46" s="201">
        <f>IF(AND(AH46&gt;7,AH46&lt;=10),15,IF(AND(AH46&gt;10,AH46&lt;=13),20,IF(AND(AH46&gt;13,AH46&lt;=21),30,IF(AND(AH46&gt;21,AH46&lt;=31),40,IF(AND(AH46&gt;31,AH46&lt;=70),50,IF(AND(AH46&gt;70,AH46&lt;=80),60,"ошибка"))))))</f>
        <v>50</v>
      </c>
      <c r="AM46" s="201">
        <f t="shared" si="63"/>
        <v>35</v>
      </c>
      <c r="AN46" s="186">
        <f t="shared" si="52"/>
        <v>55.158482957197933</v>
      </c>
      <c r="AO46" s="186">
        <f t="shared" ref="AO46:AO47" si="81">AP46-(AP46*0.15+0.1)</f>
        <v>2.1100000000000003</v>
      </c>
      <c r="AP46" s="186">
        <f t="shared" si="54"/>
        <v>2.6</v>
      </c>
      <c r="AQ46" s="186">
        <f t="shared" si="55"/>
        <v>60.358482957197936</v>
      </c>
      <c r="AR46" s="15">
        <v>0</v>
      </c>
      <c r="AS46" s="15">
        <f t="shared" si="56"/>
        <v>7915.114154500001</v>
      </c>
      <c r="AT46" s="199">
        <f t="shared" si="57"/>
        <v>966.09377887282392</v>
      </c>
      <c r="AU46" s="186">
        <f t="shared" si="64"/>
        <v>109.04463068746534</v>
      </c>
      <c r="AV46" s="186">
        <f t="shared" si="65"/>
        <v>29.04845224094429</v>
      </c>
      <c r="AW46" s="186">
        <f t="shared" si="66"/>
        <v>411.68741024630305</v>
      </c>
      <c r="AX46" s="186">
        <f t="shared" si="67"/>
        <v>982.07054570856462</v>
      </c>
      <c r="AY46" s="186">
        <f t="shared" si="68"/>
        <v>726.54031746626049</v>
      </c>
      <c r="AZ46" s="186">
        <f t="shared" si="69"/>
        <v>11139.599289722362</v>
      </c>
      <c r="BA46" s="264">
        <f t="shared" si="70"/>
        <v>0</v>
      </c>
      <c r="BB46" s="350">
        <f t="shared" si="71"/>
        <v>8033.84</v>
      </c>
      <c r="BC46" s="350">
        <f t="shared" si="72"/>
        <v>997.01</v>
      </c>
      <c r="BD46" s="350">
        <f t="shared" si="73"/>
        <v>112.53</v>
      </c>
      <c r="BE46" s="350">
        <f t="shared" si="74"/>
        <v>30.5</v>
      </c>
      <c r="BF46" s="350">
        <f t="shared" si="75"/>
        <v>424.86</v>
      </c>
      <c r="BG46" s="350">
        <f t="shared" si="76"/>
        <v>1011.53</v>
      </c>
      <c r="BH46" s="350">
        <f t="shared" si="77"/>
        <v>749.79</v>
      </c>
    </row>
    <row r="47" spans="1:60" outlineLevel="2" x14ac:dyDescent="0.25">
      <c r="A47" s="311"/>
      <c r="B47" s="358" t="str">
        <f t="shared" si="58"/>
        <v>Кабель ВБШв 5*240мс (N, PE) - 1 ГОСТ 31996-2012</v>
      </c>
      <c r="C47" s="243">
        <v>5</v>
      </c>
      <c r="D47" s="227" t="s">
        <v>40</v>
      </c>
      <c r="E47" s="229">
        <v>240</v>
      </c>
      <c r="F47" s="307" t="s">
        <v>151</v>
      </c>
      <c r="G47" s="189">
        <v>37</v>
      </c>
      <c r="H47" s="23" t="s">
        <v>40</v>
      </c>
      <c r="I47" s="187">
        <v>2.87</v>
      </c>
      <c r="J47" s="14">
        <v>232.41</v>
      </c>
      <c r="K47" s="14">
        <v>18.100000000000001</v>
      </c>
      <c r="L47" s="14">
        <v>23.2</v>
      </c>
      <c r="M47" s="14">
        <v>5</v>
      </c>
      <c r="N47" s="14">
        <v>281.52999999999997</v>
      </c>
      <c r="O47" s="14">
        <v>63.77</v>
      </c>
      <c r="P47" s="186">
        <f t="shared" si="80"/>
        <v>1.9700000000000002</v>
      </c>
      <c r="Q47" s="324">
        <f t="shared" si="39"/>
        <v>2.3000000000000003</v>
      </c>
      <c r="R47" s="247">
        <f t="shared" si="40"/>
        <v>22.040000000000003</v>
      </c>
      <c r="S47" s="23" t="s">
        <v>40</v>
      </c>
      <c r="T47" s="246">
        <f t="shared" si="41"/>
        <v>27.14</v>
      </c>
      <c r="U47" s="247">
        <f t="shared" si="42"/>
        <v>22.700000000000003</v>
      </c>
      <c r="V47" s="23" t="s">
        <v>40</v>
      </c>
      <c r="W47" s="245">
        <f t="shared" si="43"/>
        <v>27.8</v>
      </c>
      <c r="X47" s="186">
        <f t="shared" si="44"/>
        <v>55.639003603879573</v>
      </c>
      <c r="Y47" s="43">
        <f t="shared" si="8"/>
        <v>10.239003603879565</v>
      </c>
      <c r="Z47" s="218">
        <f t="shared" si="45"/>
        <v>2</v>
      </c>
      <c r="AA47" s="251">
        <f t="shared" si="59"/>
        <v>0.05</v>
      </c>
      <c r="AB47" s="248" t="s">
        <v>40</v>
      </c>
      <c r="AC47" s="250">
        <f t="shared" si="60"/>
        <v>60</v>
      </c>
      <c r="AD47" s="249">
        <f t="shared" si="61"/>
        <v>25</v>
      </c>
      <c r="AE47" s="43">
        <f t="shared" si="62"/>
        <v>55.839003603879576</v>
      </c>
      <c r="AF47" s="327">
        <f t="shared" si="46"/>
        <v>0.8</v>
      </c>
      <c r="AG47" s="327">
        <f t="shared" si="47"/>
        <v>1.7</v>
      </c>
      <c r="AH47" s="186">
        <f t="shared" si="48"/>
        <v>59.239003603879574</v>
      </c>
      <c r="AI47" s="237">
        <f t="shared" si="49"/>
        <v>2</v>
      </c>
      <c r="AJ47" s="61">
        <f t="shared" si="50"/>
        <v>0.5</v>
      </c>
      <c r="AK47" s="61"/>
      <c r="AL47" s="201">
        <f>IF(AND(AH47&gt;7,AH47&lt;=10),15,IF(AND(AH47&gt;10,AH47&lt;=13),20,IF(AND(AH47&gt;13,AH47&lt;=21),30,IF(AND(AH47&gt;21,AH47&lt;=31),40,IF(AND(AH47&gt;31,AH47&lt;=70),50,IF(AND(AH47&gt;70,AH47&lt;=80),60,"ошибка"))))))</f>
        <v>50</v>
      </c>
      <c r="AM47" s="201">
        <f t="shared" si="63"/>
        <v>35</v>
      </c>
      <c r="AN47" s="186">
        <f t="shared" si="52"/>
        <v>61.239003603879574</v>
      </c>
      <c r="AO47" s="186">
        <f t="shared" si="81"/>
        <v>2.5350000000000001</v>
      </c>
      <c r="AP47" s="186">
        <f t="shared" si="54"/>
        <v>3.1</v>
      </c>
      <c r="AQ47" s="186">
        <f t="shared" si="55"/>
        <v>67.43900360387957</v>
      </c>
      <c r="AR47" s="15">
        <v>0</v>
      </c>
      <c r="AS47" s="15">
        <f t="shared" si="56"/>
        <v>10402.938871499999</v>
      </c>
      <c r="AT47" s="199">
        <f t="shared" si="57"/>
        <v>1211.8716176601447</v>
      </c>
      <c r="AU47" s="186">
        <f t="shared" si="64"/>
        <v>115.2745163526092</v>
      </c>
      <c r="AV47" s="186">
        <f t="shared" si="65"/>
        <v>32.605341277555603</v>
      </c>
      <c r="AW47" s="186">
        <f t="shared" si="66"/>
        <v>460.33388511544581</v>
      </c>
      <c r="AX47" s="186">
        <f t="shared" si="67"/>
        <v>1092.330285339717</v>
      </c>
      <c r="AY47" s="186">
        <f t="shared" si="68"/>
        <v>964.95401662633742</v>
      </c>
      <c r="AZ47" s="186">
        <f t="shared" si="69"/>
        <v>14280.308533871808</v>
      </c>
      <c r="BA47" s="264">
        <f>ROUND(AR47*1.015,2)</f>
        <v>0</v>
      </c>
      <c r="BB47" s="350">
        <f>ROUND(AS47*1.015,2)</f>
        <v>10558.98</v>
      </c>
      <c r="BC47" s="350">
        <f>ROUND(AT47*1.032,2)</f>
        <v>1250.6500000000001</v>
      </c>
      <c r="BD47" s="350">
        <f>ROUND(AU47*1.032,2)</f>
        <v>118.96</v>
      </c>
      <c r="BE47" s="350">
        <f>ROUND(AV47*1.05,2)</f>
        <v>34.24</v>
      </c>
      <c r="BF47" s="350">
        <f>ROUND(AW47*1.032,2)</f>
        <v>475.06</v>
      </c>
      <c r="BG47" s="350">
        <f>ROUND(AX47*1.03,2)</f>
        <v>1125.0999999999999</v>
      </c>
      <c r="BH47" s="350">
        <f>ROUND(AY47*1.032,2)</f>
        <v>995.83</v>
      </c>
    </row>
    <row r="48" spans="1:60" ht="13.8" outlineLevel="1" thickBot="1" x14ac:dyDescent="0.3">
      <c r="A48" s="313">
        <v>5</v>
      </c>
      <c r="B48" s="309"/>
      <c r="C48" s="397"/>
      <c r="D48" s="232"/>
      <c r="E48" s="234"/>
      <c r="F48" s="308"/>
      <c r="G48" s="222"/>
      <c r="H48" s="223"/>
      <c r="I48" s="188"/>
      <c r="J48" s="224"/>
      <c r="K48" s="224"/>
      <c r="L48" s="224"/>
      <c r="M48" s="224"/>
      <c r="N48" s="224"/>
      <c r="O48" s="224"/>
      <c r="P48" s="188"/>
      <c r="Q48" s="324"/>
      <c r="R48" s="188"/>
      <c r="S48" s="223"/>
      <c r="T48" s="223"/>
      <c r="U48" s="188"/>
      <c r="V48" s="223"/>
      <c r="W48" s="188"/>
      <c r="X48" s="188"/>
      <c r="Y48" s="43"/>
      <c r="Z48" s="188"/>
      <c r="AA48" s="188"/>
      <c r="AB48" s="188"/>
      <c r="AC48" s="188"/>
      <c r="AD48" s="188"/>
      <c r="AE48" s="188"/>
      <c r="AF48" s="327"/>
      <c r="AG48" s="327"/>
      <c r="AH48" s="188"/>
      <c r="AI48" s="188"/>
      <c r="AJ48" s="61"/>
      <c r="AK48" s="194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</row>
    <row r="49" spans="1:60" ht="13.5" customHeight="1" thickBot="1" x14ac:dyDescent="0.3">
      <c r="A49" s="300" t="s">
        <v>137</v>
      </c>
      <c r="B49" s="310"/>
      <c r="C49" s="398"/>
      <c r="D49" s="305"/>
      <c r="E49" s="305"/>
      <c r="F49" s="308"/>
      <c r="G49" s="219"/>
      <c r="H49" s="219"/>
      <c r="I49" s="219"/>
      <c r="J49" s="219"/>
      <c r="K49" s="219"/>
      <c r="L49" s="219"/>
      <c r="M49" s="219"/>
      <c r="N49" s="219"/>
      <c r="O49" s="219"/>
      <c r="P49" s="188"/>
      <c r="Q49" s="324"/>
      <c r="R49" s="219"/>
      <c r="S49" s="219"/>
      <c r="T49" s="219"/>
      <c r="U49" s="219"/>
      <c r="V49" s="219"/>
      <c r="W49" s="219"/>
      <c r="X49" s="188"/>
      <c r="Y49" s="43"/>
      <c r="Z49" s="188"/>
      <c r="AA49" s="188"/>
      <c r="AB49" s="188"/>
      <c r="AC49" s="188"/>
      <c r="AD49" s="188"/>
      <c r="AE49" s="188"/>
      <c r="AF49" s="327"/>
      <c r="AG49" s="327"/>
      <c r="AH49" s="188"/>
      <c r="AI49" s="188"/>
      <c r="AJ49" s="61"/>
      <c r="AK49" s="194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B49" s="352">
        <v>42619</v>
      </c>
    </row>
    <row r="50" spans="1:60" s="240" customFormat="1" ht="12.75" customHeight="1" outlineLevel="2" x14ac:dyDescent="0.25">
      <c r="A50" s="328">
        <v>40207020</v>
      </c>
      <c r="B50" s="304" t="str">
        <f t="shared" ref="B50:B58" si="82">CONCATENATE("Кабель ",$A$91," ",C50,"*",E50,F50,IF(OR(C50=2,C50=4)," (N)",IF(OR(C50=3,C50=5)," (N, PE)",""))," - 1 ГОСТ 31996-2012")</f>
        <v>Кабель АВБШв 2*25мс (N) - 1 ГОСТ 31996-2012</v>
      </c>
      <c r="C50" s="243">
        <v>2</v>
      </c>
      <c r="D50" s="227" t="s">
        <v>40</v>
      </c>
      <c r="E50" s="229">
        <v>25</v>
      </c>
      <c r="F50" s="307" t="s">
        <v>151</v>
      </c>
      <c r="G50" s="260">
        <v>7</v>
      </c>
      <c r="H50" s="23" t="s">
        <v>40</v>
      </c>
      <c r="I50" s="246">
        <v>2.19</v>
      </c>
      <c r="J50" s="14">
        <v>24.05</v>
      </c>
      <c r="K50" s="316">
        <v>4.0999999999999996</v>
      </c>
      <c r="L50" s="316">
        <v>9.3000000000000007</v>
      </c>
      <c r="M50" s="14">
        <v>0</v>
      </c>
      <c r="N50" s="14">
        <v>30.24</v>
      </c>
      <c r="O50" s="14">
        <v>22.43</v>
      </c>
      <c r="P50" s="299">
        <f t="shared" ref="P50:P79" si="83">Q50-(Q50*0.1+0.1)</f>
        <v>1.07</v>
      </c>
      <c r="Q50" s="324">
        <f t="shared" ref="Q50:Q58" si="84">IF(E50=1.5,0.8,IF(E50=2.5,0.8,IF(E50=4,1,IF(E50=6,1,IF(E50=10,1,IF(E50=16,1,IF(E50=25,1.2,IF(E50=35,1.2,IF(E50=50,1.4,IF(E50=70,1.4,IF(E50=95,1.6,IF(E50=120,1.6,IF(E50=150,1.8,IF(E50=185,2,IF(E50=240,2.2,IF(E50=300,2.4,"ошибка"))))))))))))))))+0.1</f>
        <v>1.3</v>
      </c>
      <c r="R50" s="247">
        <f t="shared" ref="R50:R58" si="85">K50+2*P50</f>
        <v>6.24</v>
      </c>
      <c r="S50" s="23" t="s">
        <v>40</v>
      </c>
      <c r="T50" s="246">
        <f t="shared" ref="T50:T58" si="86">L50+2*P50</f>
        <v>11.440000000000001</v>
      </c>
      <c r="U50" s="247">
        <f t="shared" ref="U50:U58" si="87">K50+2*Q50</f>
        <v>6.6999999999999993</v>
      </c>
      <c r="V50" s="23" t="s">
        <v>40</v>
      </c>
      <c r="W50" s="245">
        <f t="shared" ref="W50:W58" si="88">L50+2*Q50</f>
        <v>11.9</v>
      </c>
      <c r="X50" s="299">
        <f t="shared" ref="X50:X58" si="89">2*(U50+(M50+Q50)*(1/COS(PI()*(C50-2)/(2*C50))-1))</f>
        <v>13.399999999999999</v>
      </c>
      <c r="Y50" s="43">
        <f t="shared" ref="Y50:Y58" si="90">IF(C50=4,2*(M50+Q50)*((1/COS(PI()*(C50-2)/(2*C50)))-1),IF(C50=5,2*(M50+Q50)*((1/COS(PI()*(C50-2)/(2*C50)))-1),0))</f>
        <v>0</v>
      </c>
      <c r="Z50" s="218">
        <f t="shared" si="45"/>
        <v>2</v>
      </c>
      <c r="AA50" s="251">
        <f t="shared" ref="AA50:AA79" si="91">IF(AND(X50&gt;=10,X50&lt;=20),0.035,IF(X50&gt;20,0.05,"ошибка"))</f>
        <v>3.5000000000000003E-2</v>
      </c>
      <c r="AB50" s="248" t="s">
        <v>40</v>
      </c>
      <c r="AC50" s="250">
        <f t="shared" ref="AC50:AC79" si="92">IF(AND(X50&gt;=10,X50&lt;=20),50,IF(X50&gt;20,60,"ошибка"))</f>
        <v>50</v>
      </c>
      <c r="AD50" s="249">
        <f t="shared" ref="AD50:AD79" si="93">IF(AND(X50&gt;=10,X50&lt;=13),40,IF(AND(X50&gt;=13,X50&lt;=16),30,IF(X50&gt;16,25,"ошибка")))</f>
        <v>30</v>
      </c>
      <c r="AE50" s="43">
        <f t="shared" ref="AE50:AE79" si="94">X50+2*Z50*AA50*IF(AD50&lt;=25,1,IF(AD50&gt;33,2,1.5))</f>
        <v>13.61</v>
      </c>
      <c r="AF50" s="327">
        <f t="shared" si="46"/>
        <v>0.5</v>
      </c>
      <c r="AG50" s="327">
        <f t="shared" si="47"/>
        <v>1.4</v>
      </c>
      <c r="AH50" s="299">
        <f t="shared" ref="AH50:AH79" si="95">AE50+2*AG50</f>
        <v>16.41</v>
      </c>
      <c r="AI50" s="237">
        <f t="shared" si="49"/>
        <v>2</v>
      </c>
      <c r="AJ50" s="61">
        <f t="shared" si="50"/>
        <v>0.25</v>
      </c>
      <c r="AK50" s="61"/>
      <c r="AL50" s="201">
        <f t="shared" ref="AL50:AL79" si="96">IF(AND(AH50&gt;7,AH50&lt;=10),15,IF(AND(AH50&gt;10,AH50&lt;=13),20,IF(AND(AH50&gt;13,AH50&lt;=21),30,IF(AND(AH50&gt;21,AH50&lt;=31),40,IF(AND(AH50&gt;31,AH50&lt;=70),50,IF(AND(AH50&gt;70,AH50&lt;=80),60,"ошибка"))))))</f>
        <v>30</v>
      </c>
      <c r="AM50" s="201">
        <f t="shared" si="63"/>
        <v>35</v>
      </c>
      <c r="AN50" s="299">
        <f t="shared" ref="AN50:AN79" si="97">AH50+2*AI50*AJ50</f>
        <v>17.41</v>
      </c>
      <c r="AO50" s="299">
        <f t="shared" ref="AO50:AO79" si="98">AP50-(AP50*0.15+0.1)</f>
        <v>1.4300000000000002</v>
      </c>
      <c r="AP50" s="299">
        <f t="shared" ref="AP50:AP79" si="99">IF(AN50&lt;=20,1.8,IF(AND(AN50&gt;20,AN50&lt;=30),2,IF(AND(AN50&gt;30,AN50&lt;=40),2.2,IF(AND(AN50&gt;40,AN50&lt;=50),2.4,IF(AND(AN50&gt;50,AN50&lt;=60),2.6,3.1)))))</f>
        <v>1.8</v>
      </c>
      <c r="AQ50" s="299">
        <f t="shared" ref="AQ50:AQ79" si="100">AN50+2*AP50</f>
        <v>21.01</v>
      </c>
      <c r="AR50" s="15">
        <f t="shared" ref="AR50:AR58" si="101">J50*C50*1.007*$AR$8</f>
        <v>130.77909</v>
      </c>
      <c r="AS50" s="15">
        <v>0</v>
      </c>
      <c r="AT50" s="299">
        <f t="shared" ref="AT50:AT58" si="102">PI()*(O50/PI()+Q50)*Q50*$AT$8*1.1*C50*1.007</f>
        <v>102.32381125644191</v>
      </c>
      <c r="AU50" s="299">
        <f t="shared" ref="AU50:AU79" si="103">PI()*Y50^2/4*$AU$8</f>
        <v>0</v>
      </c>
      <c r="AV50" s="299">
        <f t="shared" ref="AV50:AV79" si="104">PI()*(X50+Z50*AA50)*Z50*AA50*$AV$8*ROUND(100/(100-AD50),2)</f>
        <v>5.9303398415657709</v>
      </c>
      <c r="AW50" s="299">
        <f t="shared" ref="AW50:AW79" si="105">PI()*(AE50+AG50)*AG50*1.07*$AW$8</f>
        <v>98.894107177758798</v>
      </c>
      <c r="AX50" s="299">
        <f t="shared" ref="AX50:AX79" si="106">PI()*(AH50+AI50*AJ50)*AI50*AJ50*$AX$8*ROUND(100/(100+AM50),2)</f>
        <v>153.31682149457902</v>
      </c>
      <c r="AY50" s="299">
        <f t="shared" ref="AY50:AY79" si="107">PI()*(AN50+AP50)*AP50*$AY$8*1.1</f>
        <v>167.29018579477494</v>
      </c>
      <c r="AZ50" s="299">
        <f t="shared" ref="AZ50:AZ79" si="108">SUM(AR50:AY50)</f>
        <v>658.53435556512045</v>
      </c>
      <c r="BA50" s="350">
        <f>ROUND(AR50*1.015,2)</f>
        <v>132.74</v>
      </c>
      <c r="BB50" s="325">
        <f>ROUND(AS50*1.015,2)</f>
        <v>0</v>
      </c>
      <c r="BC50" s="350">
        <f>ROUND(AT50*1.032,2)</f>
        <v>105.6</v>
      </c>
      <c r="BD50" s="325">
        <f>ROUND(AU50*1.032,2)</f>
        <v>0</v>
      </c>
      <c r="BE50" s="350">
        <f>ROUND(AV50*1.05,2)</f>
        <v>6.23</v>
      </c>
      <c r="BF50" s="350">
        <f>ROUND(AW50*1.032,2)</f>
        <v>102.06</v>
      </c>
      <c r="BG50" s="350">
        <f>ROUND(AX50*1.03,2)</f>
        <v>157.91999999999999</v>
      </c>
      <c r="BH50" s="350">
        <f>ROUND(AY50*1.032,2)</f>
        <v>172.64</v>
      </c>
    </row>
    <row r="51" spans="1:60" s="240" customFormat="1" ht="12.75" customHeight="1" outlineLevel="2" x14ac:dyDescent="0.25">
      <c r="A51" s="314"/>
      <c r="B51" s="304" t="str">
        <f t="shared" si="82"/>
        <v>Кабель АВБШв 2*35мс (N) - 1 ГОСТ 31996-2012</v>
      </c>
      <c r="C51" s="243">
        <v>2</v>
      </c>
      <c r="D51" s="227" t="s">
        <v>40</v>
      </c>
      <c r="E51" s="229">
        <v>35</v>
      </c>
      <c r="F51" s="307" t="s">
        <v>151</v>
      </c>
      <c r="G51" s="260">
        <v>7</v>
      </c>
      <c r="H51" s="23" t="s">
        <v>40</v>
      </c>
      <c r="I51" s="246">
        <v>2.5499999999999998</v>
      </c>
      <c r="J51" s="14">
        <v>33.26</v>
      </c>
      <c r="K51" s="316">
        <v>4.8</v>
      </c>
      <c r="L51" s="316">
        <v>10.6</v>
      </c>
      <c r="M51" s="14">
        <v>0</v>
      </c>
      <c r="N51" s="14">
        <v>40.03</v>
      </c>
      <c r="O51" s="14">
        <v>25.72</v>
      </c>
      <c r="P51" s="299">
        <f t="shared" si="83"/>
        <v>1.07</v>
      </c>
      <c r="Q51" s="324">
        <f t="shared" si="84"/>
        <v>1.3</v>
      </c>
      <c r="R51" s="247">
        <f t="shared" si="85"/>
        <v>6.9399999999999995</v>
      </c>
      <c r="S51" s="23" t="s">
        <v>40</v>
      </c>
      <c r="T51" s="246">
        <f t="shared" si="86"/>
        <v>12.74</v>
      </c>
      <c r="U51" s="247">
        <f t="shared" si="87"/>
        <v>7.4</v>
      </c>
      <c r="V51" s="23" t="s">
        <v>40</v>
      </c>
      <c r="W51" s="245">
        <f t="shared" si="88"/>
        <v>13.2</v>
      </c>
      <c r="X51" s="299">
        <f t="shared" si="89"/>
        <v>14.8</v>
      </c>
      <c r="Y51" s="43">
        <f t="shared" si="90"/>
        <v>0</v>
      </c>
      <c r="Z51" s="218">
        <f t="shared" si="45"/>
        <v>2</v>
      </c>
      <c r="AA51" s="251">
        <f t="shared" si="91"/>
        <v>3.5000000000000003E-2</v>
      </c>
      <c r="AB51" s="248" t="s">
        <v>40</v>
      </c>
      <c r="AC51" s="250">
        <f t="shared" si="92"/>
        <v>50</v>
      </c>
      <c r="AD51" s="249">
        <f t="shared" si="93"/>
        <v>30</v>
      </c>
      <c r="AE51" s="43">
        <f t="shared" si="94"/>
        <v>15.010000000000002</v>
      </c>
      <c r="AF51" s="327">
        <f t="shared" si="46"/>
        <v>0.5</v>
      </c>
      <c r="AG51" s="327">
        <f t="shared" si="47"/>
        <v>1.4</v>
      </c>
      <c r="AH51" s="299">
        <f t="shared" si="95"/>
        <v>17.810000000000002</v>
      </c>
      <c r="AI51" s="237">
        <f t="shared" si="49"/>
        <v>2</v>
      </c>
      <c r="AJ51" s="61">
        <f t="shared" si="50"/>
        <v>0.25</v>
      </c>
      <c r="AK51" s="61"/>
      <c r="AL51" s="201">
        <f t="shared" si="96"/>
        <v>30</v>
      </c>
      <c r="AM51" s="201">
        <f t="shared" si="63"/>
        <v>35</v>
      </c>
      <c r="AN51" s="299">
        <f t="shared" si="97"/>
        <v>18.810000000000002</v>
      </c>
      <c r="AO51" s="299">
        <f t="shared" si="98"/>
        <v>1.4300000000000002</v>
      </c>
      <c r="AP51" s="299">
        <f t="shared" si="99"/>
        <v>1.8</v>
      </c>
      <c r="AQ51" s="299">
        <f t="shared" si="100"/>
        <v>22.410000000000004</v>
      </c>
      <c r="AR51" s="15">
        <f t="shared" si="101"/>
        <v>180.86122799999998</v>
      </c>
      <c r="AS51" s="15">
        <v>0</v>
      </c>
      <c r="AT51" s="299">
        <f t="shared" si="102"/>
        <v>115.0206674284419</v>
      </c>
      <c r="AU51" s="299">
        <f t="shared" si="103"/>
        <v>0</v>
      </c>
      <c r="AV51" s="299">
        <f t="shared" si="104"/>
        <v>6.5467077538294749</v>
      </c>
      <c r="AW51" s="299">
        <f t="shared" si="105"/>
        <v>108.11807453611073</v>
      </c>
      <c r="AX51" s="299">
        <f t="shared" si="106"/>
        <v>166.01011245214323</v>
      </c>
      <c r="AY51" s="299">
        <f t="shared" si="107"/>
        <v>179.48207856482625</v>
      </c>
      <c r="AZ51" s="299">
        <f t="shared" si="108"/>
        <v>756.03886873535157</v>
      </c>
      <c r="BA51" s="350">
        <f t="shared" ref="BA51:BA58" si="109">ROUND(AR51*1.015,2)</f>
        <v>183.57</v>
      </c>
      <c r="BB51" s="325">
        <f t="shared" ref="BB51:BB58" si="110">ROUND(AS51*1.015,2)</f>
        <v>0</v>
      </c>
      <c r="BC51" s="350">
        <f t="shared" ref="BC51:BC58" si="111">ROUND(AT51*1.032,2)</f>
        <v>118.7</v>
      </c>
      <c r="BD51" s="325">
        <f t="shared" ref="BD51:BD58" si="112">ROUND(AU51*1.032,2)</f>
        <v>0</v>
      </c>
      <c r="BE51" s="350">
        <f t="shared" ref="BE51:BE58" si="113">ROUND(AV51*1.05,2)</f>
        <v>6.87</v>
      </c>
      <c r="BF51" s="350">
        <f t="shared" ref="BF51:BF58" si="114">ROUND(AW51*1.032,2)</f>
        <v>111.58</v>
      </c>
      <c r="BG51" s="350">
        <f t="shared" ref="BG51:BG58" si="115">ROUND(AX51*1.03,2)</f>
        <v>170.99</v>
      </c>
      <c r="BH51" s="350">
        <f t="shared" ref="BH51:BH58" si="116">ROUND(AY51*1.032,2)</f>
        <v>185.23</v>
      </c>
    </row>
    <row r="52" spans="1:60" s="240" customFormat="1" ht="12.75" customHeight="1" outlineLevel="2" x14ac:dyDescent="0.25">
      <c r="A52" s="314"/>
      <c r="B52" s="304" t="str">
        <f t="shared" si="82"/>
        <v>Кабель АВБШв 2*50мс (N) - 1 ГОСТ 31996-2012</v>
      </c>
      <c r="C52" s="243">
        <v>2</v>
      </c>
      <c r="D52" s="227" t="s">
        <v>40</v>
      </c>
      <c r="E52" s="229">
        <v>50</v>
      </c>
      <c r="F52" s="307" t="s">
        <v>151</v>
      </c>
      <c r="G52" s="260">
        <v>7</v>
      </c>
      <c r="H52" s="23" t="s">
        <v>40</v>
      </c>
      <c r="I52" s="246">
        <v>3</v>
      </c>
      <c r="J52" s="14">
        <v>45.03</v>
      </c>
      <c r="K52" s="316">
        <v>5.6</v>
      </c>
      <c r="L52" s="316">
        <v>13</v>
      </c>
      <c r="M52" s="14">
        <v>0</v>
      </c>
      <c r="N52" s="14">
        <v>56.59</v>
      </c>
      <c r="O52" s="14">
        <v>31.2</v>
      </c>
      <c r="P52" s="299">
        <f t="shared" si="83"/>
        <v>1.25</v>
      </c>
      <c r="Q52" s="324">
        <f t="shared" si="84"/>
        <v>1.5</v>
      </c>
      <c r="R52" s="247">
        <f t="shared" si="85"/>
        <v>8.1</v>
      </c>
      <c r="S52" s="23" t="s">
        <v>40</v>
      </c>
      <c r="T52" s="246">
        <f t="shared" si="86"/>
        <v>15.5</v>
      </c>
      <c r="U52" s="247">
        <f t="shared" si="87"/>
        <v>8.6</v>
      </c>
      <c r="V52" s="23" t="s">
        <v>40</v>
      </c>
      <c r="W52" s="245">
        <f t="shared" si="88"/>
        <v>16</v>
      </c>
      <c r="X52" s="299">
        <f t="shared" si="89"/>
        <v>17.2</v>
      </c>
      <c r="Y52" s="43">
        <f t="shared" si="90"/>
        <v>0</v>
      </c>
      <c r="Z52" s="218">
        <f t="shared" si="45"/>
        <v>2</v>
      </c>
      <c r="AA52" s="251">
        <f t="shared" si="91"/>
        <v>3.5000000000000003E-2</v>
      </c>
      <c r="AB52" s="248" t="s">
        <v>40</v>
      </c>
      <c r="AC52" s="250">
        <f t="shared" si="92"/>
        <v>50</v>
      </c>
      <c r="AD52" s="249">
        <f t="shared" si="93"/>
        <v>25</v>
      </c>
      <c r="AE52" s="43">
        <f t="shared" si="94"/>
        <v>17.34</v>
      </c>
      <c r="AF52" s="327">
        <f t="shared" si="46"/>
        <v>0.5</v>
      </c>
      <c r="AG52" s="327">
        <f t="shared" si="47"/>
        <v>1.4</v>
      </c>
      <c r="AH52" s="299">
        <f t="shared" si="95"/>
        <v>20.14</v>
      </c>
      <c r="AI52" s="237">
        <f t="shared" si="49"/>
        <v>2</v>
      </c>
      <c r="AJ52" s="61">
        <f t="shared" si="50"/>
        <v>0.25</v>
      </c>
      <c r="AK52" s="61"/>
      <c r="AL52" s="201">
        <f t="shared" si="96"/>
        <v>30</v>
      </c>
      <c r="AM52" s="201">
        <f t="shared" si="63"/>
        <v>35</v>
      </c>
      <c r="AN52" s="299">
        <f t="shared" si="97"/>
        <v>21.14</v>
      </c>
      <c r="AO52" s="299">
        <f t="shared" si="98"/>
        <v>1.6</v>
      </c>
      <c r="AP52" s="299">
        <f t="shared" si="99"/>
        <v>2</v>
      </c>
      <c r="AQ52" s="299">
        <f t="shared" si="100"/>
        <v>25.14</v>
      </c>
      <c r="AR52" s="15">
        <f t="shared" si="101"/>
        <v>244.86413399999998</v>
      </c>
      <c r="AS52" s="15">
        <v>0</v>
      </c>
      <c r="AT52" s="299">
        <f t="shared" si="102"/>
        <v>159.91621615975995</v>
      </c>
      <c r="AU52" s="299">
        <f t="shared" si="103"/>
        <v>0</v>
      </c>
      <c r="AV52" s="299">
        <f t="shared" si="104"/>
        <v>7.0716364703177925</v>
      </c>
      <c r="AW52" s="299">
        <f t="shared" si="105"/>
        <v>123.46939163965355</v>
      </c>
      <c r="AX52" s="299">
        <f t="shared" si="106"/>
        <v>187.13537526008935</v>
      </c>
      <c r="AY52" s="299">
        <f t="shared" si="107"/>
        <v>223.90507833252889</v>
      </c>
      <c r="AZ52" s="299">
        <f t="shared" si="108"/>
        <v>946.3618318623495</v>
      </c>
      <c r="BA52" s="350">
        <f t="shared" si="109"/>
        <v>248.54</v>
      </c>
      <c r="BB52" s="325">
        <f t="shared" si="110"/>
        <v>0</v>
      </c>
      <c r="BC52" s="350">
        <f t="shared" si="111"/>
        <v>165.03</v>
      </c>
      <c r="BD52" s="325">
        <f t="shared" si="112"/>
        <v>0</v>
      </c>
      <c r="BE52" s="350">
        <f t="shared" si="113"/>
        <v>7.43</v>
      </c>
      <c r="BF52" s="350">
        <f t="shared" si="114"/>
        <v>127.42</v>
      </c>
      <c r="BG52" s="350">
        <f t="shared" si="115"/>
        <v>192.75</v>
      </c>
      <c r="BH52" s="350">
        <f t="shared" si="116"/>
        <v>231.07</v>
      </c>
    </row>
    <row r="53" spans="1:60" s="240" customFormat="1" ht="12.75" customHeight="1" outlineLevel="2" x14ac:dyDescent="0.25">
      <c r="A53" s="314"/>
      <c r="B53" s="304" t="str">
        <f t="shared" si="82"/>
        <v>Кабель АВБШв 2*70мс (N) - 1 ГОСТ 31996-2012</v>
      </c>
      <c r="C53" s="243">
        <v>2</v>
      </c>
      <c r="D53" s="227" t="s">
        <v>40</v>
      </c>
      <c r="E53" s="229">
        <v>70</v>
      </c>
      <c r="F53" s="307" t="s">
        <v>151</v>
      </c>
      <c r="G53" s="260">
        <v>7</v>
      </c>
      <c r="H53" s="23" t="s">
        <v>40</v>
      </c>
      <c r="I53" s="246">
        <v>3.57</v>
      </c>
      <c r="J53" s="14">
        <v>65.16</v>
      </c>
      <c r="K53" s="316">
        <v>6.6</v>
      </c>
      <c r="L53" s="316">
        <v>15</v>
      </c>
      <c r="M53" s="14">
        <v>0</v>
      </c>
      <c r="N53" s="14">
        <v>77.37</v>
      </c>
      <c r="O53" s="14">
        <v>36.17</v>
      </c>
      <c r="P53" s="299">
        <f t="shared" si="83"/>
        <v>1.25</v>
      </c>
      <c r="Q53" s="324">
        <f t="shared" si="84"/>
        <v>1.5</v>
      </c>
      <c r="R53" s="247">
        <f t="shared" si="85"/>
        <v>9.1</v>
      </c>
      <c r="S53" s="23" t="s">
        <v>40</v>
      </c>
      <c r="T53" s="246">
        <f t="shared" si="86"/>
        <v>17.5</v>
      </c>
      <c r="U53" s="247">
        <f t="shared" si="87"/>
        <v>9.6</v>
      </c>
      <c r="V53" s="23" t="s">
        <v>40</v>
      </c>
      <c r="W53" s="245">
        <f t="shared" si="88"/>
        <v>18</v>
      </c>
      <c r="X53" s="299">
        <f t="shared" si="89"/>
        <v>19.2</v>
      </c>
      <c r="Y53" s="43">
        <f t="shared" si="90"/>
        <v>0</v>
      </c>
      <c r="Z53" s="218">
        <f t="shared" si="45"/>
        <v>2</v>
      </c>
      <c r="AA53" s="251">
        <f t="shared" si="91"/>
        <v>3.5000000000000003E-2</v>
      </c>
      <c r="AB53" s="248" t="s">
        <v>40</v>
      </c>
      <c r="AC53" s="250">
        <f t="shared" si="92"/>
        <v>50</v>
      </c>
      <c r="AD53" s="249">
        <f t="shared" si="93"/>
        <v>25</v>
      </c>
      <c r="AE53" s="43">
        <f t="shared" si="94"/>
        <v>19.34</v>
      </c>
      <c r="AF53" s="327">
        <f t="shared" si="46"/>
        <v>0.5</v>
      </c>
      <c r="AG53" s="327">
        <f t="shared" si="47"/>
        <v>1.4</v>
      </c>
      <c r="AH53" s="299">
        <f t="shared" si="95"/>
        <v>22.14</v>
      </c>
      <c r="AI53" s="237">
        <f t="shared" si="49"/>
        <v>2</v>
      </c>
      <c r="AJ53" s="61">
        <f t="shared" si="50"/>
        <v>0.25</v>
      </c>
      <c r="AK53" s="61"/>
      <c r="AL53" s="201">
        <f t="shared" si="96"/>
        <v>40</v>
      </c>
      <c r="AM53" s="201">
        <f t="shared" si="63"/>
        <v>35</v>
      </c>
      <c r="AN53" s="299">
        <f t="shared" si="97"/>
        <v>23.14</v>
      </c>
      <c r="AO53" s="299">
        <f t="shared" si="98"/>
        <v>1.6</v>
      </c>
      <c r="AP53" s="299">
        <f t="shared" si="99"/>
        <v>2</v>
      </c>
      <c r="AQ53" s="299">
        <f t="shared" si="100"/>
        <v>27.14</v>
      </c>
      <c r="AR53" s="15">
        <f t="shared" si="101"/>
        <v>354.32704799999999</v>
      </c>
      <c r="AS53" s="15">
        <v>0</v>
      </c>
      <c r="AT53" s="299">
        <f t="shared" si="102"/>
        <v>182.04739753975994</v>
      </c>
      <c r="AU53" s="299">
        <f t="shared" si="103"/>
        <v>0</v>
      </c>
      <c r="AV53" s="299">
        <f t="shared" si="104"/>
        <v>7.8905868432555808</v>
      </c>
      <c r="AW53" s="299">
        <f t="shared" si="105"/>
        <v>136.64648786587054</v>
      </c>
      <c r="AX53" s="299">
        <f t="shared" si="106"/>
        <v>205.26864805660963</v>
      </c>
      <c r="AY53" s="299">
        <f t="shared" si="107"/>
        <v>243.257289078642</v>
      </c>
      <c r="AZ53" s="299">
        <f t="shared" si="108"/>
        <v>1129.4374573841378</v>
      </c>
      <c r="BA53" s="350">
        <f t="shared" si="109"/>
        <v>359.64</v>
      </c>
      <c r="BB53" s="325">
        <f t="shared" si="110"/>
        <v>0</v>
      </c>
      <c r="BC53" s="350">
        <f t="shared" si="111"/>
        <v>187.87</v>
      </c>
      <c r="BD53" s="325">
        <f t="shared" si="112"/>
        <v>0</v>
      </c>
      <c r="BE53" s="350">
        <f t="shared" si="113"/>
        <v>8.2899999999999991</v>
      </c>
      <c r="BF53" s="350">
        <f t="shared" si="114"/>
        <v>141.02000000000001</v>
      </c>
      <c r="BG53" s="350">
        <f t="shared" si="115"/>
        <v>211.43</v>
      </c>
      <c r="BH53" s="350">
        <f t="shared" si="116"/>
        <v>251.04</v>
      </c>
    </row>
    <row r="54" spans="1:60" s="240" customFormat="1" ht="12.75" customHeight="1" outlineLevel="2" x14ac:dyDescent="0.25">
      <c r="A54" s="314"/>
      <c r="B54" s="304" t="str">
        <f t="shared" si="82"/>
        <v>Кабель АВБШв 2*95мс (N) - 1 ГОСТ 31996-2012</v>
      </c>
      <c r="C54" s="243">
        <v>2</v>
      </c>
      <c r="D54" s="227" t="s">
        <v>40</v>
      </c>
      <c r="E54" s="229">
        <v>95</v>
      </c>
      <c r="F54" s="307" t="s">
        <v>151</v>
      </c>
      <c r="G54" s="260">
        <v>7</v>
      </c>
      <c r="H54" s="23" t="s">
        <v>40</v>
      </c>
      <c r="I54" s="246">
        <v>4.25</v>
      </c>
      <c r="J54" s="14">
        <v>90.21</v>
      </c>
      <c r="K54" s="316">
        <v>8.1999999999999993</v>
      </c>
      <c r="L54" s="316">
        <v>16.5</v>
      </c>
      <c r="M54" s="14">
        <v>0</v>
      </c>
      <c r="N54" s="14">
        <v>108.99</v>
      </c>
      <c r="O54" s="14">
        <v>42.69</v>
      </c>
      <c r="P54" s="299">
        <f t="shared" si="83"/>
        <v>1.4300000000000002</v>
      </c>
      <c r="Q54" s="324">
        <f t="shared" si="84"/>
        <v>1.7000000000000002</v>
      </c>
      <c r="R54" s="247">
        <f t="shared" si="85"/>
        <v>11.059999999999999</v>
      </c>
      <c r="S54" s="23" t="s">
        <v>40</v>
      </c>
      <c r="T54" s="246">
        <f t="shared" si="86"/>
        <v>19.36</v>
      </c>
      <c r="U54" s="247">
        <f t="shared" si="87"/>
        <v>11.6</v>
      </c>
      <c r="V54" s="23" t="s">
        <v>40</v>
      </c>
      <c r="W54" s="245">
        <f t="shared" si="88"/>
        <v>19.899999999999999</v>
      </c>
      <c r="X54" s="299">
        <f t="shared" si="89"/>
        <v>23.2</v>
      </c>
      <c r="Y54" s="43">
        <f t="shared" si="90"/>
        <v>0</v>
      </c>
      <c r="Z54" s="218">
        <f t="shared" si="45"/>
        <v>2</v>
      </c>
      <c r="AA54" s="251">
        <f t="shared" si="91"/>
        <v>0.05</v>
      </c>
      <c r="AB54" s="248" t="s">
        <v>40</v>
      </c>
      <c r="AC54" s="250">
        <f t="shared" si="92"/>
        <v>60</v>
      </c>
      <c r="AD54" s="249">
        <f t="shared" si="93"/>
        <v>25</v>
      </c>
      <c r="AE54" s="43">
        <f t="shared" si="94"/>
        <v>23.4</v>
      </c>
      <c r="AF54" s="327">
        <f t="shared" si="46"/>
        <v>0.5</v>
      </c>
      <c r="AG54" s="327">
        <f t="shared" si="47"/>
        <v>1.4</v>
      </c>
      <c r="AH54" s="299">
        <f t="shared" si="95"/>
        <v>26.2</v>
      </c>
      <c r="AI54" s="237">
        <f t="shared" si="49"/>
        <v>2</v>
      </c>
      <c r="AJ54" s="61">
        <f t="shared" si="50"/>
        <v>0.25</v>
      </c>
      <c r="AK54" s="61"/>
      <c r="AL54" s="201">
        <f t="shared" si="96"/>
        <v>40</v>
      </c>
      <c r="AM54" s="201">
        <f t="shared" si="63"/>
        <v>35</v>
      </c>
      <c r="AN54" s="299">
        <f t="shared" si="97"/>
        <v>27.2</v>
      </c>
      <c r="AO54" s="299">
        <f t="shared" si="98"/>
        <v>1.6</v>
      </c>
      <c r="AP54" s="299">
        <f t="shared" si="99"/>
        <v>2</v>
      </c>
      <c r="AQ54" s="299">
        <f t="shared" si="100"/>
        <v>31.2</v>
      </c>
      <c r="AR54" s="15">
        <f t="shared" si="101"/>
        <v>490.54393799999997</v>
      </c>
      <c r="AS54" s="15">
        <v>0</v>
      </c>
      <c r="AT54" s="299">
        <f t="shared" si="102"/>
        <v>242.39566861898055</v>
      </c>
      <c r="AU54" s="299">
        <f t="shared" si="103"/>
        <v>0</v>
      </c>
      <c r="AV54" s="299">
        <f t="shared" si="104"/>
        <v>13.629674063893175</v>
      </c>
      <c r="AW54" s="299">
        <f t="shared" si="105"/>
        <v>163.39599320509112</v>
      </c>
      <c r="AX54" s="299">
        <f t="shared" si="106"/>
        <v>242.07919183354579</v>
      </c>
      <c r="AY54" s="299">
        <f t="shared" si="107"/>
        <v>282.5422768932516</v>
      </c>
      <c r="AZ54" s="299">
        <f t="shared" si="108"/>
        <v>1434.5867426147624</v>
      </c>
      <c r="BA54" s="350">
        <f t="shared" si="109"/>
        <v>497.9</v>
      </c>
      <c r="BB54" s="325">
        <f t="shared" si="110"/>
        <v>0</v>
      </c>
      <c r="BC54" s="350">
        <f t="shared" si="111"/>
        <v>250.15</v>
      </c>
      <c r="BD54" s="325">
        <f t="shared" si="112"/>
        <v>0</v>
      </c>
      <c r="BE54" s="350">
        <f t="shared" si="113"/>
        <v>14.31</v>
      </c>
      <c r="BF54" s="350">
        <f t="shared" si="114"/>
        <v>168.62</v>
      </c>
      <c r="BG54" s="350">
        <f t="shared" si="115"/>
        <v>249.34</v>
      </c>
      <c r="BH54" s="350">
        <f t="shared" si="116"/>
        <v>291.58</v>
      </c>
    </row>
    <row r="55" spans="1:60" s="240" customFormat="1" ht="12.75" customHeight="1" outlineLevel="2" x14ac:dyDescent="0.25">
      <c r="A55" s="314"/>
      <c r="B55" s="304" t="str">
        <f t="shared" si="82"/>
        <v>Кабель АВБШв 2*120мс (N) - 1 ГОСТ 31996-2012</v>
      </c>
      <c r="C55" s="243">
        <v>2</v>
      </c>
      <c r="D55" s="227" t="s">
        <v>40</v>
      </c>
      <c r="E55" s="229">
        <v>120</v>
      </c>
      <c r="F55" s="307" t="s">
        <v>151</v>
      </c>
      <c r="G55" s="260">
        <v>19</v>
      </c>
      <c r="H55" s="23" t="s">
        <v>40</v>
      </c>
      <c r="I55" s="246">
        <v>2.87</v>
      </c>
      <c r="J55" s="14">
        <v>114.09</v>
      </c>
      <c r="K55" s="316">
        <v>8.6</v>
      </c>
      <c r="L55" s="316">
        <v>19.2</v>
      </c>
      <c r="M55" s="14">
        <v>0</v>
      </c>
      <c r="N55" s="14">
        <v>128.87</v>
      </c>
      <c r="O55" s="14">
        <v>46.55</v>
      </c>
      <c r="P55" s="299">
        <f t="shared" si="83"/>
        <v>1.4300000000000002</v>
      </c>
      <c r="Q55" s="324">
        <f t="shared" si="84"/>
        <v>1.7000000000000002</v>
      </c>
      <c r="R55" s="247">
        <f t="shared" si="85"/>
        <v>11.46</v>
      </c>
      <c r="S55" s="23" t="s">
        <v>40</v>
      </c>
      <c r="T55" s="246">
        <f t="shared" si="86"/>
        <v>22.06</v>
      </c>
      <c r="U55" s="247">
        <f t="shared" si="87"/>
        <v>12</v>
      </c>
      <c r="V55" s="23" t="s">
        <v>40</v>
      </c>
      <c r="W55" s="245">
        <f t="shared" si="88"/>
        <v>22.6</v>
      </c>
      <c r="X55" s="299">
        <f t="shared" si="89"/>
        <v>24</v>
      </c>
      <c r="Y55" s="43">
        <f t="shared" si="90"/>
        <v>0</v>
      </c>
      <c r="Z55" s="218">
        <f t="shared" si="45"/>
        <v>2</v>
      </c>
      <c r="AA55" s="251">
        <f t="shared" si="91"/>
        <v>0.05</v>
      </c>
      <c r="AB55" s="248" t="s">
        <v>40</v>
      </c>
      <c r="AC55" s="250">
        <f t="shared" si="92"/>
        <v>60</v>
      </c>
      <c r="AD55" s="249">
        <f t="shared" si="93"/>
        <v>25</v>
      </c>
      <c r="AE55" s="43">
        <f t="shared" si="94"/>
        <v>24.2</v>
      </c>
      <c r="AF55" s="327">
        <f t="shared" si="46"/>
        <v>0.5</v>
      </c>
      <c r="AG55" s="327">
        <f t="shared" si="47"/>
        <v>1.4</v>
      </c>
      <c r="AH55" s="299">
        <f t="shared" si="95"/>
        <v>27</v>
      </c>
      <c r="AI55" s="237">
        <f t="shared" si="49"/>
        <v>2</v>
      </c>
      <c r="AJ55" s="61">
        <f t="shared" si="50"/>
        <v>0.25</v>
      </c>
      <c r="AK55" s="61"/>
      <c r="AL55" s="201">
        <f t="shared" si="96"/>
        <v>40</v>
      </c>
      <c r="AM55" s="201">
        <f t="shared" si="63"/>
        <v>35</v>
      </c>
      <c r="AN55" s="299">
        <f t="shared" si="97"/>
        <v>28</v>
      </c>
      <c r="AO55" s="299">
        <f t="shared" si="98"/>
        <v>1.6</v>
      </c>
      <c r="AP55" s="299">
        <f t="shared" si="99"/>
        <v>2</v>
      </c>
      <c r="AQ55" s="299">
        <f t="shared" si="100"/>
        <v>32</v>
      </c>
      <c r="AR55" s="15">
        <f t="shared" si="101"/>
        <v>620.39860199999998</v>
      </c>
      <c r="AS55" s="15">
        <v>0</v>
      </c>
      <c r="AT55" s="299">
        <f t="shared" si="102"/>
        <v>261.87585805098058</v>
      </c>
      <c r="AU55" s="299">
        <f t="shared" si="103"/>
        <v>0</v>
      </c>
      <c r="AV55" s="299">
        <f t="shared" si="104"/>
        <v>14.09764570557191</v>
      </c>
      <c r="AW55" s="299">
        <f t="shared" si="105"/>
        <v>168.66683169557794</v>
      </c>
      <c r="AX55" s="299">
        <f t="shared" si="106"/>
        <v>249.33250095215394</v>
      </c>
      <c r="AY55" s="299">
        <f t="shared" si="107"/>
        <v>290.28316119169688</v>
      </c>
      <c r="AZ55" s="299">
        <f t="shared" si="108"/>
        <v>1604.6545995959814</v>
      </c>
      <c r="BA55" s="350">
        <f t="shared" si="109"/>
        <v>629.70000000000005</v>
      </c>
      <c r="BB55" s="325">
        <f t="shared" si="110"/>
        <v>0</v>
      </c>
      <c r="BC55" s="350">
        <f t="shared" si="111"/>
        <v>270.26</v>
      </c>
      <c r="BD55" s="325">
        <f t="shared" si="112"/>
        <v>0</v>
      </c>
      <c r="BE55" s="350">
        <f t="shared" si="113"/>
        <v>14.8</v>
      </c>
      <c r="BF55" s="350">
        <f t="shared" si="114"/>
        <v>174.06</v>
      </c>
      <c r="BG55" s="350">
        <f t="shared" si="115"/>
        <v>256.81</v>
      </c>
      <c r="BH55" s="350">
        <f t="shared" si="116"/>
        <v>299.57</v>
      </c>
    </row>
    <row r="56" spans="1:60" s="240" customFormat="1" ht="12.75" customHeight="1" outlineLevel="2" x14ac:dyDescent="0.25">
      <c r="A56" s="314"/>
      <c r="B56" s="304" t="str">
        <f t="shared" si="82"/>
        <v>Кабель АВБШв 2*150мс (N) - 1 ГОСТ 31996-2012</v>
      </c>
      <c r="C56" s="243">
        <v>2</v>
      </c>
      <c r="D56" s="227" t="s">
        <v>40</v>
      </c>
      <c r="E56" s="229">
        <v>150</v>
      </c>
      <c r="F56" s="307" t="s">
        <v>151</v>
      </c>
      <c r="G56" s="260">
        <v>19</v>
      </c>
      <c r="H56" s="23" t="s">
        <v>40</v>
      </c>
      <c r="I56" s="246">
        <v>3.15</v>
      </c>
      <c r="J56" s="14">
        <v>140.13</v>
      </c>
      <c r="K56" s="316">
        <v>9.6</v>
      </c>
      <c r="L56" s="316">
        <v>21.7</v>
      </c>
      <c r="M56" s="14">
        <v>0</v>
      </c>
      <c r="N56" s="14">
        <v>161.58000000000001</v>
      </c>
      <c r="O56" s="14">
        <v>52.54</v>
      </c>
      <c r="P56" s="299">
        <f t="shared" si="83"/>
        <v>1.61</v>
      </c>
      <c r="Q56" s="324">
        <f t="shared" si="84"/>
        <v>1.9000000000000001</v>
      </c>
      <c r="R56" s="247">
        <f t="shared" si="85"/>
        <v>12.82</v>
      </c>
      <c r="S56" s="23" t="s">
        <v>40</v>
      </c>
      <c r="T56" s="246">
        <f t="shared" si="86"/>
        <v>24.919999999999998</v>
      </c>
      <c r="U56" s="247">
        <f t="shared" si="87"/>
        <v>13.4</v>
      </c>
      <c r="V56" s="23" t="s">
        <v>40</v>
      </c>
      <c r="W56" s="245">
        <f t="shared" si="88"/>
        <v>25.5</v>
      </c>
      <c r="X56" s="299">
        <f t="shared" si="89"/>
        <v>26.8</v>
      </c>
      <c r="Y56" s="43">
        <f t="shared" si="90"/>
        <v>0</v>
      </c>
      <c r="Z56" s="218">
        <f t="shared" si="45"/>
        <v>2</v>
      </c>
      <c r="AA56" s="251">
        <f t="shared" si="91"/>
        <v>0.05</v>
      </c>
      <c r="AB56" s="248" t="s">
        <v>40</v>
      </c>
      <c r="AC56" s="250">
        <f t="shared" si="92"/>
        <v>60</v>
      </c>
      <c r="AD56" s="249">
        <f t="shared" si="93"/>
        <v>25</v>
      </c>
      <c r="AE56" s="43">
        <f t="shared" si="94"/>
        <v>27</v>
      </c>
      <c r="AF56" s="327">
        <f t="shared" si="46"/>
        <v>0.6</v>
      </c>
      <c r="AG56" s="327">
        <f t="shared" si="47"/>
        <v>1.5</v>
      </c>
      <c r="AH56" s="299">
        <f t="shared" si="95"/>
        <v>30</v>
      </c>
      <c r="AI56" s="237">
        <f t="shared" si="49"/>
        <v>2</v>
      </c>
      <c r="AJ56" s="61">
        <f t="shared" si="50"/>
        <v>0.25</v>
      </c>
      <c r="AK56" s="61"/>
      <c r="AL56" s="201">
        <f t="shared" si="96"/>
        <v>40</v>
      </c>
      <c r="AM56" s="201">
        <f t="shared" si="63"/>
        <v>35</v>
      </c>
      <c r="AN56" s="299">
        <f t="shared" si="97"/>
        <v>31</v>
      </c>
      <c r="AO56" s="299">
        <f t="shared" si="98"/>
        <v>1.77</v>
      </c>
      <c r="AP56" s="299">
        <f t="shared" si="99"/>
        <v>2.2000000000000002</v>
      </c>
      <c r="AQ56" s="299">
        <f t="shared" si="100"/>
        <v>35.4</v>
      </c>
      <c r="AR56" s="15">
        <f t="shared" si="101"/>
        <v>761.99891400000001</v>
      </c>
      <c r="AS56" s="15">
        <v>0</v>
      </c>
      <c r="AT56" s="299">
        <f t="shared" si="102"/>
        <v>330.01480196210366</v>
      </c>
      <c r="AU56" s="299">
        <f t="shared" si="103"/>
        <v>0</v>
      </c>
      <c r="AV56" s="299">
        <f t="shared" si="104"/>
        <v>15.735546451447487</v>
      </c>
      <c r="AW56" s="299">
        <f t="shared" si="105"/>
        <v>201.18602273956358</v>
      </c>
      <c r="AX56" s="299">
        <f t="shared" si="106"/>
        <v>276.53241014693435</v>
      </c>
      <c r="AY56" s="299">
        <f t="shared" si="107"/>
        <v>353.37136822402573</v>
      </c>
      <c r="AZ56" s="299">
        <f t="shared" si="108"/>
        <v>1938.8390635240748</v>
      </c>
      <c r="BA56" s="350">
        <f t="shared" si="109"/>
        <v>773.43</v>
      </c>
      <c r="BB56" s="325">
        <f t="shared" si="110"/>
        <v>0</v>
      </c>
      <c r="BC56" s="350">
        <f t="shared" si="111"/>
        <v>340.58</v>
      </c>
      <c r="BD56" s="325">
        <f t="shared" si="112"/>
        <v>0</v>
      </c>
      <c r="BE56" s="350">
        <f t="shared" si="113"/>
        <v>16.52</v>
      </c>
      <c r="BF56" s="350">
        <f t="shared" si="114"/>
        <v>207.62</v>
      </c>
      <c r="BG56" s="350">
        <f t="shared" si="115"/>
        <v>284.83</v>
      </c>
      <c r="BH56" s="350">
        <f t="shared" si="116"/>
        <v>364.68</v>
      </c>
    </row>
    <row r="57" spans="1:60" s="240" customFormat="1" ht="12.75" customHeight="1" outlineLevel="2" x14ac:dyDescent="0.25">
      <c r="A57" s="314"/>
      <c r="B57" s="304" t="str">
        <f t="shared" si="82"/>
        <v>Кабель АВБШв 2*185мс (N) - 1 ГОСТ 31996-2012</v>
      </c>
      <c r="C57" s="243">
        <v>2</v>
      </c>
      <c r="D57" s="227" t="s">
        <v>40</v>
      </c>
      <c r="E57" s="229">
        <v>185</v>
      </c>
      <c r="F57" s="307" t="s">
        <v>151</v>
      </c>
      <c r="G57" s="260">
        <v>19</v>
      </c>
      <c r="H57" s="23" t="s">
        <v>40</v>
      </c>
      <c r="I57" s="246">
        <v>3.57</v>
      </c>
      <c r="J57" s="14">
        <v>176.01</v>
      </c>
      <c r="K57" s="316">
        <v>10.8</v>
      </c>
      <c r="L57" s="316">
        <v>24</v>
      </c>
      <c r="M57" s="14">
        <v>0</v>
      </c>
      <c r="N57" s="14">
        <v>201.23</v>
      </c>
      <c r="O57" s="14">
        <v>58.42</v>
      </c>
      <c r="P57" s="299">
        <f t="shared" si="83"/>
        <v>1.79</v>
      </c>
      <c r="Q57" s="324">
        <f t="shared" si="84"/>
        <v>2.1</v>
      </c>
      <c r="R57" s="247">
        <f t="shared" si="85"/>
        <v>14.38</v>
      </c>
      <c r="S57" s="23" t="s">
        <v>40</v>
      </c>
      <c r="T57" s="246">
        <f t="shared" si="86"/>
        <v>27.58</v>
      </c>
      <c r="U57" s="247">
        <f t="shared" si="87"/>
        <v>15</v>
      </c>
      <c r="V57" s="23" t="s">
        <v>40</v>
      </c>
      <c r="W57" s="245">
        <f t="shared" si="88"/>
        <v>28.2</v>
      </c>
      <c r="X57" s="299">
        <f t="shared" si="89"/>
        <v>30</v>
      </c>
      <c r="Y57" s="43">
        <f t="shared" si="90"/>
        <v>0</v>
      </c>
      <c r="Z57" s="218">
        <f t="shared" si="45"/>
        <v>2</v>
      </c>
      <c r="AA57" s="251">
        <f t="shared" si="91"/>
        <v>0.05</v>
      </c>
      <c r="AB57" s="248" t="s">
        <v>40</v>
      </c>
      <c r="AC57" s="250">
        <f t="shared" si="92"/>
        <v>60</v>
      </c>
      <c r="AD57" s="249">
        <f t="shared" si="93"/>
        <v>25</v>
      </c>
      <c r="AE57" s="43">
        <f t="shared" si="94"/>
        <v>30.2</v>
      </c>
      <c r="AF57" s="327">
        <f t="shared" si="46"/>
        <v>0.6</v>
      </c>
      <c r="AG57" s="327">
        <f t="shared" si="47"/>
        <v>1.5</v>
      </c>
      <c r="AH57" s="299">
        <f t="shared" si="95"/>
        <v>33.200000000000003</v>
      </c>
      <c r="AI57" s="237">
        <f t="shared" si="49"/>
        <v>2</v>
      </c>
      <c r="AJ57" s="61">
        <f t="shared" si="50"/>
        <v>0.25</v>
      </c>
      <c r="AK57" s="61"/>
      <c r="AL57" s="201">
        <f t="shared" si="96"/>
        <v>50</v>
      </c>
      <c r="AM57" s="201">
        <f t="shared" si="63"/>
        <v>35</v>
      </c>
      <c r="AN57" s="299">
        <f t="shared" si="97"/>
        <v>34.200000000000003</v>
      </c>
      <c r="AO57" s="299">
        <f t="shared" si="98"/>
        <v>1.77</v>
      </c>
      <c r="AP57" s="299">
        <f t="shared" si="99"/>
        <v>2.2000000000000002</v>
      </c>
      <c r="AQ57" s="299">
        <f t="shared" si="100"/>
        <v>38.6</v>
      </c>
      <c r="AR57" s="15">
        <f t="shared" si="101"/>
        <v>957.10717799999998</v>
      </c>
      <c r="AS57" s="15">
        <v>0</v>
      </c>
      <c r="AT57" s="299">
        <f t="shared" si="102"/>
        <v>405.32694241712943</v>
      </c>
      <c r="AU57" s="299">
        <f t="shared" si="103"/>
        <v>0</v>
      </c>
      <c r="AV57" s="299">
        <f t="shared" si="104"/>
        <v>17.607433018162428</v>
      </c>
      <c r="AW57" s="299">
        <f t="shared" si="105"/>
        <v>223.7753305559356</v>
      </c>
      <c r="AX57" s="299">
        <f t="shared" si="106"/>
        <v>305.54564662136687</v>
      </c>
      <c r="AY57" s="299">
        <f t="shared" si="107"/>
        <v>387.4312591371849</v>
      </c>
      <c r="AZ57" s="299">
        <f t="shared" si="108"/>
        <v>2296.7937897497791</v>
      </c>
      <c r="BA57" s="350">
        <f t="shared" si="109"/>
        <v>971.46</v>
      </c>
      <c r="BB57" s="325">
        <f t="shared" si="110"/>
        <v>0</v>
      </c>
      <c r="BC57" s="350">
        <f t="shared" si="111"/>
        <v>418.3</v>
      </c>
      <c r="BD57" s="325">
        <f t="shared" si="112"/>
        <v>0</v>
      </c>
      <c r="BE57" s="350">
        <f t="shared" si="113"/>
        <v>18.489999999999998</v>
      </c>
      <c r="BF57" s="350">
        <f t="shared" si="114"/>
        <v>230.94</v>
      </c>
      <c r="BG57" s="350">
        <f t="shared" si="115"/>
        <v>314.70999999999998</v>
      </c>
      <c r="BH57" s="350">
        <f t="shared" si="116"/>
        <v>399.83</v>
      </c>
    </row>
    <row r="58" spans="1:60" s="240" customFormat="1" ht="12.75" customHeight="1" outlineLevel="2" x14ac:dyDescent="0.25">
      <c r="A58" s="314"/>
      <c r="B58" s="304" t="str">
        <f t="shared" si="82"/>
        <v>Кабель АВБШв 2*240мс (N) - 1 ГОСТ 31996-2012</v>
      </c>
      <c r="C58" s="243">
        <v>2</v>
      </c>
      <c r="D58" s="227" t="s">
        <v>40</v>
      </c>
      <c r="E58" s="229">
        <v>240</v>
      </c>
      <c r="F58" s="307" t="s">
        <v>151</v>
      </c>
      <c r="G58" s="260">
        <v>19</v>
      </c>
      <c r="H58" s="23" t="s">
        <v>40</v>
      </c>
      <c r="I58" s="246">
        <v>4.0999999999999996</v>
      </c>
      <c r="J58" s="14">
        <v>230.93</v>
      </c>
      <c r="K58" s="316">
        <v>12.3</v>
      </c>
      <c r="L58" s="316">
        <v>27.4</v>
      </c>
      <c r="M58" s="14">
        <v>0</v>
      </c>
      <c r="N58" s="14">
        <v>261.06</v>
      </c>
      <c r="O58" s="14">
        <v>66.73</v>
      </c>
      <c r="P58" s="299">
        <f t="shared" si="83"/>
        <v>1.9700000000000002</v>
      </c>
      <c r="Q58" s="324">
        <f t="shared" si="84"/>
        <v>2.3000000000000003</v>
      </c>
      <c r="R58" s="247">
        <f t="shared" si="85"/>
        <v>16.240000000000002</v>
      </c>
      <c r="S58" s="23" t="s">
        <v>40</v>
      </c>
      <c r="T58" s="246">
        <f t="shared" si="86"/>
        <v>31.34</v>
      </c>
      <c r="U58" s="247">
        <f t="shared" si="87"/>
        <v>16.900000000000002</v>
      </c>
      <c r="V58" s="23" t="s">
        <v>40</v>
      </c>
      <c r="W58" s="245">
        <f t="shared" si="88"/>
        <v>32</v>
      </c>
      <c r="X58" s="299">
        <f t="shared" si="89"/>
        <v>33.800000000000004</v>
      </c>
      <c r="Y58" s="43">
        <f t="shared" si="90"/>
        <v>0</v>
      </c>
      <c r="Z58" s="218">
        <f t="shared" si="45"/>
        <v>2</v>
      </c>
      <c r="AA58" s="251">
        <f t="shared" si="91"/>
        <v>0.05</v>
      </c>
      <c r="AB58" s="248" t="s">
        <v>40</v>
      </c>
      <c r="AC58" s="250">
        <f t="shared" si="92"/>
        <v>60</v>
      </c>
      <c r="AD58" s="249">
        <f t="shared" si="93"/>
        <v>25</v>
      </c>
      <c r="AE58" s="43">
        <f t="shared" si="94"/>
        <v>34.000000000000007</v>
      </c>
      <c r="AF58" s="327">
        <f t="shared" si="46"/>
        <v>0.6</v>
      </c>
      <c r="AG58" s="327">
        <f t="shared" si="47"/>
        <v>1.5</v>
      </c>
      <c r="AH58" s="299">
        <f t="shared" si="95"/>
        <v>37.000000000000007</v>
      </c>
      <c r="AI58" s="237">
        <f t="shared" si="49"/>
        <v>2</v>
      </c>
      <c r="AJ58" s="61">
        <f t="shared" si="50"/>
        <v>0.25</v>
      </c>
      <c r="AK58" s="61"/>
      <c r="AL58" s="201">
        <f t="shared" si="96"/>
        <v>50</v>
      </c>
      <c r="AM58" s="201">
        <f t="shared" si="63"/>
        <v>35</v>
      </c>
      <c r="AN58" s="299">
        <f t="shared" si="97"/>
        <v>38.000000000000007</v>
      </c>
      <c r="AO58" s="299">
        <f t="shared" si="98"/>
        <v>1.77</v>
      </c>
      <c r="AP58" s="299">
        <f t="shared" si="99"/>
        <v>2.2000000000000002</v>
      </c>
      <c r="AQ58" s="299">
        <f t="shared" si="100"/>
        <v>42.400000000000006</v>
      </c>
      <c r="AR58" s="15">
        <f t="shared" si="101"/>
        <v>1255.751154</v>
      </c>
      <c r="AS58" s="15">
        <v>0</v>
      </c>
      <c r="AT58" s="299">
        <f t="shared" si="102"/>
        <v>504.9591209520579</v>
      </c>
      <c r="AU58" s="299">
        <f t="shared" si="103"/>
        <v>0</v>
      </c>
      <c r="AV58" s="299">
        <f t="shared" si="104"/>
        <v>19.830298316136425</v>
      </c>
      <c r="AW58" s="299">
        <f t="shared" si="105"/>
        <v>250.60013358787745</v>
      </c>
      <c r="AX58" s="299">
        <f t="shared" si="106"/>
        <v>339.99886493475543</v>
      </c>
      <c r="AY58" s="299">
        <f t="shared" si="107"/>
        <v>427.87737959656135</v>
      </c>
      <c r="AZ58" s="299">
        <f t="shared" si="108"/>
        <v>2799.0169513873884</v>
      </c>
      <c r="BA58" s="350">
        <f t="shared" si="109"/>
        <v>1274.5899999999999</v>
      </c>
      <c r="BB58" s="325">
        <f t="shared" si="110"/>
        <v>0</v>
      </c>
      <c r="BC58" s="350">
        <f t="shared" si="111"/>
        <v>521.12</v>
      </c>
      <c r="BD58" s="325">
        <f t="shared" si="112"/>
        <v>0</v>
      </c>
      <c r="BE58" s="350">
        <f t="shared" si="113"/>
        <v>20.82</v>
      </c>
      <c r="BF58" s="350">
        <f t="shared" si="114"/>
        <v>258.62</v>
      </c>
      <c r="BG58" s="350">
        <f t="shared" si="115"/>
        <v>350.2</v>
      </c>
      <c r="BH58" s="350">
        <f t="shared" si="116"/>
        <v>441.57</v>
      </c>
    </row>
    <row r="59" spans="1:60" s="240" customFormat="1" outlineLevel="1" x14ac:dyDescent="0.25">
      <c r="A59" s="313">
        <v>2</v>
      </c>
      <c r="B59" s="304"/>
      <c r="C59" s="397"/>
      <c r="D59" s="232"/>
      <c r="E59" s="233"/>
      <c r="F59" s="235"/>
      <c r="G59" s="222"/>
      <c r="H59" s="223"/>
      <c r="I59" s="188"/>
      <c r="J59" s="224"/>
      <c r="K59" s="224"/>
      <c r="L59" s="224"/>
      <c r="M59" s="224"/>
      <c r="N59" s="224"/>
      <c r="O59" s="224"/>
      <c r="P59" s="224"/>
      <c r="Q59" s="3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327"/>
      <c r="AG59" s="327"/>
      <c r="AH59" s="224"/>
      <c r="AI59" s="224"/>
      <c r="AJ59" s="61"/>
      <c r="AK59" s="194"/>
      <c r="AL59" s="224"/>
      <c r="AM59" s="224"/>
      <c r="AN59" s="224"/>
      <c r="AO59" s="224"/>
      <c r="AP59" s="224"/>
      <c r="AQ59" s="224"/>
      <c r="AR59" s="224"/>
      <c r="AS59" s="224"/>
      <c r="AT59" s="224"/>
      <c r="AU59" s="224"/>
      <c r="AV59" s="224"/>
      <c r="AW59" s="224"/>
      <c r="AX59" s="224"/>
      <c r="AY59" s="224"/>
      <c r="AZ59" s="224"/>
    </row>
    <row r="60" spans="1:60" s="240" customFormat="1" ht="12.75" customHeight="1" outlineLevel="2" x14ac:dyDescent="0.25">
      <c r="A60" s="314"/>
      <c r="B60" s="304" t="str">
        <f>CONCATENATE("Кабель ",$A$91," ",C60,"*",E60,F60,IF(OR(C60=2,C60=4)," (N)",IF(OR(C60=3,C60=5)," (N, PE)",""))," - 1 ГОСТ 31996-2012")</f>
        <v>Кабель АВБШв 3*35мс (N, PE) - 1 ГОСТ 31996-2012</v>
      </c>
      <c r="C60" s="243">
        <v>3</v>
      </c>
      <c r="D60" s="227" t="s">
        <v>40</v>
      </c>
      <c r="E60" s="229">
        <v>35</v>
      </c>
      <c r="F60" s="307" t="s">
        <v>151</v>
      </c>
      <c r="G60" s="387">
        <v>7</v>
      </c>
      <c r="H60" s="23" t="s">
        <v>40</v>
      </c>
      <c r="I60" s="388">
        <v>2.5499999999999998</v>
      </c>
      <c r="J60" s="14">
        <v>33.26</v>
      </c>
      <c r="K60" s="395">
        <v>5.8</v>
      </c>
      <c r="L60" s="396">
        <v>9.6</v>
      </c>
      <c r="M60" s="14">
        <v>2</v>
      </c>
      <c r="N60" s="14">
        <v>39.4</v>
      </c>
      <c r="O60" s="14">
        <v>23.92</v>
      </c>
      <c r="P60" s="299">
        <f t="shared" si="83"/>
        <v>1.07</v>
      </c>
      <c r="Q60" s="324">
        <f t="shared" ref="Q60:Q68" si="117">IF(E60=1.5,0.8,IF(E60=2.5,0.8,IF(E60=4,1,IF(E60=6,1,IF(E60=10,1,IF(E60=16,1,IF(E60=25,1.2,IF(E60=35,1.2,IF(E60=50,1.4,IF(E60=70,1.4,IF(E60=95,1.6,IF(E60=120,1.6,IF(E60=150,1.8,IF(E60=185,2,IF(E60=240,2.2,IF(E60=300,2.4,"ошибка"))))))))))))))))+0.1</f>
        <v>1.3</v>
      </c>
      <c r="R60" s="247">
        <f t="shared" ref="R60:R68" si="118">K60+2*P60</f>
        <v>7.9399999999999995</v>
      </c>
      <c r="S60" s="23" t="s">
        <v>40</v>
      </c>
      <c r="T60" s="246">
        <f t="shared" ref="T60:T68" si="119">L60+2*P60</f>
        <v>11.74</v>
      </c>
      <c r="U60" s="247">
        <f t="shared" ref="U60:U68" si="120">K60+2*Q60</f>
        <v>8.4</v>
      </c>
      <c r="V60" s="23" t="s">
        <v>40</v>
      </c>
      <c r="W60" s="245">
        <f t="shared" ref="W60:W68" si="121">L60+2*Q60</f>
        <v>12.2</v>
      </c>
      <c r="X60" s="299">
        <f t="shared" ref="X60:X68" si="122">2*(U60+(M60+Q60)*(1/COS(PI()*(C60-2)/(2*C60))-1))</f>
        <v>17.821023553303061</v>
      </c>
      <c r="Y60" s="43">
        <f t="shared" ref="Y60:Y68" si="123">IF(C60=4,2*(M60+Q60)*((1/COS(PI()*(C60-2)/(2*C60)))-1),IF(C60=5,2*(M60+Q60)*((1/COS(PI()*(C60-2)/(2*C60)))-1),0))</f>
        <v>0</v>
      </c>
      <c r="Z60" s="218">
        <f t="shared" si="45"/>
        <v>2</v>
      </c>
      <c r="AA60" s="251">
        <f t="shared" si="91"/>
        <v>3.5000000000000003E-2</v>
      </c>
      <c r="AB60" s="248" t="s">
        <v>40</v>
      </c>
      <c r="AC60" s="250">
        <f t="shared" si="92"/>
        <v>50</v>
      </c>
      <c r="AD60" s="249">
        <f t="shared" si="93"/>
        <v>25</v>
      </c>
      <c r="AE60" s="43">
        <f t="shared" si="94"/>
        <v>17.961023553303061</v>
      </c>
      <c r="AF60" s="327">
        <f t="shared" si="46"/>
        <v>0.5</v>
      </c>
      <c r="AG60" s="327">
        <f t="shared" si="47"/>
        <v>1.4</v>
      </c>
      <c r="AH60" s="299">
        <f t="shared" si="95"/>
        <v>20.761023553303062</v>
      </c>
      <c r="AI60" s="237">
        <f t="shared" si="49"/>
        <v>2</v>
      </c>
      <c r="AJ60" s="61">
        <f t="shared" si="50"/>
        <v>0.25</v>
      </c>
      <c r="AK60" s="61"/>
      <c r="AL60" s="201">
        <f t="shared" si="96"/>
        <v>30</v>
      </c>
      <c r="AM60" s="201">
        <f t="shared" si="63"/>
        <v>35</v>
      </c>
      <c r="AN60" s="299">
        <f t="shared" si="97"/>
        <v>21.761023553303062</v>
      </c>
      <c r="AO60" s="299">
        <f t="shared" si="98"/>
        <v>1.6</v>
      </c>
      <c r="AP60" s="299">
        <f t="shared" si="99"/>
        <v>2</v>
      </c>
      <c r="AQ60" s="299">
        <f t="shared" si="100"/>
        <v>25.761023553303062</v>
      </c>
      <c r="AR60" s="15">
        <f t="shared" ref="AR60:AR68" si="124">J60*C60*1.007*$AR$8</f>
        <v>271.29184199999997</v>
      </c>
      <c r="AS60" s="15">
        <v>0</v>
      </c>
      <c r="AT60" s="299">
        <f t="shared" ref="AT60:AT68" si="125">PI()*(O60/PI()+Q60)*Q60*$AT$8*1.1*C60*1.007</f>
        <v>162.1110887826629</v>
      </c>
      <c r="AU60" s="299">
        <f t="shared" si="103"/>
        <v>0</v>
      </c>
      <c r="AV60" s="299">
        <f t="shared" si="104"/>
        <v>7.3259302056081399</v>
      </c>
      <c r="AW60" s="299">
        <f t="shared" si="105"/>
        <v>127.56103519996437</v>
      </c>
      <c r="AX60" s="299">
        <f t="shared" si="106"/>
        <v>192.76597001264372</v>
      </c>
      <c r="AY60" s="299">
        <f t="shared" si="107"/>
        <v>229.91416767343932</v>
      </c>
      <c r="AZ60" s="299">
        <f t="shared" si="108"/>
        <v>990.97003387431846</v>
      </c>
    </row>
    <row r="61" spans="1:60" s="240" customFormat="1" ht="12.75" customHeight="1" outlineLevel="2" x14ac:dyDescent="0.25">
      <c r="A61" s="314"/>
      <c r="B61" s="304" t="str">
        <f t="shared" ref="B61:B89" si="126">CONCATENATE("Кабель ",$A$91," ",C61,"*",E61,F61,IF(OR(C61=2,C61=4)," (N)",IF(OR(C61=3,C61=5)," (N, PE)",""))," - 1 ГОСТ 31996-2012")</f>
        <v>Кабель АВБШв 3*50мс (N, PE) - 1 ГОСТ 31996-2012</v>
      </c>
      <c r="C61" s="243">
        <v>3</v>
      </c>
      <c r="D61" s="227" t="s">
        <v>40</v>
      </c>
      <c r="E61" s="229">
        <v>50</v>
      </c>
      <c r="F61" s="307" t="s">
        <v>151</v>
      </c>
      <c r="G61" s="387">
        <v>7</v>
      </c>
      <c r="H61" s="23" t="s">
        <v>40</v>
      </c>
      <c r="I61" s="388">
        <v>3</v>
      </c>
      <c r="J61" s="14">
        <v>45.03</v>
      </c>
      <c r="K61" s="395">
        <v>6.8</v>
      </c>
      <c r="L61" s="396">
        <v>11.2</v>
      </c>
      <c r="M61" s="14">
        <v>2</v>
      </c>
      <c r="N61" s="14">
        <v>53.57</v>
      </c>
      <c r="O61" s="14">
        <v>27.96</v>
      </c>
      <c r="P61" s="299">
        <f t="shared" si="83"/>
        <v>1.25</v>
      </c>
      <c r="Q61" s="324">
        <f t="shared" si="117"/>
        <v>1.5</v>
      </c>
      <c r="R61" s="247">
        <f t="shared" si="118"/>
        <v>9.3000000000000007</v>
      </c>
      <c r="S61" s="23" t="s">
        <v>40</v>
      </c>
      <c r="T61" s="246">
        <f t="shared" si="119"/>
        <v>13.7</v>
      </c>
      <c r="U61" s="247">
        <f t="shared" si="120"/>
        <v>9.8000000000000007</v>
      </c>
      <c r="V61" s="23" t="s">
        <v>40</v>
      </c>
      <c r="W61" s="245">
        <f t="shared" si="121"/>
        <v>14.2</v>
      </c>
      <c r="X61" s="299">
        <f t="shared" si="122"/>
        <v>20.682903768654761</v>
      </c>
      <c r="Y61" s="43">
        <f t="shared" si="123"/>
        <v>0</v>
      </c>
      <c r="Z61" s="218">
        <f t="shared" si="45"/>
        <v>2</v>
      </c>
      <c r="AA61" s="251">
        <f t="shared" si="91"/>
        <v>0.05</v>
      </c>
      <c r="AB61" s="248" t="s">
        <v>40</v>
      </c>
      <c r="AC61" s="250">
        <f t="shared" si="92"/>
        <v>60</v>
      </c>
      <c r="AD61" s="249">
        <f t="shared" si="93"/>
        <v>25</v>
      </c>
      <c r="AE61" s="43">
        <f t="shared" si="94"/>
        <v>20.88290376865476</v>
      </c>
      <c r="AF61" s="327">
        <f t="shared" si="46"/>
        <v>0.5</v>
      </c>
      <c r="AG61" s="327">
        <f t="shared" si="47"/>
        <v>1.4</v>
      </c>
      <c r="AH61" s="299">
        <f t="shared" si="95"/>
        <v>23.682903768654761</v>
      </c>
      <c r="AI61" s="237">
        <f t="shared" si="49"/>
        <v>2</v>
      </c>
      <c r="AJ61" s="61">
        <f t="shared" si="50"/>
        <v>0.25</v>
      </c>
      <c r="AK61" s="61"/>
      <c r="AL61" s="201">
        <f t="shared" si="96"/>
        <v>40</v>
      </c>
      <c r="AM61" s="201">
        <f t="shared" si="63"/>
        <v>35</v>
      </c>
      <c r="AN61" s="299">
        <f t="shared" si="97"/>
        <v>24.682903768654761</v>
      </c>
      <c r="AO61" s="299">
        <f t="shared" si="98"/>
        <v>1.6</v>
      </c>
      <c r="AP61" s="299">
        <f t="shared" si="99"/>
        <v>2</v>
      </c>
      <c r="AQ61" s="299">
        <f t="shared" si="100"/>
        <v>28.682903768654761</v>
      </c>
      <c r="AR61" s="15">
        <f t="shared" si="124"/>
        <v>367.296201</v>
      </c>
      <c r="AS61" s="15">
        <v>0</v>
      </c>
      <c r="AT61" s="299">
        <f t="shared" si="125"/>
        <v>218.23296779963991</v>
      </c>
      <c r="AU61" s="299">
        <f t="shared" si="103"/>
        <v>0</v>
      </c>
      <c r="AV61" s="299">
        <f t="shared" si="104"/>
        <v>12.157261994335688</v>
      </c>
      <c r="AW61" s="299">
        <f t="shared" si="105"/>
        <v>146.81198357954889</v>
      </c>
      <c r="AX61" s="299">
        <f t="shared" si="106"/>
        <v>219.25759552450765</v>
      </c>
      <c r="AY61" s="299">
        <f t="shared" si="107"/>
        <v>258.18658852463159</v>
      </c>
      <c r="AZ61" s="299">
        <f t="shared" si="108"/>
        <v>1221.9425984226639</v>
      </c>
    </row>
    <row r="62" spans="1:60" s="240" customFormat="1" ht="12.75" customHeight="1" outlineLevel="2" x14ac:dyDescent="0.25">
      <c r="A62" s="314"/>
      <c r="B62" s="304" t="str">
        <f t="shared" si="126"/>
        <v>Кабель АВБШв 3*70мс (N, PE) - 1 ГОСТ 31996-2012</v>
      </c>
      <c r="C62" s="243">
        <v>3</v>
      </c>
      <c r="D62" s="227" t="s">
        <v>40</v>
      </c>
      <c r="E62" s="229">
        <v>70</v>
      </c>
      <c r="F62" s="307" t="s">
        <v>151</v>
      </c>
      <c r="G62" s="387">
        <v>7</v>
      </c>
      <c r="H62" s="23" t="s">
        <v>40</v>
      </c>
      <c r="I62" s="388">
        <v>3.57</v>
      </c>
      <c r="J62" s="14">
        <v>65.16</v>
      </c>
      <c r="K62" s="395">
        <v>8.1999999999999993</v>
      </c>
      <c r="L62" s="396">
        <v>13.4</v>
      </c>
      <c r="M62" s="14">
        <v>2</v>
      </c>
      <c r="N62" s="14">
        <v>76.8</v>
      </c>
      <c r="O62" s="14">
        <v>33.520000000000003</v>
      </c>
      <c r="P62" s="299">
        <f t="shared" si="83"/>
        <v>1.25</v>
      </c>
      <c r="Q62" s="324">
        <f t="shared" si="117"/>
        <v>1.5</v>
      </c>
      <c r="R62" s="247">
        <f t="shared" si="118"/>
        <v>10.7</v>
      </c>
      <c r="S62" s="23" t="s">
        <v>40</v>
      </c>
      <c r="T62" s="246">
        <f t="shared" si="119"/>
        <v>15.9</v>
      </c>
      <c r="U62" s="247">
        <f t="shared" si="120"/>
        <v>11.2</v>
      </c>
      <c r="V62" s="23" t="s">
        <v>40</v>
      </c>
      <c r="W62" s="245">
        <f t="shared" si="121"/>
        <v>16.399999999999999</v>
      </c>
      <c r="X62" s="299">
        <f t="shared" si="122"/>
        <v>23.482903768654758</v>
      </c>
      <c r="Y62" s="43">
        <f t="shared" si="123"/>
        <v>0</v>
      </c>
      <c r="Z62" s="218">
        <f t="shared" si="45"/>
        <v>2</v>
      </c>
      <c r="AA62" s="251">
        <f t="shared" si="91"/>
        <v>0.05</v>
      </c>
      <c r="AB62" s="248" t="s">
        <v>40</v>
      </c>
      <c r="AC62" s="250">
        <f t="shared" si="92"/>
        <v>60</v>
      </c>
      <c r="AD62" s="249">
        <f t="shared" si="93"/>
        <v>25</v>
      </c>
      <c r="AE62" s="43">
        <f t="shared" si="94"/>
        <v>23.682903768654757</v>
      </c>
      <c r="AF62" s="327">
        <f t="shared" si="46"/>
        <v>0.5</v>
      </c>
      <c r="AG62" s="327">
        <f t="shared" si="47"/>
        <v>1.4</v>
      </c>
      <c r="AH62" s="299">
        <f t="shared" si="95"/>
        <v>26.482903768654758</v>
      </c>
      <c r="AI62" s="237">
        <f t="shared" si="49"/>
        <v>2</v>
      </c>
      <c r="AJ62" s="61">
        <f t="shared" si="50"/>
        <v>0.25</v>
      </c>
      <c r="AK62" s="61"/>
      <c r="AL62" s="201">
        <f t="shared" si="96"/>
        <v>40</v>
      </c>
      <c r="AM62" s="201">
        <f t="shared" si="63"/>
        <v>35</v>
      </c>
      <c r="AN62" s="299">
        <f t="shared" si="97"/>
        <v>27.482903768654758</v>
      </c>
      <c r="AO62" s="299">
        <f t="shared" si="98"/>
        <v>1.6</v>
      </c>
      <c r="AP62" s="299">
        <f t="shared" si="99"/>
        <v>2</v>
      </c>
      <c r="AQ62" s="299">
        <f t="shared" si="100"/>
        <v>31.482903768654758</v>
      </c>
      <c r="AR62" s="15">
        <f t="shared" si="124"/>
        <v>531.49057199999993</v>
      </c>
      <c r="AS62" s="15">
        <v>0</v>
      </c>
      <c r="AT62" s="299">
        <f t="shared" si="125"/>
        <v>255.37060415963992</v>
      </c>
      <c r="AU62" s="299">
        <f t="shared" si="103"/>
        <v>0</v>
      </c>
      <c r="AV62" s="299">
        <f t="shared" si="104"/>
        <v>13.795162740211259</v>
      </c>
      <c r="AW62" s="299">
        <f t="shared" si="105"/>
        <v>165.25991829625275</v>
      </c>
      <c r="AX62" s="299">
        <f t="shared" si="106"/>
        <v>244.644177439636</v>
      </c>
      <c r="AY62" s="299">
        <f t="shared" si="107"/>
        <v>285.2796835691899</v>
      </c>
      <c r="AZ62" s="299">
        <f t="shared" si="108"/>
        <v>1495.8401182049299</v>
      </c>
    </row>
    <row r="63" spans="1:60" s="240" customFormat="1" ht="12.75" customHeight="1" outlineLevel="2" x14ac:dyDescent="0.25">
      <c r="A63" s="314"/>
      <c r="B63" s="304" t="str">
        <f t="shared" si="126"/>
        <v>Кабель АВБШв 3*95мс (N, PE) - 1 ГОСТ 31996-2012</v>
      </c>
      <c r="C63" s="243">
        <v>3</v>
      </c>
      <c r="D63" s="227" t="s">
        <v>40</v>
      </c>
      <c r="E63" s="229">
        <v>95</v>
      </c>
      <c r="F63" s="307" t="s">
        <v>151</v>
      </c>
      <c r="G63" s="387">
        <v>19</v>
      </c>
      <c r="H63" s="23" t="s">
        <v>40</v>
      </c>
      <c r="I63" s="388">
        <v>2.5</v>
      </c>
      <c r="J63" s="14">
        <v>90.21</v>
      </c>
      <c r="K63" s="395">
        <v>9.6</v>
      </c>
      <c r="L63" s="396">
        <v>15.7</v>
      </c>
      <c r="M63" s="14">
        <v>2</v>
      </c>
      <c r="N63" s="14">
        <v>104.39</v>
      </c>
      <c r="O63" s="14">
        <v>39.14</v>
      </c>
      <c r="P63" s="299">
        <f t="shared" si="83"/>
        <v>1.4300000000000002</v>
      </c>
      <c r="Q63" s="324">
        <f t="shared" si="117"/>
        <v>1.7000000000000002</v>
      </c>
      <c r="R63" s="247">
        <f t="shared" si="118"/>
        <v>12.46</v>
      </c>
      <c r="S63" s="23" t="s">
        <v>40</v>
      </c>
      <c r="T63" s="246">
        <f t="shared" si="119"/>
        <v>18.559999999999999</v>
      </c>
      <c r="U63" s="247">
        <f t="shared" si="120"/>
        <v>13</v>
      </c>
      <c r="V63" s="23" t="s">
        <v>40</v>
      </c>
      <c r="W63" s="245">
        <f t="shared" si="121"/>
        <v>19.100000000000001</v>
      </c>
      <c r="X63" s="299">
        <f t="shared" si="122"/>
        <v>27.144783984006462</v>
      </c>
      <c r="Y63" s="43">
        <f t="shared" si="123"/>
        <v>0</v>
      </c>
      <c r="Z63" s="218">
        <f t="shared" si="45"/>
        <v>2</v>
      </c>
      <c r="AA63" s="251">
        <f t="shared" si="91"/>
        <v>0.05</v>
      </c>
      <c r="AB63" s="248" t="s">
        <v>40</v>
      </c>
      <c r="AC63" s="250">
        <f t="shared" si="92"/>
        <v>60</v>
      </c>
      <c r="AD63" s="249">
        <f t="shared" si="93"/>
        <v>25</v>
      </c>
      <c r="AE63" s="43">
        <f t="shared" si="94"/>
        <v>27.344783984006462</v>
      </c>
      <c r="AF63" s="327">
        <f t="shared" si="46"/>
        <v>0.6</v>
      </c>
      <c r="AG63" s="327">
        <f t="shared" si="47"/>
        <v>1.5</v>
      </c>
      <c r="AH63" s="299">
        <f t="shared" si="95"/>
        <v>30.344783984006462</v>
      </c>
      <c r="AI63" s="237">
        <f t="shared" si="49"/>
        <v>2</v>
      </c>
      <c r="AJ63" s="61">
        <f t="shared" si="50"/>
        <v>0.25</v>
      </c>
      <c r="AK63" s="61"/>
      <c r="AL63" s="201">
        <f t="shared" si="96"/>
        <v>40</v>
      </c>
      <c r="AM63" s="201">
        <f t="shared" si="63"/>
        <v>35</v>
      </c>
      <c r="AN63" s="299">
        <f t="shared" si="97"/>
        <v>31.344783984006462</v>
      </c>
      <c r="AO63" s="299">
        <f t="shared" si="98"/>
        <v>1.77</v>
      </c>
      <c r="AP63" s="299">
        <f t="shared" si="99"/>
        <v>2.2000000000000002</v>
      </c>
      <c r="AQ63" s="299">
        <f t="shared" si="100"/>
        <v>35.74478398400646</v>
      </c>
      <c r="AR63" s="15">
        <f t="shared" si="124"/>
        <v>735.81590700000004</v>
      </c>
      <c r="AS63" s="15">
        <v>0</v>
      </c>
      <c r="AT63" s="299">
        <f t="shared" si="125"/>
        <v>336.71992553847087</v>
      </c>
      <c r="AU63" s="299">
        <f t="shared" si="103"/>
        <v>0</v>
      </c>
      <c r="AV63" s="299">
        <f t="shared" si="104"/>
        <v>15.937232860222535</v>
      </c>
      <c r="AW63" s="299">
        <f t="shared" si="105"/>
        <v>203.61990759733763</v>
      </c>
      <c r="AX63" s="299">
        <f t="shared" si="106"/>
        <v>279.65844116586447</v>
      </c>
      <c r="AY63" s="299">
        <f t="shared" si="107"/>
        <v>357.04115100023336</v>
      </c>
      <c r="AZ63" s="299">
        <f t="shared" si="108"/>
        <v>1928.7925651621292</v>
      </c>
    </row>
    <row r="64" spans="1:60" s="240" customFormat="1" ht="12.75" customHeight="1" outlineLevel="2" x14ac:dyDescent="0.25">
      <c r="A64" s="314"/>
      <c r="B64" s="304" t="str">
        <f t="shared" si="126"/>
        <v>Кабель АВБШв 3*120мс (N, PE) - 1 ГОСТ 31996-2012</v>
      </c>
      <c r="C64" s="243">
        <v>3</v>
      </c>
      <c r="D64" s="227" t="s">
        <v>40</v>
      </c>
      <c r="E64" s="229">
        <v>120</v>
      </c>
      <c r="F64" s="307" t="s">
        <v>151</v>
      </c>
      <c r="G64" s="387">
        <v>19</v>
      </c>
      <c r="H64" s="23" t="s">
        <v>40</v>
      </c>
      <c r="I64" s="388">
        <v>2.87</v>
      </c>
      <c r="J64" s="14">
        <v>114.09</v>
      </c>
      <c r="K64" s="395">
        <v>10.9</v>
      </c>
      <c r="L64" s="396">
        <v>17.600000000000001</v>
      </c>
      <c r="M64" s="14">
        <v>2</v>
      </c>
      <c r="N64" s="14">
        <v>132.16999999999999</v>
      </c>
      <c r="O64" s="14">
        <v>43.92</v>
      </c>
      <c r="P64" s="299">
        <f t="shared" si="83"/>
        <v>1.4300000000000002</v>
      </c>
      <c r="Q64" s="324">
        <f t="shared" si="117"/>
        <v>1.7000000000000002</v>
      </c>
      <c r="R64" s="247">
        <f t="shared" si="118"/>
        <v>13.760000000000002</v>
      </c>
      <c r="S64" s="23" t="s">
        <v>40</v>
      </c>
      <c r="T64" s="246">
        <f t="shared" si="119"/>
        <v>20.46</v>
      </c>
      <c r="U64" s="247">
        <f t="shared" si="120"/>
        <v>14.3</v>
      </c>
      <c r="V64" s="23" t="s">
        <v>40</v>
      </c>
      <c r="W64" s="245">
        <f t="shared" si="121"/>
        <v>21</v>
      </c>
      <c r="X64" s="299">
        <f t="shared" si="122"/>
        <v>29.744783984006464</v>
      </c>
      <c r="Y64" s="43">
        <f t="shared" si="123"/>
        <v>0</v>
      </c>
      <c r="Z64" s="218">
        <f t="shared" si="45"/>
        <v>2</v>
      </c>
      <c r="AA64" s="251">
        <f t="shared" si="91"/>
        <v>0.05</v>
      </c>
      <c r="AB64" s="248" t="s">
        <v>40</v>
      </c>
      <c r="AC64" s="250">
        <f t="shared" si="92"/>
        <v>60</v>
      </c>
      <c r="AD64" s="249">
        <f t="shared" si="93"/>
        <v>25</v>
      </c>
      <c r="AE64" s="43">
        <f t="shared" si="94"/>
        <v>29.944783984006463</v>
      </c>
      <c r="AF64" s="327">
        <f t="shared" si="46"/>
        <v>0.6</v>
      </c>
      <c r="AG64" s="327">
        <f t="shared" si="47"/>
        <v>1.5</v>
      </c>
      <c r="AH64" s="299">
        <f t="shared" si="95"/>
        <v>32.944783984006463</v>
      </c>
      <c r="AI64" s="237">
        <f t="shared" si="49"/>
        <v>2</v>
      </c>
      <c r="AJ64" s="61">
        <f t="shared" si="50"/>
        <v>0.25</v>
      </c>
      <c r="AK64" s="61"/>
      <c r="AL64" s="201">
        <f t="shared" si="96"/>
        <v>50</v>
      </c>
      <c r="AM64" s="201">
        <f t="shared" si="63"/>
        <v>35</v>
      </c>
      <c r="AN64" s="299">
        <f t="shared" si="97"/>
        <v>33.944783984006463</v>
      </c>
      <c r="AO64" s="299">
        <f t="shared" si="98"/>
        <v>1.77</v>
      </c>
      <c r="AP64" s="299">
        <f t="shared" si="99"/>
        <v>2.2000000000000002</v>
      </c>
      <c r="AQ64" s="299">
        <f t="shared" si="100"/>
        <v>38.344783984006462</v>
      </c>
      <c r="AR64" s="15">
        <f t="shared" si="124"/>
        <v>930.59790299999986</v>
      </c>
      <c r="AS64" s="15">
        <v>0</v>
      </c>
      <c r="AT64" s="299">
        <f t="shared" si="125"/>
        <v>372.90462974247083</v>
      </c>
      <c r="AU64" s="299">
        <f t="shared" si="103"/>
        <v>0</v>
      </c>
      <c r="AV64" s="299">
        <f t="shared" si="104"/>
        <v>17.458140695678424</v>
      </c>
      <c r="AW64" s="299">
        <f t="shared" si="105"/>
        <v>221.97372019813994</v>
      </c>
      <c r="AX64" s="299">
        <f t="shared" si="106"/>
        <v>303.23169580134089</v>
      </c>
      <c r="AY64" s="299">
        <f t="shared" si="107"/>
        <v>384.71481236717517</v>
      </c>
      <c r="AZ64" s="299">
        <f t="shared" si="108"/>
        <v>2230.880901804805</v>
      </c>
    </row>
    <row r="65" spans="1:60" s="240" customFormat="1" ht="12.75" customHeight="1" outlineLevel="2" x14ac:dyDescent="0.25">
      <c r="A65" s="314"/>
      <c r="B65" s="304" t="str">
        <f t="shared" si="126"/>
        <v>Кабель АВБШв 3*150мс (N, PE) - 1 ГОСТ 31996-2012</v>
      </c>
      <c r="C65" s="243">
        <v>3</v>
      </c>
      <c r="D65" s="227" t="s">
        <v>40</v>
      </c>
      <c r="E65" s="229">
        <v>150</v>
      </c>
      <c r="F65" s="307" t="s">
        <v>151</v>
      </c>
      <c r="G65" s="387">
        <v>37</v>
      </c>
      <c r="H65" s="23" t="s">
        <v>40</v>
      </c>
      <c r="I65" s="388">
        <v>2.2599999999999998</v>
      </c>
      <c r="J65" s="14">
        <v>140.13</v>
      </c>
      <c r="K65" s="395">
        <v>12.2</v>
      </c>
      <c r="L65" s="396">
        <v>20</v>
      </c>
      <c r="M65" s="14">
        <v>2</v>
      </c>
      <c r="N65" s="14">
        <v>166.11</v>
      </c>
      <c r="O65" s="14">
        <v>49.53</v>
      </c>
      <c r="P65" s="299">
        <f t="shared" si="83"/>
        <v>1.61</v>
      </c>
      <c r="Q65" s="324">
        <f t="shared" si="117"/>
        <v>1.9000000000000001</v>
      </c>
      <c r="R65" s="247">
        <f t="shared" si="118"/>
        <v>15.42</v>
      </c>
      <c r="S65" s="23" t="s">
        <v>40</v>
      </c>
      <c r="T65" s="246">
        <f t="shared" si="119"/>
        <v>23.22</v>
      </c>
      <c r="U65" s="247">
        <f t="shared" si="120"/>
        <v>16</v>
      </c>
      <c r="V65" s="23" t="s">
        <v>40</v>
      </c>
      <c r="W65" s="245">
        <f t="shared" si="121"/>
        <v>23.8</v>
      </c>
      <c r="X65" s="299">
        <f t="shared" si="122"/>
        <v>33.206664199358158</v>
      </c>
      <c r="Y65" s="43">
        <f t="shared" si="123"/>
        <v>0</v>
      </c>
      <c r="Z65" s="218">
        <f t="shared" si="45"/>
        <v>2</v>
      </c>
      <c r="AA65" s="251">
        <f t="shared" si="91"/>
        <v>0.05</v>
      </c>
      <c r="AB65" s="248" t="s">
        <v>40</v>
      </c>
      <c r="AC65" s="250">
        <f t="shared" si="92"/>
        <v>60</v>
      </c>
      <c r="AD65" s="249">
        <f t="shared" si="93"/>
        <v>25</v>
      </c>
      <c r="AE65" s="43">
        <f t="shared" si="94"/>
        <v>33.406664199358161</v>
      </c>
      <c r="AF65" s="327">
        <f t="shared" si="46"/>
        <v>0.6</v>
      </c>
      <c r="AG65" s="327">
        <f t="shared" si="47"/>
        <v>1.5</v>
      </c>
      <c r="AH65" s="299">
        <f t="shared" si="95"/>
        <v>36.406664199358161</v>
      </c>
      <c r="AI65" s="237">
        <f t="shared" si="49"/>
        <v>2</v>
      </c>
      <c r="AJ65" s="61">
        <f t="shared" si="50"/>
        <v>0.25</v>
      </c>
      <c r="AK65" s="61"/>
      <c r="AL65" s="201">
        <f t="shared" si="96"/>
        <v>50</v>
      </c>
      <c r="AM65" s="201">
        <f t="shared" si="63"/>
        <v>35</v>
      </c>
      <c r="AN65" s="299">
        <f t="shared" si="97"/>
        <v>37.406664199358161</v>
      </c>
      <c r="AO65" s="299">
        <f t="shared" si="98"/>
        <v>1.77</v>
      </c>
      <c r="AP65" s="299">
        <f t="shared" si="99"/>
        <v>2.2000000000000002</v>
      </c>
      <c r="AQ65" s="299">
        <f t="shared" si="100"/>
        <v>41.80666419935816</v>
      </c>
      <c r="AR65" s="15">
        <f t="shared" si="124"/>
        <v>1142.9983709999999</v>
      </c>
      <c r="AS65" s="15">
        <v>0</v>
      </c>
      <c r="AT65" s="299">
        <f t="shared" si="125"/>
        <v>469.55575901715571</v>
      </c>
      <c r="AU65" s="299">
        <f t="shared" si="103"/>
        <v>0</v>
      </c>
      <c r="AV65" s="299">
        <f t="shared" si="104"/>
        <v>19.48321790527001</v>
      </c>
      <c r="AW65" s="299">
        <f t="shared" si="105"/>
        <v>246.41168201313616</v>
      </c>
      <c r="AX65" s="299">
        <f t="shared" si="106"/>
        <v>334.61930496826523</v>
      </c>
      <c r="AY65" s="299">
        <f t="shared" si="107"/>
        <v>421.56208189508226</v>
      </c>
      <c r="AZ65" s="299">
        <f t="shared" si="108"/>
        <v>2634.6304167989097</v>
      </c>
    </row>
    <row r="66" spans="1:60" s="240" customFormat="1" ht="12.75" customHeight="1" outlineLevel="2" x14ac:dyDescent="0.25">
      <c r="A66" s="314"/>
      <c r="B66" s="304" t="str">
        <f t="shared" si="126"/>
        <v>Кабель АВБШв 3*185мс (N, PE) - 1 ГОСТ 31996-2012</v>
      </c>
      <c r="C66" s="243">
        <v>3</v>
      </c>
      <c r="D66" s="227" t="s">
        <v>40</v>
      </c>
      <c r="E66" s="229">
        <v>185</v>
      </c>
      <c r="F66" s="307" t="s">
        <v>151</v>
      </c>
      <c r="G66" s="387">
        <v>37</v>
      </c>
      <c r="H66" s="23" t="s">
        <v>40</v>
      </c>
      <c r="I66" s="388">
        <v>2.5</v>
      </c>
      <c r="J66" s="14">
        <v>176.01</v>
      </c>
      <c r="K66" s="395">
        <v>13.8</v>
      </c>
      <c r="L66" s="396">
        <v>22.8</v>
      </c>
      <c r="M66" s="14">
        <v>2</v>
      </c>
      <c r="N66" s="14">
        <v>211.61</v>
      </c>
      <c r="O66" s="14">
        <v>56.2</v>
      </c>
      <c r="P66" s="299">
        <f t="shared" si="83"/>
        <v>1.79</v>
      </c>
      <c r="Q66" s="324">
        <f t="shared" si="117"/>
        <v>2.1</v>
      </c>
      <c r="R66" s="247">
        <f t="shared" si="118"/>
        <v>17.380000000000003</v>
      </c>
      <c r="S66" s="23" t="s">
        <v>40</v>
      </c>
      <c r="T66" s="246">
        <f t="shared" si="119"/>
        <v>26.380000000000003</v>
      </c>
      <c r="U66" s="247">
        <f t="shared" si="120"/>
        <v>18</v>
      </c>
      <c r="V66" s="23" t="s">
        <v>40</v>
      </c>
      <c r="W66" s="245">
        <f t="shared" si="121"/>
        <v>27</v>
      </c>
      <c r="X66" s="299">
        <f t="shared" si="122"/>
        <v>37.268544414709865</v>
      </c>
      <c r="Y66" s="43">
        <f t="shared" si="123"/>
        <v>0</v>
      </c>
      <c r="Z66" s="218">
        <f t="shared" si="45"/>
        <v>2</v>
      </c>
      <c r="AA66" s="251">
        <f t="shared" si="91"/>
        <v>0.05</v>
      </c>
      <c r="AB66" s="248" t="s">
        <v>40</v>
      </c>
      <c r="AC66" s="250">
        <f t="shared" si="92"/>
        <v>60</v>
      </c>
      <c r="AD66" s="249">
        <f t="shared" si="93"/>
        <v>25</v>
      </c>
      <c r="AE66" s="43">
        <f t="shared" si="94"/>
        <v>37.468544414709868</v>
      </c>
      <c r="AF66" s="327">
        <f t="shared" si="46"/>
        <v>0.7</v>
      </c>
      <c r="AG66" s="327">
        <f t="shared" si="47"/>
        <v>1.6</v>
      </c>
      <c r="AH66" s="299">
        <f t="shared" si="95"/>
        <v>40.668544414709871</v>
      </c>
      <c r="AI66" s="237">
        <f t="shared" si="49"/>
        <v>2</v>
      </c>
      <c r="AJ66" s="61">
        <f t="shared" si="50"/>
        <v>0.25</v>
      </c>
      <c r="AK66" s="61"/>
      <c r="AL66" s="201">
        <f t="shared" si="96"/>
        <v>50</v>
      </c>
      <c r="AM66" s="201">
        <f t="shared" si="63"/>
        <v>35</v>
      </c>
      <c r="AN66" s="299">
        <f t="shared" si="97"/>
        <v>41.668544414709871</v>
      </c>
      <c r="AO66" s="299">
        <f t="shared" si="98"/>
        <v>1.94</v>
      </c>
      <c r="AP66" s="299">
        <f t="shared" si="99"/>
        <v>2.4</v>
      </c>
      <c r="AQ66" s="299">
        <f t="shared" si="100"/>
        <v>46.468544414709868</v>
      </c>
      <c r="AR66" s="15">
        <f t="shared" si="124"/>
        <v>1435.6607669999999</v>
      </c>
      <c r="AS66" s="15">
        <v>0</v>
      </c>
      <c r="AT66" s="299">
        <f t="shared" si="125"/>
        <v>587.23074207769434</v>
      </c>
      <c r="AU66" s="299">
        <f t="shared" si="103"/>
        <v>0</v>
      </c>
      <c r="AV66" s="299">
        <f t="shared" si="104"/>
        <v>21.859273846120651</v>
      </c>
      <c r="AW66" s="299">
        <f t="shared" si="105"/>
        <v>294.17712524049477</v>
      </c>
      <c r="AX66" s="299">
        <f t="shared" si="106"/>
        <v>373.26022325379779</v>
      </c>
      <c r="AY66" s="299">
        <f t="shared" si="107"/>
        <v>511.69425527274717</v>
      </c>
      <c r="AZ66" s="299">
        <f t="shared" si="108"/>
        <v>3223.8823866908547</v>
      </c>
    </row>
    <row r="67" spans="1:60" s="240" customFormat="1" ht="12.75" customHeight="1" outlineLevel="2" x14ac:dyDescent="0.25">
      <c r="A67" s="314"/>
      <c r="B67" s="304" t="str">
        <f t="shared" si="126"/>
        <v>Кабель АВБШв 3*240мс (N, PE) - 1 ГОСТ 31996-2012</v>
      </c>
      <c r="C67" s="243">
        <v>3</v>
      </c>
      <c r="D67" s="227" t="s">
        <v>40</v>
      </c>
      <c r="E67" s="229">
        <v>240</v>
      </c>
      <c r="F67" s="307" t="s">
        <v>151</v>
      </c>
      <c r="G67" s="387">
        <v>37</v>
      </c>
      <c r="H67" s="23" t="s">
        <v>40</v>
      </c>
      <c r="I67" s="388">
        <v>2.87</v>
      </c>
      <c r="J67" s="14">
        <v>230.93</v>
      </c>
      <c r="K67" s="395">
        <v>15.8</v>
      </c>
      <c r="L67" s="396">
        <v>26.3</v>
      </c>
      <c r="M67" s="14">
        <v>2</v>
      </c>
      <c r="N67" s="14">
        <v>276.58999999999997</v>
      </c>
      <c r="O67" s="14">
        <v>64.459999999999994</v>
      </c>
      <c r="P67" s="299">
        <f t="shared" si="83"/>
        <v>1.9700000000000002</v>
      </c>
      <c r="Q67" s="324">
        <f t="shared" si="117"/>
        <v>2.3000000000000003</v>
      </c>
      <c r="R67" s="247">
        <f t="shared" si="118"/>
        <v>19.740000000000002</v>
      </c>
      <c r="S67" s="23" t="s">
        <v>40</v>
      </c>
      <c r="T67" s="246">
        <f t="shared" si="119"/>
        <v>30.240000000000002</v>
      </c>
      <c r="U67" s="247">
        <f t="shared" si="120"/>
        <v>20.400000000000002</v>
      </c>
      <c r="V67" s="23" t="s">
        <v>40</v>
      </c>
      <c r="W67" s="245">
        <f t="shared" si="121"/>
        <v>30.900000000000002</v>
      </c>
      <c r="X67" s="299">
        <f t="shared" si="122"/>
        <v>42.130424630061569</v>
      </c>
      <c r="Y67" s="43">
        <f t="shared" si="123"/>
        <v>0</v>
      </c>
      <c r="Z67" s="218">
        <f t="shared" si="45"/>
        <v>2</v>
      </c>
      <c r="AA67" s="251">
        <f t="shared" si="91"/>
        <v>0.05</v>
      </c>
      <c r="AB67" s="248" t="s">
        <v>40</v>
      </c>
      <c r="AC67" s="250">
        <f t="shared" si="92"/>
        <v>60</v>
      </c>
      <c r="AD67" s="249">
        <f t="shared" si="93"/>
        <v>25</v>
      </c>
      <c r="AE67" s="43">
        <f t="shared" si="94"/>
        <v>42.330424630061572</v>
      </c>
      <c r="AF67" s="327">
        <f t="shared" si="46"/>
        <v>0.7</v>
      </c>
      <c r="AG67" s="327">
        <f t="shared" si="47"/>
        <v>1.6</v>
      </c>
      <c r="AH67" s="299">
        <f t="shared" si="95"/>
        <v>45.530424630061574</v>
      </c>
      <c r="AI67" s="237">
        <f t="shared" si="49"/>
        <v>2</v>
      </c>
      <c r="AJ67" s="61">
        <f t="shared" si="50"/>
        <v>0.5</v>
      </c>
      <c r="AK67" s="61"/>
      <c r="AL67" s="201">
        <f t="shared" si="96"/>
        <v>50</v>
      </c>
      <c r="AM67" s="201">
        <f t="shared" si="63"/>
        <v>35</v>
      </c>
      <c r="AN67" s="299">
        <f t="shared" si="97"/>
        <v>47.530424630061574</v>
      </c>
      <c r="AO67" s="299">
        <f t="shared" si="98"/>
        <v>1.94</v>
      </c>
      <c r="AP67" s="299">
        <f t="shared" si="99"/>
        <v>2.4</v>
      </c>
      <c r="AQ67" s="299">
        <f t="shared" si="100"/>
        <v>52.330424630061572</v>
      </c>
      <c r="AR67" s="15">
        <f t="shared" si="124"/>
        <v>1883.6267309999998</v>
      </c>
      <c r="AS67" s="15">
        <v>0</v>
      </c>
      <c r="AT67" s="299">
        <f t="shared" si="125"/>
        <v>734.18980859408657</v>
      </c>
      <c r="AU67" s="299">
        <f t="shared" si="103"/>
        <v>0</v>
      </c>
      <c r="AV67" s="299">
        <f t="shared" si="104"/>
        <v>24.703301428650033</v>
      </c>
      <c r="AW67" s="299">
        <f t="shared" si="105"/>
        <v>330.78596149079766</v>
      </c>
      <c r="AX67" s="299">
        <f t="shared" si="106"/>
        <v>843.74888315483304</v>
      </c>
      <c r="AY67" s="299">
        <f t="shared" si="107"/>
        <v>579.75846005032145</v>
      </c>
      <c r="AZ67" s="299">
        <f t="shared" si="108"/>
        <v>4396.8131457186882</v>
      </c>
    </row>
    <row r="68" spans="1:60" s="240" customFormat="1" ht="12.75" customHeight="1" outlineLevel="2" x14ac:dyDescent="0.25">
      <c r="A68" s="314"/>
      <c r="B68" s="304" t="str">
        <f t="shared" si="126"/>
        <v>Кабель АВБШв 3*300мс (N, PE) - 1 ГОСТ 31996-2012</v>
      </c>
      <c r="C68" s="243">
        <v>3</v>
      </c>
      <c r="D68" s="227" t="s">
        <v>40</v>
      </c>
      <c r="E68" s="229">
        <v>300</v>
      </c>
      <c r="F68" s="307" t="s">
        <v>151</v>
      </c>
      <c r="G68" s="387">
        <v>61</v>
      </c>
      <c r="H68" s="23" t="s">
        <v>40</v>
      </c>
      <c r="I68" s="388">
        <v>2.5</v>
      </c>
      <c r="J68" s="14">
        <v>288.55</v>
      </c>
      <c r="K68" s="395">
        <v>17.399999999999999</v>
      </c>
      <c r="L68" s="396">
        <v>29.5</v>
      </c>
      <c r="M68" s="14">
        <v>2.9</v>
      </c>
      <c r="N68" s="14">
        <v>339.69</v>
      </c>
      <c r="O68" s="14">
        <v>71.8</v>
      </c>
      <c r="P68" s="386">
        <f t="shared" ref="P68" si="127">Q68-(Q68*0.1+0.1)</f>
        <v>2.15</v>
      </c>
      <c r="Q68" s="386">
        <f t="shared" si="117"/>
        <v>2.5</v>
      </c>
      <c r="R68" s="247">
        <f t="shared" si="118"/>
        <v>21.7</v>
      </c>
      <c r="S68" s="23" t="s">
        <v>40</v>
      </c>
      <c r="T68" s="246">
        <f t="shared" si="119"/>
        <v>33.799999999999997</v>
      </c>
      <c r="U68" s="247">
        <f t="shared" si="120"/>
        <v>22.4</v>
      </c>
      <c r="V68" s="23" t="s">
        <v>40</v>
      </c>
      <c r="W68" s="245">
        <f t="shared" si="121"/>
        <v>34.5</v>
      </c>
      <c r="X68" s="386">
        <f t="shared" si="122"/>
        <v>46.470765814495913</v>
      </c>
      <c r="Y68" s="43">
        <f t="shared" si="123"/>
        <v>0</v>
      </c>
      <c r="Z68" s="218">
        <f t="shared" si="45"/>
        <v>2</v>
      </c>
      <c r="AA68" s="251">
        <f t="shared" ref="AA68" si="128">IF(AND(X68&gt;=10,X68&lt;=20),0.035,IF(X68&gt;20,0.05,"ошибка"))</f>
        <v>0.05</v>
      </c>
      <c r="AB68" s="248" t="s">
        <v>40</v>
      </c>
      <c r="AC68" s="250">
        <f t="shared" ref="AC68" si="129">IF(AND(X68&gt;=10,X68&lt;=20),50,IF(X68&gt;20,60,"ошибка"))</f>
        <v>60</v>
      </c>
      <c r="AD68" s="249">
        <f t="shared" ref="AD68" si="130">IF(AND(X68&gt;=10,X68&lt;=13),40,IF(AND(X68&gt;=13,X68&lt;=16),30,IF(X68&gt;16,25,"ошибка")))</f>
        <v>25</v>
      </c>
      <c r="AE68" s="43">
        <f t="shared" ref="AE68" si="131">X68+2*Z68*AA68*IF(AD68&lt;=25,1,IF(AD68&gt;33,2,1.5))</f>
        <v>46.670765814495915</v>
      </c>
      <c r="AF68" s="386">
        <f t="shared" ref="AF68" si="132">IF(AE68&lt;=25,0.5,IF(AND(AE68&gt;25,AE68&lt;=35),0.6,IF(AND(AE68&gt;35,AE68&lt;=45),0.7,IF(AND(AE68&gt;45,AE68&lt;=60),0.8,IF(AND(AE68&gt;60,AE68&lt;=80),0.9,1)))))</f>
        <v>0.8</v>
      </c>
      <c r="AG68" s="386">
        <f t="shared" ref="AG68" si="133">IF(AE68&lt;=25,1.4,IF(AND(AE68&gt;25,AE68&lt;=35),1.5,IF(AND(AE68&gt;35,AE68&lt;=45),1.6,IF(AND(AE68&gt;45,AE68&lt;=60),1.7,IF(AND(AE68&gt;60,AE68&lt;=80),2,2.2)))))</f>
        <v>1.7</v>
      </c>
      <c r="AH68" s="386">
        <f t="shared" ref="AH68" si="134">AE68+2*AG68</f>
        <v>50.070765814495914</v>
      </c>
      <c r="AI68" s="237">
        <f t="shared" si="49"/>
        <v>2</v>
      </c>
      <c r="AJ68" s="61">
        <f t="shared" ref="AJ68" si="135">IF(AH68&lt;=45,0.25,IF(AND(AH68&gt;45,AH68&lt;=70),0.5,0.8))</f>
        <v>0.5</v>
      </c>
      <c r="AK68" s="61"/>
      <c r="AL68" s="201">
        <f t="shared" ref="AL68" si="136">IF(AND(AH68&gt;7,AH68&lt;=10),15,IF(AND(AH68&gt;10,AH68&lt;=13),20,IF(AND(AH68&gt;13,AH68&lt;=21),30,IF(AND(AH68&gt;21,AH68&lt;=31),40,IF(AND(AH68&gt;31,AH68&lt;=70),50,IF(AND(AH68&gt;70,AH68&lt;=80),60,"ошибка"))))))</f>
        <v>50</v>
      </c>
      <c r="AM68" s="201">
        <f t="shared" si="63"/>
        <v>35</v>
      </c>
      <c r="AN68" s="386">
        <f t="shared" ref="AN68" si="137">AH68+2*AI68*AJ68</f>
        <v>52.070765814495914</v>
      </c>
      <c r="AO68" s="386">
        <f t="shared" ref="AO68" si="138">AP68-(AP68*0.15+0.1)</f>
        <v>2.1100000000000003</v>
      </c>
      <c r="AP68" s="386">
        <f t="shared" ref="AP68" si="139">IF(AN68&lt;=20,1.8,IF(AND(AN68&gt;20,AN68&lt;=30),2,IF(AND(AN68&gt;30,AN68&lt;=40),2.2,IF(AND(AN68&gt;40,AN68&lt;=50),2.4,IF(AND(AN68&gt;50,AN68&lt;=60),2.6,3.1)))))</f>
        <v>2.6</v>
      </c>
      <c r="AQ68" s="386">
        <f t="shared" ref="AQ68" si="140">AN68+2*AP68</f>
        <v>57.270765814495917</v>
      </c>
      <c r="AR68" s="15">
        <f t="shared" si="124"/>
        <v>2353.6157850000004</v>
      </c>
      <c r="AS68" s="15">
        <v>0</v>
      </c>
      <c r="AT68" s="386">
        <f t="shared" si="125"/>
        <v>886.738790332333</v>
      </c>
      <c r="AU68" s="386">
        <f t="shared" ref="AU68" si="141">PI()*Y68^2/4*$AU$8</f>
        <v>0</v>
      </c>
      <c r="AV68" s="386">
        <f t="shared" ref="AV68" si="142">PI()*(X68+Z68*AA68)*Z68*AA68*$AV$8*ROUND(100/(100-AD68),2)</f>
        <v>27.242247165556989</v>
      </c>
      <c r="AW68" s="386">
        <f t="shared" ref="AW68" si="143">PI()*(AE68+AG68)*AG68*1.07*$AW$8</f>
        <v>386.98450023029181</v>
      </c>
      <c r="AX68" s="386">
        <f t="shared" ref="AX68" si="144">PI()*(AH68+AI68*AJ68)*AI68*AJ68*$AX$8*ROUND(100/(100+AM68),2)</f>
        <v>926.08012844145685</v>
      </c>
      <c r="AY68" s="386">
        <f t="shared" ref="AY68" si="145">PI()*(AN68+AP68)*AP68*$AY$8*1.1</f>
        <v>687.70011810078938</v>
      </c>
      <c r="AZ68" s="386">
        <f t="shared" ref="AZ68" si="146">SUM(AR68:AY68)</f>
        <v>5268.3615692704279</v>
      </c>
    </row>
    <row r="69" spans="1:60" s="240" customFormat="1" outlineLevel="1" x14ac:dyDescent="0.25">
      <c r="A69" s="313">
        <v>3</v>
      </c>
      <c r="B69" s="304"/>
      <c r="C69" s="397"/>
      <c r="D69" s="232"/>
      <c r="E69" s="233"/>
      <c r="F69" s="235"/>
      <c r="G69" s="222"/>
      <c r="H69" s="223"/>
      <c r="I69" s="188"/>
      <c r="J69" s="224"/>
      <c r="K69" s="224"/>
      <c r="L69" s="224"/>
      <c r="M69" s="224"/>
      <c r="N69" s="224"/>
      <c r="O69" s="224"/>
      <c r="P69" s="224"/>
      <c r="Q69" s="3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327"/>
      <c r="AG69" s="327"/>
      <c r="AH69" s="224"/>
      <c r="AI69" s="224"/>
      <c r="AJ69" s="61"/>
      <c r="AK69" s="194"/>
      <c r="AL69" s="224"/>
      <c r="AM69" s="224"/>
      <c r="AN69" s="224"/>
      <c r="AO69" s="224"/>
      <c r="AP69" s="224"/>
      <c r="AQ69" s="224"/>
      <c r="AR69" s="224"/>
      <c r="AS69" s="224"/>
      <c r="AT69" s="224"/>
      <c r="AU69" s="224"/>
      <c r="AV69" s="224"/>
      <c r="AW69" s="224"/>
      <c r="AX69" s="224"/>
      <c r="AY69" s="224"/>
      <c r="AZ69" s="224"/>
    </row>
    <row r="70" spans="1:60" s="240" customFormat="1" ht="12.75" customHeight="1" outlineLevel="2" x14ac:dyDescent="0.25">
      <c r="A70" s="328"/>
      <c r="B70" s="304" t="str">
        <f t="shared" si="126"/>
        <v>Кабель АВБШв 4*25мс (N) - 1 ГОСТ 31996-2012</v>
      </c>
      <c r="C70" s="243">
        <v>4</v>
      </c>
      <c r="D70" s="227" t="s">
        <v>40</v>
      </c>
      <c r="E70" s="229">
        <v>25</v>
      </c>
      <c r="F70" s="307" t="s">
        <v>151</v>
      </c>
      <c r="G70" s="303">
        <v>7</v>
      </c>
      <c r="H70" s="23" t="s">
        <v>40</v>
      </c>
      <c r="I70" s="298">
        <v>2.19</v>
      </c>
      <c r="J70" s="14">
        <v>24.05</v>
      </c>
      <c r="K70" s="24">
        <v>5.5</v>
      </c>
      <c r="L70" s="14">
        <v>7.4</v>
      </c>
      <c r="M70" s="14">
        <v>2.2000000000000002</v>
      </c>
      <c r="N70" s="14">
        <v>29.9</v>
      </c>
      <c r="O70" s="14">
        <v>20.149999999999999</v>
      </c>
      <c r="P70" s="299">
        <f>Q70-(Q70*0.1+0.1)</f>
        <v>1.07</v>
      </c>
      <c r="Q70" s="324">
        <f t="shared" ref="Q70:Q79" si="147">IF(E70=1.5,0.8,IF(E70=2.5,0.8,IF(E70=4,1,IF(E70=6,1,IF(E70=10,1,IF(E70=16,1,IF(E70=25,1.2,IF(E70=35,1.2,IF(E70=50,1.4,IF(E70=70,1.4,IF(E70=95,1.6,IF(E70=120,1.6,IF(E70=150,1.8,IF(E70=185,2,IF(E70=240,2.2,IF(E70=300,2.4,"ошибка"))))))))))))))))+0.1</f>
        <v>1.3</v>
      </c>
      <c r="R70" s="247">
        <f t="shared" ref="R70:R79" si="148">K70+2*P70</f>
        <v>7.6400000000000006</v>
      </c>
      <c r="S70" s="23" t="s">
        <v>40</v>
      </c>
      <c r="T70" s="246">
        <f t="shared" ref="T70:T79" si="149">L70+2*P70</f>
        <v>9.5400000000000009</v>
      </c>
      <c r="U70" s="247">
        <f t="shared" ref="U70:U79" si="150">K70+2*Q70</f>
        <v>8.1</v>
      </c>
      <c r="V70" s="23" t="s">
        <v>40</v>
      </c>
      <c r="W70" s="245">
        <f t="shared" ref="W70:W79" si="151">L70+2*Q70</f>
        <v>10</v>
      </c>
      <c r="X70" s="299">
        <f t="shared" ref="X70:X79" si="152">2*(U70+(M70+Q70)*(1/COS(PI()*(C70-2)/(2*C70))-1))</f>
        <v>19.099494936611663</v>
      </c>
      <c r="Y70" s="43">
        <f t="shared" ref="Y70:Y89" si="153">IF(C70=4,2*(M70+Q70)*((1/COS(PI()*(C70-2)/(2*C70)))-1),IF(C70=5,2*(M70+Q70)*((1/COS(PI()*(C70-2)/(2*C70)))-1),0))</f>
        <v>2.8994949366116645</v>
      </c>
      <c r="Z70" s="218">
        <f t="shared" si="45"/>
        <v>2</v>
      </c>
      <c r="AA70" s="251">
        <f t="shared" si="91"/>
        <v>3.5000000000000003E-2</v>
      </c>
      <c r="AB70" s="248" t="s">
        <v>40</v>
      </c>
      <c r="AC70" s="250">
        <f t="shared" si="92"/>
        <v>50</v>
      </c>
      <c r="AD70" s="249">
        <f t="shared" si="93"/>
        <v>25</v>
      </c>
      <c r="AE70" s="43">
        <f t="shared" si="94"/>
        <v>19.239494936611663</v>
      </c>
      <c r="AF70" s="327">
        <f t="shared" si="46"/>
        <v>0.5</v>
      </c>
      <c r="AG70" s="327">
        <f t="shared" si="47"/>
        <v>1.4</v>
      </c>
      <c r="AH70" s="299">
        <f>AE70+2*AG70</f>
        <v>22.039494936611664</v>
      </c>
      <c r="AI70" s="237">
        <f t="shared" si="49"/>
        <v>2</v>
      </c>
      <c r="AJ70" s="61">
        <f t="shared" si="50"/>
        <v>0.25</v>
      </c>
      <c r="AK70" s="61"/>
      <c r="AL70" s="201">
        <f t="shared" si="96"/>
        <v>40</v>
      </c>
      <c r="AM70" s="201">
        <f t="shared" si="63"/>
        <v>35</v>
      </c>
      <c r="AN70" s="299">
        <f>AH70+2*AI70*AJ70</f>
        <v>23.039494936611664</v>
      </c>
      <c r="AO70" s="299">
        <f t="shared" si="98"/>
        <v>1.6</v>
      </c>
      <c r="AP70" s="299">
        <f>IF(AN70&lt;=20,1.8,IF(AND(AN70&gt;20,AN70&lt;=30),2,IF(AND(AN70&gt;30,AN70&lt;=40),2.2,IF(AND(AN70&gt;40,AN70&lt;=50),2.4,IF(AND(AN70&gt;50,AN70&lt;=60),2.6,3.1)))))</f>
        <v>2</v>
      </c>
      <c r="AQ70" s="299">
        <f t="shared" si="100"/>
        <v>27.039494936611664</v>
      </c>
      <c r="AR70" s="15">
        <f t="shared" ref="AR70:AR79" si="154">J70*C70*1.007*$AR$8</f>
        <v>261.55817999999999</v>
      </c>
      <c r="AS70" s="15">
        <v>0</v>
      </c>
      <c r="AT70" s="299">
        <f t="shared" ref="AT70:AT79" si="155">PI()*(O70/PI()+Q70)*Q70*$AT$8*1.1*C70*1.007</f>
        <v>187.04954830488381</v>
      </c>
      <c r="AU70" s="299">
        <f t="shared" si="103"/>
        <v>9.2440572483628927</v>
      </c>
      <c r="AV70" s="299">
        <f t="shared" si="104"/>
        <v>7.8494325136835732</v>
      </c>
      <c r="AW70" s="299">
        <f t="shared" si="105"/>
        <v>135.98430542012548</v>
      </c>
      <c r="AX70" s="299">
        <f t="shared" si="106"/>
        <v>204.35740519068349</v>
      </c>
      <c r="AY70" s="299">
        <f t="shared" si="107"/>
        <v>242.28479149477073</v>
      </c>
      <c r="AZ70" s="299">
        <f t="shared" si="108"/>
        <v>1048.32772017251</v>
      </c>
      <c r="BA70" s="350">
        <f t="shared" ref="BA70:BA79" si="156">ROUND(AR70*1.015,2)</f>
        <v>265.48</v>
      </c>
      <c r="BB70" s="325">
        <f t="shared" ref="BB70:BB79" si="157">ROUND(AS70*1.015,2)</f>
        <v>0</v>
      </c>
      <c r="BC70" s="350">
        <f t="shared" ref="BC70:BC79" si="158">ROUND(AT70*1.032,2)</f>
        <v>193.04</v>
      </c>
      <c r="BD70" s="350">
        <f t="shared" ref="BD70:BD79" si="159">ROUND(AU70*1.032,2)</f>
        <v>9.5399999999999991</v>
      </c>
      <c r="BE70" s="350">
        <f t="shared" ref="BE70:BE79" si="160">ROUND(AV70*1.05,2)</f>
        <v>8.24</v>
      </c>
      <c r="BF70" s="350">
        <f t="shared" ref="BF70:BF79" si="161">ROUND(AW70*1.032,2)</f>
        <v>140.34</v>
      </c>
      <c r="BG70" s="350">
        <f t="shared" ref="BG70:BG79" si="162">ROUND(AX70*1.03,2)</f>
        <v>210.49</v>
      </c>
      <c r="BH70" s="350">
        <f t="shared" ref="BH70:BH79" si="163">ROUND(AY70*1.032,2)</f>
        <v>250.04</v>
      </c>
    </row>
    <row r="71" spans="1:60" s="240" customFormat="1" ht="12.75" customHeight="1" outlineLevel="2" x14ac:dyDescent="0.25">
      <c r="A71" s="328"/>
      <c r="B71" s="304" t="str">
        <f t="shared" si="126"/>
        <v>Кабель АВБШв 4*35мс (N) - 1 ГОСТ 31996-2012</v>
      </c>
      <c r="C71" s="243">
        <v>4</v>
      </c>
      <c r="D71" s="227" t="s">
        <v>40</v>
      </c>
      <c r="E71" s="229">
        <v>35</v>
      </c>
      <c r="F71" s="307" t="s">
        <v>151</v>
      </c>
      <c r="G71" s="303">
        <v>7</v>
      </c>
      <c r="H71" s="23" t="s">
        <v>40</v>
      </c>
      <c r="I71" s="298">
        <v>2.5499999999999998</v>
      </c>
      <c r="J71" s="14">
        <v>33.24</v>
      </c>
      <c r="K71" s="24">
        <v>6.4</v>
      </c>
      <c r="L71" s="14">
        <v>9</v>
      </c>
      <c r="M71" s="14">
        <v>2</v>
      </c>
      <c r="N71" s="14">
        <v>39.99</v>
      </c>
      <c r="O71" s="14">
        <v>23.8</v>
      </c>
      <c r="P71" s="299">
        <f t="shared" si="83"/>
        <v>1.07</v>
      </c>
      <c r="Q71" s="355">
        <f t="shared" si="147"/>
        <v>1.3</v>
      </c>
      <c r="R71" s="247">
        <f t="shared" si="148"/>
        <v>8.5400000000000009</v>
      </c>
      <c r="S71" s="23" t="s">
        <v>40</v>
      </c>
      <c r="T71" s="246">
        <f t="shared" si="149"/>
        <v>11.14</v>
      </c>
      <c r="U71" s="247">
        <f t="shared" si="150"/>
        <v>9</v>
      </c>
      <c r="V71" s="23" t="s">
        <v>40</v>
      </c>
      <c r="W71" s="245">
        <f t="shared" si="151"/>
        <v>11.6</v>
      </c>
      <c r="X71" s="355">
        <f t="shared" si="152"/>
        <v>20.733809511662425</v>
      </c>
      <c r="Y71" s="43">
        <f t="shared" si="153"/>
        <v>2.7338095116624261</v>
      </c>
      <c r="Z71" s="218">
        <f t="shared" si="45"/>
        <v>2</v>
      </c>
      <c r="AA71" s="251">
        <f t="shared" si="91"/>
        <v>0.05</v>
      </c>
      <c r="AB71" s="248" t="s">
        <v>40</v>
      </c>
      <c r="AC71" s="250">
        <f t="shared" si="92"/>
        <v>60</v>
      </c>
      <c r="AD71" s="249">
        <f t="shared" si="93"/>
        <v>25</v>
      </c>
      <c r="AE71" s="43">
        <f t="shared" si="94"/>
        <v>20.933809511662425</v>
      </c>
      <c r="AF71" s="327">
        <f t="shared" si="46"/>
        <v>0.5</v>
      </c>
      <c r="AG71" s="327">
        <f t="shared" si="47"/>
        <v>1.4</v>
      </c>
      <c r="AH71" s="299">
        <f t="shared" si="95"/>
        <v>23.733809511662425</v>
      </c>
      <c r="AI71" s="237">
        <f t="shared" si="49"/>
        <v>2</v>
      </c>
      <c r="AJ71" s="61">
        <f t="shared" si="50"/>
        <v>0.25</v>
      </c>
      <c r="AK71" s="61"/>
      <c r="AL71" s="201">
        <f t="shared" si="96"/>
        <v>40</v>
      </c>
      <c r="AM71" s="201">
        <f t="shared" si="63"/>
        <v>35</v>
      </c>
      <c r="AN71" s="299">
        <f t="shared" si="97"/>
        <v>24.733809511662425</v>
      </c>
      <c r="AO71" s="299">
        <f t="shared" si="98"/>
        <v>1.6</v>
      </c>
      <c r="AP71" s="299">
        <f t="shared" si="99"/>
        <v>2</v>
      </c>
      <c r="AQ71" s="299">
        <f t="shared" si="100"/>
        <v>28.733809511662425</v>
      </c>
      <c r="AR71" s="15">
        <f t="shared" si="154"/>
        <v>361.50494399999997</v>
      </c>
      <c r="AS71" s="15">
        <v>0</v>
      </c>
      <c r="AT71" s="299">
        <f t="shared" si="155"/>
        <v>215.22190394488379</v>
      </c>
      <c r="AU71" s="299">
        <f t="shared" si="103"/>
        <v>8.2177782395650514</v>
      </c>
      <c r="AV71" s="299">
        <f t="shared" si="104"/>
        <v>12.187040049493405</v>
      </c>
      <c r="AW71" s="299">
        <f t="shared" si="105"/>
        <v>147.14737851658845</v>
      </c>
      <c r="AX71" s="299">
        <f t="shared" si="106"/>
        <v>219.71913938694141</v>
      </c>
      <c r="AY71" s="299">
        <f t="shared" si="107"/>
        <v>258.67915785806747</v>
      </c>
      <c r="AZ71" s="299">
        <f t="shared" si="108"/>
        <v>1222.6773419955393</v>
      </c>
      <c r="BA71" s="350">
        <f t="shared" si="156"/>
        <v>366.93</v>
      </c>
      <c r="BB71" s="325">
        <f t="shared" si="157"/>
        <v>0</v>
      </c>
      <c r="BC71" s="350">
        <f t="shared" si="158"/>
        <v>222.11</v>
      </c>
      <c r="BD71" s="350">
        <f t="shared" si="159"/>
        <v>8.48</v>
      </c>
      <c r="BE71" s="350">
        <f t="shared" si="160"/>
        <v>12.8</v>
      </c>
      <c r="BF71" s="350">
        <f t="shared" si="161"/>
        <v>151.86000000000001</v>
      </c>
      <c r="BG71" s="350">
        <f t="shared" si="162"/>
        <v>226.31</v>
      </c>
      <c r="BH71" s="350">
        <f t="shared" si="163"/>
        <v>266.95999999999998</v>
      </c>
    </row>
    <row r="72" spans="1:60" s="240" customFormat="1" ht="12.75" customHeight="1" outlineLevel="2" x14ac:dyDescent="0.25">
      <c r="A72" s="328"/>
      <c r="B72" s="304" t="str">
        <f t="shared" si="126"/>
        <v>Кабель АВБШв 4*50мс (N) - 1 ГОСТ 31996-2012</v>
      </c>
      <c r="C72" s="243">
        <v>4</v>
      </c>
      <c r="D72" s="227" t="s">
        <v>40</v>
      </c>
      <c r="E72" s="229">
        <v>50</v>
      </c>
      <c r="F72" s="307" t="s">
        <v>151</v>
      </c>
      <c r="G72" s="303">
        <v>7</v>
      </c>
      <c r="H72" s="23" t="s">
        <v>40</v>
      </c>
      <c r="I72" s="298">
        <v>3</v>
      </c>
      <c r="J72" s="14">
        <v>45.03</v>
      </c>
      <c r="K72" s="24">
        <v>7.5</v>
      </c>
      <c r="L72" s="14">
        <v>10.4</v>
      </c>
      <c r="M72" s="14">
        <v>2</v>
      </c>
      <c r="N72" s="14">
        <v>56.68</v>
      </c>
      <c r="O72" s="14">
        <v>27.56</v>
      </c>
      <c r="P72" s="299">
        <f t="shared" si="83"/>
        <v>1.25</v>
      </c>
      <c r="Q72" s="355">
        <f t="shared" si="147"/>
        <v>1.5</v>
      </c>
      <c r="R72" s="247">
        <f t="shared" si="148"/>
        <v>10</v>
      </c>
      <c r="S72" s="23" t="s">
        <v>40</v>
      </c>
      <c r="T72" s="246">
        <f t="shared" si="149"/>
        <v>12.9</v>
      </c>
      <c r="U72" s="247">
        <f t="shared" si="150"/>
        <v>10.5</v>
      </c>
      <c r="V72" s="23" t="s">
        <v>40</v>
      </c>
      <c r="W72" s="245">
        <f t="shared" si="151"/>
        <v>13.4</v>
      </c>
      <c r="X72" s="355">
        <f t="shared" si="152"/>
        <v>23.899494936611664</v>
      </c>
      <c r="Y72" s="43">
        <f t="shared" si="153"/>
        <v>2.8994949366116645</v>
      </c>
      <c r="Z72" s="218">
        <f t="shared" si="45"/>
        <v>2</v>
      </c>
      <c r="AA72" s="251">
        <f t="shared" si="91"/>
        <v>0.05</v>
      </c>
      <c r="AB72" s="248" t="s">
        <v>40</v>
      </c>
      <c r="AC72" s="250">
        <f t="shared" si="92"/>
        <v>60</v>
      </c>
      <c r="AD72" s="249">
        <f t="shared" si="93"/>
        <v>25</v>
      </c>
      <c r="AE72" s="43">
        <f t="shared" si="94"/>
        <v>24.099494936611663</v>
      </c>
      <c r="AF72" s="327">
        <f t="shared" si="46"/>
        <v>0.5</v>
      </c>
      <c r="AG72" s="327">
        <f t="shared" si="47"/>
        <v>1.4</v>
      </c>
      <c r="AH72" s="299">
        <f t="shared" si="95"/>
        <v>26.899494936611664</v>
      </c>
      <c r="AI72" s="237">
        <f t="shared" si="49"/>
        <v>2</v>
      </c>
      <c r="AJ72" s="61">
        <f t="shared" si="50"/>
        <v>0.25</v>
      </c>
      <c r="AK72" s="61"/>
      <c r="AL72" s="201">
        <f t="shared" si="96"/>
        <v>40</v>
      </c>
      <c r="AM72" s="201">
        <f t="shared" si="63"/>
        <v>35</v>
      </c>
      <c r="AN72" s="299">
        <f t="shared" si="97"/>
        <v>27.899494936611664</v>
      </c>
      <c r="AO72" s="299">
        <f t="shared" si="98"/>
        <v>1.6</v>
      </c>
      <c r="AP72" s="299">
        <f t="shared" si="99"/>
        <v>2</v>
      </c>
      <c r="AQ72" s="299">
        <f t="shared" si="100"/>
        <v>31.899494936611664</v>
      </c>
      <c r="AR72" s="15">
        <f t="shared" si="154"/>
        <v>489.72826799999996</v>
      </c>
      <c r="AS72" s="15">
        <v>0</v>
      </c>
      <c r="AT72" s="299">
        <f t="shared" si="155"/>
        <v>287.41492719951987</v>
      </c>
      <c r="AU72" s="299">
        <f t="shared" si="103"/>
        <v>9.2440572483628927</v>
      </c>
      <c r="AV72" s="299">
        <f t="shared" si="104"/>
        <v>14.038853806183329</v>
      </c>
      <c r="AW72" s="299">
        <f t="shared" si="105"/>
        <v>168.00464924983285</v>
      </c>
      <c r="AX72" s="299">
        <f t="shared" si="106"/>
        <v>248.42125808622779</v>
      </c>
      <c r="AY72" s="299">
        <f t="shared" si="107"/>
        <v>289.31066360782563</v>
      </c>
      <c r="AZ72" s="299">
        <f t="shared" si="108"/>
        <v>1506.1626771979522</v>
      </c>
      <c r="BA72" s="350">
        <f t="shared" si="156"/>
        <v>497.07</v>
      </c>
      <c r="BB72" s="325">
        <f t="shared" si="157"/>
        <v>0</v>
      </c>
      <c r="BC72" s="350">
        <f t="shared" si="158"/>
        <v>296.61</v>
      </c>
      <c r="BD72" s="350">
        <f t="shared" si="159"/>
        <v>9.5399999999999991</v>
      </c>
      <c r="BE72" s="350">
        <f t="shared" si="160"/>
        <v>14.74</v>
      </c>
      <c r="BF72" s="350">
        <f t="shared" si="161"/>
        <v>173.38</v>
      </c>
      <c r="BG72" s="350">
        <f t="shared" si="162"/>
        <v>255.87</v>
      </c>
      <c r="BH72" s="350">
        <f t="shared" si="163"/>
        <v>298.57</v>
      </c>
    </row>
    <row r="73" spans="1:60" s="240" customFormat="1" ht="12.75" customHeight="1" outlineLevel="2" x14ac:dyDescent="0.25">
      <c r="A73" s="328">
        <v>40207313</v>
      </c>
      <c r="B73" s="304" t="str">
        <f t="shared" si="126"/>
        <v>Кабель АВБШв 4*70мс (N) - 1 ГОСТ 31996-2012</v>
      </c>
      <c r="C73" s="243">
        <v>4</v>
      </c>
      <c r="D73" s="227" t="s">
        <v>40</v>
      </c>
      <c r="E73" s="229">
        <v>70</v>
      </c>
      <c r="F73" s="307" t="s">
        <v>151</v>
      </c>
      <c r="G73" s="303">
        <v>7</v>
      </c>
      <c r="H73" s="23" t="s">
        <v>40</v>
      </c>
      <c r="I73" s="298">
        <v>3.57</v>
      </c>
      <c r="J73" s="14">
        <v>65.16</v>
      </c>
      <c r="K73" s="24">
        <v>8.9</v>
      </c>
      <c r="L73" s="14">
        <v>12.6</v>
      </c>
      <c r="M73" s="14">
        <v>3</v>
      </c>
      <c r="N73" s="14">
        <v>78</v>
      </c>
      <c r="O73" s="14">
        <v>34.08</v>
      </c>
      <c r="P73" s="299">
        <f t="shared" si="83"/>
        <v>1.25</v>
      </c>
      <c r="Q73" s="355">
        <f t="shared" si="147"/>
        <v>1.5</v>
      </c>
      <c r="R73" s="247">
        <f t="shared" si="148"/>
        <v>11.4</v>
      </c>
      <c r="S73" s="23" t="s">
        <v>40</v>
      </c>
      <c r="T73" s="246">
        <f t="shared" si="149"/>
        <v>15.1</v>
      </c>
      <c r="U73" s="247">
        <f t="shared" si="150"/>
        <v>11.9</v>
      </c>
      <c r="V73" s="23" t="s">
        <v>40</v>
      </c>
      <c r="W73" s="245">
        <f t="shared" si="151"/>
        <v>15.6</v>
      </c>
      <c r="X73" s="355">
        <f t="shared" si="152"/>
        <v>27.527922061357856</v>
      </c>
      <c r="Y73" s="43">
        <f t="shared" si="153"/>
        <v>3.7279220613578543</v>
      </c>
      <c r="Z73" s="218">
        <f t="shared" si="45"/>
        <v>2</v>
      </c>
      <c r="AA73" s="251">
        <f t="shared" si="91"/>
        <v>0.05</v>
      </c>
      <c r="AB73" s="248" t="s">
        <v>40</v>
      </c>
      <c r="AC73" s="250">
        <f t="shared" si="92"/>
        <v>60</v>
      </c>
      <c r="AD73" s="249">
        <f t="shared" si="93"/>
        <v>25</v>
      </c>
      <c r="AE73" s="43">
        <f t="shared" si="94"/>
        <v>27.727922061357855</v>
      </c>
      <c r="AF73" s="327">
        <f t="shared" si="46"/>
        <v>0.6</v>
      </c>
      <c r="AG73" s="327">
        <f t="shared" si="47"/>
        <v>1.5</v>
      </c>
      <c r="AH73" s="299">
        <f t="shared" si="95"/>
        <v>30.727922061357855</v>
      </c>
      <c r="AI73" s="237">
        <f t="shared" si="49"/>
        <v>2</v>
      </c>
      <c r="AJ73" s="61">
        <f t="shared" si="50"/>
        <v>0.25</v>
      </c>
      <c r="AK73" s="61"/>
      <c r="AL73" s="201">
        <f t="shared" si="96"/>
        <v>40</v>
      </c>
      <c r="AM73" s="201">
        <f t="shared" si="63"/>
        <v>35</v>
      </c>
      <c r="AN73" s="299">
        <f t="shared" si="97"/>
        <v>31.727922061357855</v>
      </c>
      <c r="AO73" s="299">
        <f t="shared" si="98"/>
        <v>1.77</v>
      </c>
      <c r="AP73" s="299">
        <f t="shared" si="99"/>
        <v>2.2000000000000002</v>
      </c>
      <c r="AQ73" s="299">
        <f t="shared" si="100"/>
        <v>36.127922061357857</v>
      </c>
      <c r="AR73" s="15">
        <f t="shared" si="154"/>
        <v>708.65409599999998</v>
      </c>
      <c r="AS73" s="15">
        <v>0</v>
      </c>
      <c r="AT73" s="299">
        <f t="shared" si="155"/>
        <v>345.48144735951985</v>
      </c>
      <c r="AU73" s="299">
        <f t="shared" si="103"/>
        <v>15.28099259423254</v>
      </c>
      <c r="AV73" s="299">
        <f t="shared" si="104"/>
        <v>16.161355054032242</v>
      </c>
      <c r="AW73" s="299">
        <f t="shared" si="105"/>
        <v>206.32454008654503</v>
      </c>
      <c r="AX73" s="299">
        <f t="shared" si="106"/>
        <v>283.13221480353803</v>
      </c>
      <c r="AY73" s="299">
        <f t="shared" si="107"/>
        <v>361.11916385000399</v>
      </c>
      <c r="AZ73" s="299">
        <f t="shared" si="108"/>
        <v>1936.1538097478719</v>
      </c>
      <c r="BA73" s="350">
        <f t="shared" si="156"/>
        <v>719.28</v>
      </c>
      <c r="BB73" s="325">
        <f t="shared" si="157"/>
        <v>0</v>
      </c>
      <c r="BC73" s="350">
        <f t="shared" si="158"/>
        <v>356.54</v>
      </c>
      <c r="BD73" s="350">
        <f t="shared" si="159"/>
        <v>15.77</v>
      </c>
      <c r="BE73" s="350">
        <f t="shared" si="160"/>
        <v>16.97</v>
      </c>
      <c r="BF73" s="350">
        <f t="shared" si="161"/>
        <v>212.93</v>
      </c>
      <c r="BG73" s="350">
        <f t="shared" si="162"/>
        <v>291.63</v>
      </c>
      <c r="BH73" s="350">
        <f t="shared" si="163"/>
        <v>372.67</v>
      </c>
    </row>
    <row r="74" spans="1:60" s="240" customFormat="1" ht="12.75" customHeight="1" outlineLevel="2" x14ac:dyDescent="0.25">
      <c r="A74" s="328">
        <v>40207314</v>
      </c>
      <c r="B74" s="304" t="str">
        <f t="shared" si="126"/>
        <v>Кабель АВБШв 4*95мс (N) - 1 ГОСТ 31996-2012</v>
      </c>
      <c r="C74" s="243">
        <v>4</v>
      </c>
      <c r="D74" s="227" t="s">
        <v>40</v>
      </c>
      <c r="E74" s="229">
        <v>95</v>
      </c>
      <c r="F74" s="307" t="s">
        <v>151</v>
      </c>
      <c r="G74" s="303">
        <v>7</v>
      </c>
      <c r="H74" s="23" t="s">
        <v>40</v>
      </c>
      <c r="I74" s="298">
        <v>4.25</v>
      </c>
      <c r="J74" s="14">
        <v>90.21</v>
      </c>
      <c r="K74" s="24">
        <v>10.7</v>
      </c>
      <c r="L74" s="14">
        <v>14.9</v>
      </c>
      <c r="M74" s="14">
        <v>3</v>
      </c>
      <c r="N74" s="14">
        <v>108.92</v>
      </c>
      <c r="O74" s="14">
        <v>39.369999999999997</v>
      </c>
      <c r="P74" s="299">
        <f t="shared" si="83"/>
        <v>1.4300000000000002</v>
      </c>
      <c r="Q74" s="355">
        <f t="shared" si="147"/>
        <v>1.7000000000000002</v>
      </c>
      <c r="R74" s="247">
        <f t="shared" si="148"/>
        <v>13.559999999999999</v>
      </c>
      <c r="S74" s="23" t="s">
        <v>40</v>
      </c>
      <c r="T74" s="246">
        <f t="shared" si="149"/>
        <v>17.760000000000002</v>
      </c>
      <c r="U74" s="247">
        <f t="shared" si="150"/>
        <v>14.1</v>
      </c>
      <c r="V74" s="23" t="s">
        <v>40</v>
      </c>
      <c r="W74" s="245">
        <f t="shared" si="151"/>
        <v>18.3</v>
      </c>
      <c r="X74" s="355">
        <f t="shared" si="152"/>
        <v>32.093607486307093</v>
      </c>
      <c r="Y74" s="43">
        <f t="shared" si="153"/>
        <v>3.8936074863070926</v>
      </c>
      <c r="Z74" s="218">
        <f t="shared" si="45"/>
        <v>2</v>
      </c>
      <c r="AA74" s="251">
        <f t="shared" si="91"/>
        <v>0.05</v>
      </c>
      <c r="AB74" s="248" t="s">
        <v>40</v>
      </c>
      <c r="AC74" s="250">
        <f t="shared" si="92"/>
        <v>60</v>
      </c>
      <c r="AD74" s="249">
        <f t="shared" si="93"/>
        <v>25</v>
      </c>
      <c r="AE74" s="43">
        <f t="shared" si="94"/>
        <v>32.293607486307096</v>
      </c>
      <c r="AF74" s="327">
        <f t="shared" ref="AF74:AF83" si="164">IF(AE74&lt;=25,0.5,IF(AND(AE74&gt;25,AE74&lt;=35),0.6,IF(AND(AE74&gt;35,AE74&lt;=45),0.7,IF(AND(AE74&gt;45,AE74&lt;=60),0.8,IF(AND(AE74&gt;60,AE74&lt;=80),0.9,1)))))</f>
        <v>0.6</v>
      </c>
      <c r="AG74" s="327">
        <f t="shared" ref="AG74:AG83" si="165">IF(AE74&lt;=25,1.4,IF(AND(AE74&gt;25,AE74&lt;=35),1.5,IF(AND(AE74&gt;35,AE74&lt;=45),1.6,IF(AND(AE74&gt;45,AE74&lt;=60),1.7,IF(AND(AE74&gt;60,AE74&lt;=80),2,2.2)))))</f>
        <v>1.5</v>
      </c>
      <c r="AH74" s="299">
        <f t="shared" si="95"/>
        <v>35.293607486307096</v>
      </c>
      <c r="AI74" s="237">
        <f t="shared" si="49"/>
        <v>2</v>
      </c>
      <c r="AJ74" s="61">
        <f t="shared" si="50"/>
        <v>0.25</v>
      </c>
      <c r="AK74" s="61"/>
      <c r="AL74" s="201">
        <f t="shared" si="96"/>
        <v>50</v>
      </c>
      <c r="AM74" s="201">
        <f t="shared" si="63"/>
        <v>35</v>
      </c>
      <c r="AN74" s="299">
        <f t="shared" si="97"/>
        <v>36.293607486307096</v>
      </c>
      <c r="AO74" s="299">
        <f t="shared" si="98"/>
        <v>1.77</v>
      </c>
      <c r="AP74" s="299">
        <f t="shared" si="99"/>
        <v>2.2000000000000002</v>
      </c>
      <c r="AQ74" s="299">
        <f t="shared" si="100"/>
        <v>40.693607486307094</v>
      </c>
      <c r="AR74" s="15">
        <f t="shared" si="154"/>
        <v>981.08787599999994</v>
      </c>
      <c r="AS74" s="15">
        <v>0</v>
      </c>
      <c r="AT74" s="299">
        <f t="shared" si="155"/>
        <v>451.28137406996115</v>
      </c>
      <c r="AU74" s="299">
        <f t="shared" si="103"/>
        <v>16.669487723782559</v>
      </c>
      <c r="AV74" s="299">
        <f t="shared" si="104"/>
        <v>18.832119183659952</v>
      </c>
      <c r="AW74" s="299">
        <f t="shared" si="105"/>
        <v>238.55443804182687</v>
      </c>
      <c r="AX74" s="299">
        <f t="shared" si="106"/>
        <v>324.52762446038861</v>
      </c>
      <c r="AY74" s="299">
        <f t="shared" si="107"/>
        <v>409.71502244924517</v>
      </c>
      <c r="AZ74" s="299">
        <f t="shared" si="108"/>
        <v>2440.6679419288639</v>
      </c>
      <c r="BA74" s="350">
        <f t="shared" si="156"/>
        <v>995.8</v>
      </c>
      <c r="BB74" s="325">
        <f t="shared" si="157"/>
        <v>0</v>
      </c>
      <c r="BC74" s="350">
        <f t="shared" si="158"/>
        <v>465.72</v>
      </c>
      <c r="BD74" s="350">
        <f t="shared" si="159"/>
        <v>17.2</v>
      </c>
      <c r="BE74" s="350">
        <f t="shared" si="160"/>
        <v>19.77</v>
      </c>
      <c r="BF74" s="350">
        <f t="shared" si="161"/>
        <v>246.19</v>
      </c>
      <c r="BG74" s="350">
        <f t="shared" si="162"/>
        <v>334.26</v>
      </c>
      <c r="BH74" s="350">
        <f t="shared" si="163"/>
        <v>422.83</v>
      </c>
    </row>
    <row r="75" spans="1:60" s="240" customFormat="1" ht="12.75" customHeight="1" outlineLevel="2" x14ac:dyDescent="0.25">
      <c r="A75" s="328"/>
      <c r="B75" s="304" t="str">
        <f t="shared" si="126"/>
        <v>Кабель АВБШв 4*120мс (N) - 1 ГОСТ 31996-2012</v>
      </c>
      <c r="C75" s="243">
        <v>4</v>
      </c>
      <c r="D75" s="227" t="s">
        <v>40</v>
      </c>
      <c r="E75" s="229">
        <v>120</v>
      </c>
      <c r="F75" s="307" t="s">
        <v>151</v>
      </c>
      <c r="G75" s="303">
        <v>19</v>
      </c>
      <c r="H75" s="23" t="s">
        <v>40</v>
      </c>
      <c r="I75" s="298">
        <v>2.87</v>
      </c>
      <c r="J75" s="14">
        <v>114.09</v>
      </c>
      <c r="K75" s="24">
        <v>11.8</v>
      </c>
      <c r="L75" s="14">
        <v>16.7</v>
      </c>
      <c r="M75" s="14">
        <v>4</v>
      </c>
      <c r="N75" s="14">
        <v>136.85</v>
      </c>
      <c r="O75" s="14">
        <v>43.98</v>
      </c>
      <c r="P75" s="299">
        <f t="shared" si="83"/>
        <v>1.4300000000000002</v>
      </c>
      <c r="Q75" s="355">
        <f t="shared" si="147"/>
        <v>1.7000000000000002</v>
      </c>
      <c r="R75" s="247">
        <f t="shared" si="148"/>
        <v>14.66</v>
      </c>
      <c r="S75" s="23" t="s">
        <v>40</v>
      </c>
      <c r="T75" s="246">
        <f t="shared" si="149"/>
        <v>19.559999999999999</v>
      </c>
      <c r="U75" s="247">
        <f t="shared" si="150"/>
        <v>15.200000000000001</v>
      </c>
      <c r="V75" s="23" t="s">
        <v>40</v>
      </c>
      <c r="W75" s="245">
        <f t="shared" si="151"/>
        <v>20.100000000000001</v>
      </c>
      <c r="X75" s="355">
        <f t="shared" si="152"/>
        <v>35.122034611053287</v>
      </c>
      <c r="Y75" s="43">
        <f t="shared" si="153"/>
        <v>4.7220346110532825</v>
      </c>
      <c r="Z75" s="218">
        <f t="shared" si="45"/>
        <v>2</v>
      </c>
      <c r="AA75" s="251">
        <f t="shared" si="91"/>
        <v>0.05</v>
      </c>
      <c r="AB75" s="248" t="s">
        <v>40</v>
      </c>
      <c r="AC75" s="250">
        <f t="shared" si="92"/>
        <v>60</v>
      </c>
      <c r="AD75" s="249">
        <f t="shared" si="93"/>
        <v>25</v>
      </c>
      <c r="AE75" s="43">
        <f t="shared" si="94"/>
        <v>35.32203461105329</v>
      </c>
      <c r="AF75" s="327">
        <f t="shared" si="164"/>
        <v>0.7</v>
      </c>
      <c r="AG75" s="327">
        <f t="shared" si="165"/>
        <v>1.6</v>
      </c>
      <c r="AH75" s="299">
        <f t="shared" si="95"/>
        <v>38.522034611053293</v>
      </c>
      <c r="AI75" s="237">
        <f t="shared" si="49"/>
        <v>2</v>
      </c>
      <c r="AJ75" s="61">
        <f t="shared" si="50"/>
        <v>0.25</v>
      </c>
      <c r="AK75" s="61"/>
      <c r="AL75" s="201">
        <f t="shared" si="96"/>
        <v>50</v>
      </c>
      <c r="AM75" s="201">
        <f t="shared" si="63"/>
        <v>35</v>
      </c>
      <c r="AN75" s="299">
        <f t="shared" si="97"/>
        <v>39.522034611053293</v>
      </c>
      <c r="AO75" s="299">
        <f t="shared" si="98"/>
        <v>1.77</v>
      </c>
      <c r="AP75" s="299">
        <f t="shared" si="99"/>
        <v>2.2000000000000002</v>
      </c>
      <c r="AQ75" s="299">
        <f t="shared" si="100"/>
        <v>43.922034611053292</v>
      </c>
      <c r="AR75" s="15">
        <f t="shared" si="154"/>
        <v>1240.797204</v>
      </c>
      <c r="AS75" s="15">
        <v>0</v>
      </c>
      <c r="AT75" s="299">
        <f t="shared" si="155"/>
        <v>497.8117747339611</v>
      </c>
      <c r="AU75" s="299">
        <f t="shared" si="103"/>
        <v>24.517503673413099</v>
      </c>
      <c r="AV75" s="299">
        <f t="shared" si="104"/>
        <v>20.603641700249817</v>
      </c>
      <c r="AW75" s="299">
        <f t="shared" si="105"/>
        <v>278.01440167860852</v>
      </c>
      <c r="AX75" s="299">
        <f t="shared" si="106"/>
        <v>353.79859933874286</v>
      </c>
      <c r="AY75" s="299">
        <f t="shared" si="107"/>
        <v>444.07748360235126</v>
      </c>
      <c r="AZ75" s="299">
        <f t="shared" si="108"/>
        <v>2859.6206087273267</v>
      </c>
      <c r="BA75" s="350">
        <f t="shared" si="156"/>
        <v>1259.4100000000001</v>
      </c>
      <c r="BB75" s="325">
        <f t="shared" si="157"/>
        <v>0</v>
      </c>
      <c r="BC75" s="350">
        <f t="shared" si="158"/>
        <v>513.74</v>
      </c>
      <c r="BD75" s="350">
        <f t="shared" si="159"/>
        <v>25.3</v>
      </c>
      <c r="BE75" s="350">
        <f t="shared" si="160"/>
        <v>21.63</v>
      </c>
      <c r="BF75" s="350">
        <f t="shared" si="161"/>
        <v>286.91000000000003</v>
      </c>
      <c r="BG75" s="350">
        <f t="shared" si="162"/>
        <v>364.41</v>
      </c>
      <c r="BH75" s="350">
        <f t="shared" si="163"/>
        <v>458.29</v>
      </c>
    </row>
    <row r="76" spans="1:60" s="240" customFormat="1" ht="12.75" customHeight="1" outlineLevel="2" x14ac:dyDescent="0.25">
      <c r="A76" s="328"/>
      <c r="B76" s="304" t="str">
        <f t="shared" si="126"/>
        <v>Кабель АВБШв 4*150мс (N) - 1 ГОСТ 31996-2012</v>
      </c>
      <c r="C76" s="243">
        <v>4</v>
      </c>
      <c r="D76" s="227" t="s">
        <v>40</v>
      </c>
      <c r="E76" s="229">
        <v>150</v>
      </c>
      <c r="F76" s="307" t="s">
        <v>151</v>
      </c>
      <c r="G76" s="303">
        <v>19</v>
      </c>
      <c r="H76" s="23" t="s">
        <v>40</v>
      </c>
      <c r="I76" s="298">
        <v>3.15</v>
      </c>
      <c r="J76" s="14">
        <v>140.13</v>
      </c>
      <c r="K76" s="24">
        <v>13.1</v>
      </c>
      <c r="L76" s="14">
        <v>18.5</v>
      </c>
      <c r="M76" s="14">
        <v>4</v>
      </c>
      <c r="N76" s="14">
        <v>165.89</v>
      </c>
      <c r="O76" s="14">
        <v>48.62</v>
      </c>
      <c r="P76" s="299">
        <f t="shared" si="83"/>
        <v>1.61</v>
      </c>
      <c r="Q76" s="355">
        <f t="shared" si="147"/>
        <v>1.9000000000000001</v>
      </c>
      <c r="R76" s="247">
        <f t="shared" si="148"/>
        <v>16.32</v>
      </c>
      <c r="S76" s="23" t="s">
        <v>40</v>
      </c>
      <c r="T76" s="246">
        <f t="shared" si="149"/>
        <v>21.72</v>
      </c>
      <c r="U76" s="247">
        <f t="shared" si="150"/>
        <v>16.899999999999999</v>
      </c>
      <c r="V76" s="23" t="s">
        <v>40</v>
      </c>
      <c r="W76" s="245">
        <f t="shared" si="151"/>
        <v>22.3</v>
      </c>
      <c r="X76" s="355">
        <f t="shared" si="152"/>
        <v>38.687720036002517</v>
      </c>
      <c r="Y76" s="43">
        <f t="shared" si="153"/>
        <v>4.8877200360025208</v>
      </c>
      <c r="Z76" s="218">
        <f t="shared" si="45"/>
        <v>2</v>
      </c>
      <c r="AA76" s="251">
        <f t="shared" si="91"/>
        <v>0.05</v>
      </c>
      <c r="AB76" s="248" t="s">
        <v>40</v>
      </c>
      <c r="AC76" s="250">
        <f t="shared" si="92"/>
        <v>60</v>
      </c>
      <c r="AD76" s="249">
        <f t="shared" si="93"/>
        <v>25</v>
      </c>
      <c r="AE76" s="43">
        <f t="shared" si="94"/>
        <v>38.88772003600252</v>
      </c>
      <c r="AF76" s="327">
        <f t="shared" si="164"/>
        <v>0.7</v>
      </c>
      <c r="AG76" s="327">
        <f t="shared" si="165"/>
        <v>1.6</v>
      </c>
      <c r="AH76" s="299">
        <f t="shared" si="95"/>
        <v>42.087720036002523</v>
      </c>
      <c r="AI76" s="237">
        <f t="shared" si="49"/>
        <v>2</v>
      </c>
      <c r="AJ76" s="61">
        <f t="shared" ref="AJ76:AJ89" si="166">IF(AH76&lt;=45,0.25,IF(AND(AH76&gt;45,AH76&lt;=70),0.5,0.8))</f>
        <v>0.25</v>
      </c>
      <c r="AK76" s="61"/>
      <c r="AL76" s="201">
        <f t="shared" si="96"/>
        <v>50</v>
      </c>
      <c r="AM76" s="201">
        <f t="shared" si="63"/>
        <v>35</v>
      </c>
      <c r="AN76" s="299">
        <f t="shared" si="97"/>
        <v>43.087720036002523</v>
      </c>
      <c r="AO76" s="299">
        <f t="shared" si="98"/>
        <v>1.94</v>
      </c>
      <c r="AP76" s="299">
        <f t="shared" si="99"/>
        <v>2.4</v>
      </c>
      <c r="AQ76" s="299">
        <f t="shared" si="100"/>
        <v>47.88772003600252</v>
      </c>
      <c r="AR76" s="15">
        <f t="shared" si="154"/>
        <v>1523.997828</v>
      </c>
      <c r="AS76" s="15">
        <v>0</v>
      </c>
      <c r="AT76" s="299">
        <f t="shared" si="155"/>
        <v>615.80880206820734</v>
      </c>
      <c r="AU76" s="299">
        <f t="shared" si="103"/>
        <v>26.268214923715302</v>
      </c>
      <c r="AV76" s="299">
        <f t="shared" si="104"/>
        <v>22.689441277779103</v>
      </c>
      <c r="AW76" s="299">
        <f t="shared" si="105"/>
        <v>304.86319022545166</v>
      </c>
      <c r="AX76" s="299">
        <f t="shared" si="106"/>
        <v>386.12737259733325</v>
      </c>
      <c r="AY76" s="299">
        <f t="shared" si="107"/>
        <v>528.17276669814805</v>
      </c>
      <c r="AZ76" s="299">
        <f t="shared" si="108"/>
        <v>3407.9276157906352</v>
      </c>
      <c r="BA76" s="350">
        <f t="shared" si="156"/>
        <v>1546.86</v>
      </c>
      <c r="BB76" s="325">
        <f t="shared" si="157"/>
        <v>0</v>
      </c>
      <c r="BC76" s="350">
        <f t="shared" si="158"/>
        <v>635.51</v>
      </c>
      <c r="BD76" s="350">
        <f t="shared" si="159"/>
        <v>27.11</v>
      </c>
      <c r="BE76" s="350">
        <f t="shared" si="160"/>
        <v>23.82</v>
      </c>
      <c r="BF76" s="350">
        <f t="shared" si="161"/>
        <v>314.62</v>
      </c>
      <c r="BG76" s="350">
        <f t="shared" si="162"/>
        <v>397.71</v>
      </c>
      <c r="BH76" s="350">
        <f t="shared" si="163"/>
        <v>545.07000000000005</v>
      </c>
    </row>
    <row r="77" spans="1:60" s="240" customFormat="1" ht="12.75" customHeight="1" outlineLevel="2" x14ac:dyDescent="0.25">
      <c r="A77" s="328"/>
      <c r="B77" s="304" t="str">
        <f t="shared" si="126"/>
        <v>Кабель АВБШв 4*185мс (N) - 1 ГОСТ 31996-2012</v>
      </c>
      <c r="C77" s="243">
        <v>4</v>
      </c>
      <c r="D77" s="227" t="s">
        <v>40</v>
      </c>
      <c r="E77" s="229">
        <v>185</v>
      </c>
      <c r="F77" s="307" t="s">
        <v>151</v>
      </c>
      <c r="G77" s="303">
        <v>37</v>
      </c>
      <c r="H77" s="23" t="s">
        <v>40</v>
      </c>
      <c r="I77" s="298">
        <v>2.5</v>
      </c>
      <c r="J77" s="14">
        <v>176.01</v>
      </c>
      <c r="K77" s="24">
        <v>14.7</v>
      </c>
      <c r="L77" s="14">
        <v>21.4</v>
      </c>
      <c r="M77" s="14">
        <v>5</v>
      </c>
      <c r="N77" s="14">
        <v>212.62</v>
      </c>
      <c r="O77" s="14">
        <v>55.36</v>
      </c>
      <c r="P77" s="299">
        <f t="shared" si="83"/>
        <v>1.79</v>
      </c>
      <c r="Q77" s="355">
        <f t="shared" si="147"/>
        <v>2.1</v>
      </c>
      <c r="R77" s="247">
        <f t="shared" si="148"/>
        <v>18.28</v>
      </c>
      <c r="S77" s="23" t="s">
        <v>40</v>
      </c>
      <c r="T77" s="246">
        <f t="shared" si="149"/>
        <v>24.979999999999997</v>
      </c>
      <c r="U77" s="247">
        <f t="shared" si="150"/>
        <v>18.899999999999999</v>
      </c>
      <c r="V77" s="23" t="s">
        <v>40</v>
      </c>
      <c r="W77" s="245">
        <f t="shared" si="151"/>
        <v>25.599999999999998</v>
      </c>
      <c r="X77" s="355">
        <f t="shared" si="152"/>
        <v>43.681832585697947</v>
      </c>
      <c r="Y77" s="43">
        <f t="shared" si="153"/>
        <v>5.8818325856979472</v>
      </c>
      <c r="Z77" s="218">
        <f t="shared" si="45"/>
        <v>2</v>
      </c>
      <c r="AA77" s="251">
        <f t="shared" si="91"/>
        <v>0.05</v>
      </c>
      <c r="AB77" s="248" t="s">
        <v>40</v>
      </c>
      <c r="AC77" s="250">
        <f t="shared" si="92"/>
        <v>60</v>
      </c>
      <c r="AD77" s="249">
        <f t="shared" si="93"/>
        <v>25</v>
      </c>
      <c r="AE77" s="43">
        <f t="shared" si="94"/>
        <v>43.88183258569795</v>
      </c>
      <c r="AF77" s="327">
        <f t="shared" si="164"/>
        <v>0.7</v>
      </c>
      <c r="AG77" s="327">
        <f t="shared" si="165"/>
        <v>1.6</v>
      </c>
      <c r="AH77" s="299">
        <f t="shared" si="95"/>
        <v>47.081832585697953</v>
      </c>
      <c r="AI77" s="237">
        <f t="shared" si="49"/>
        <v>2</v>
      </c>
      <c r="AJ77" s="61">
        <f t="shared" si="166"/>
        <v>0.5</v>
      </c>
      <c r="AK77" s="61"/>
      <c r="AL77" s="201">
        <f t="shared" si="96"/>
        <v>50</v>
      </c>
      <c r="AM77" s="201">
        <f t="shared" si="63"/>
        <v>35</v>
      </c>
      <c r="AN77" s="299">
        <f t="shared" si="97"/>
        <v>49.081832585697953</v>
      </c>
      <c r="AO77" s="299">
        <f t="shared" si="98"/>
        <v>1.94</v>
      </c>
      <c r="AP77" s="299">
        <f t="shared" si="99"/>
        <v>2.4</v>
      </c>
      <c r="AQ77" s="299">
        <f t="shared" si="100"/>
        <v>53.88183258569795</v>
      </c>
      <c r="AR77" s="15">
        <f t="shared" si="154"/>
        <v>1914.214356</v>
      </c>
      <c r="AS77" s="15">
        <v>0</v>
      </c>
      <c r="AT77" s="299">
        <f t="shared" si="155"/>
        <v>772.50097496225908</v>
      </c>
      <c r="AU77" s="299">
        <f t="shared" si="103"/>
        <v>38.040238848161088</v>
      </c>
      <c r="AV77" s="299">
        <f t="shared" si="104"/>
        <v>25.610820088540791</v>
      </c>
      <c r="AW77" s="299">
        <f t="shared" si="105"/>
        <v>342.46770544367723</v>
      </c>
      <c r="AX77" s="299">
        <f t="shared" si="106"/>
        <v>871.88098683307931</v>
      </c>
      <c r="AY77" s="299">
        <f t="shared" si="107"/>
        <v>597.77236427672449</v>
      </c>
      <c r="AZ77" s="299">
        <f t="shared" si="108"/>
        <v>4562.4874464524419</v>
      </c>
      <c r="BA77" s="350">
        <f t="shared" si="156"/>
        <v>1942.93</v>
      </c>
      <c r="BB77" s="325">
        <f t="shared" si="157"/>
        <v>0</v>
      </c>
      <c r="BC77" s="350">
        <f t="shared" si="158"/>
        <v>797.22</v>
      </c>
      <c r="BD77" s="350">
        <f t="shared" si="159"/>
        <v>39.26</v>
      </c>
      <c r="BE77" s="350">
        <f t="shared" si="160"/>
        <v>26.89</v>
      </c>
      <c r="BF77" s="350">
        <f t="shared" si="161"/>
        <v>353.43</v>
      </c>
      <c r="BG77" s="350">
        <f t="shared" si="162"/>
        <v>898.04</v>
      </c>
      <c r="BH77" s="350">
        <f t="shared" si="163"/>
        <v>616.9</v>
      </c>
    </row>
    <row r="78" spans="1:60" s="240" customFormat="1" ht="12.75" customHeight="1" outlineLevel="2" x14ac:dyDescent="0.25">
      <c r="A78" s="328"/>
      <c r="B78" s="304" t="str">
        <f t="shared" si="126"/>
        <v>Кабель АВБШв 4*240мс (N) - 1 ГОСТ 31996-2012</v>
      </c>
      <c r="C78" s="243">
        <v>4</v>
      </c>
      <c r="D78" s="227" t="s">
        <v>40</v>
      </c>
      <c r="E78" s="229">
        <v>240</v>
      </c>
      <c r="F78" s="307" t="s">
        <v>151</v>
      </c>
      <c r="G78" s="303">
        <v>37</v>
      </c>
      <c r="H78" s="23" t="s">
        <v>40</v>
      </c>
      <c r="I78" s="298">
        <v>2.87</v>
      </c>
      <c r="J78" s="14">
        <v>230.93</v>
      </c>
      <c r="K78" s="24">
        <v>17</v>
      </c>
      <c r="L78" s="14">
        <v>24.7</v>
      </c>
      <c r="M78" s="14">
        <v>5</v>
      </c>
      <c r="N78" s="14">
        <v>280.64999999999998</v>
      </c>
      <c r="O78" s="14">
        <v>63.88</v>
      </c>
      <c r="P78" s="299">
        <f t="shared" si="83"/>
        <v>1.9700000000000002</v>
      </c>
      <c r="Q78" s="355">
        <f t="shared" si="147"/>
        <v>2.3000000000000003</v>
      </c>
      <c r="R78" s="247">
        <f t="shared" si="148"/>
        <v>20.94</v>
      </c>
      <c r="S78" s="23" t="s">
        <v>40</v>
      </c>
      <c r="T78" s="246">
        <f t="shared" si="149"/>
        <v>28.64</v>
      </c>
      <c r="U78" s="247">
        <f t="shared" si="150"/>
        <v>21.6</v>
      </c>
      <c r="V78" s="23" t="s">
        <v>40</v>
      </c>
      <c r="W78" s="245">
        <f t="shared" si="151"/>
        <v>29.3</v>
      </c>
      <c r="X78" s="355">
        <f t="shared" si="152"/>
        <v>49.247518010647191</v>
      </c>
      <c r="Y78" s="43">
        <f t="shared" si="153"/>
        <v>6.0475180106471864</v>
      </c>
      <c r="Z78" s="218">
        <f t="shared" si="45"/>
        <v>2</v>
      </c>
      <c r="AA78" s="251">
        <f t="shared" si="91"/>
        <v>0.05</v>
      </c>
      <c r="AB78" s="248" t="s">
        <v>40</v>
      </c>
      <c r="AC78" s="250">
        <f t="shared" si="92"/>
        <v>60</v>
      </c>
      <c r="AD78" s="249">
        <f t="shared" si="93"/>
        <v>25</v>
      </c>
      <c r="AE78" s="43">
        <f t="shared" si="94"/>
        <v>49.447518010647194</v>
      </c>
      <c r="AF78" s="327">
        <f t="shared" si="164"/>
        <v>0.8</v>
      </c>
      <c r="AG78" s="327">
        <f t="shared" si="165"/>
        <v>1.7</v>
      </c>
      <c r="AH78" s="299">
        <f t="shared" si="95"/>
        <v>52.847518010647192</v>
      </c>
      <c r="AI78" s="237">
        <f t="shared" si="49"/>
        <v>2</v>
      </c>
      <c r="AJ78" s="61">
        <f t="shared" si="166"/>
        <v>0.5</v>
      </c>
      <c r="AK78" s="61"/>
      <c r="AL78" s="201">
        <f t="shared" si="96"/>
        <v>50</v>
      </c>
      <c r="AM78" s="201">
        <f t="shared" si="63"/>
        <v>35</v>
      </c>
      <c r="AN78" s="299">
        <f t="shared" si="97"/>
        <v>54.847518010647192</v>
      </c>
      <c r="AO78" s="299">
        <f t="shared" si="98"/>
        <v>2.1100000000000003</v>
      </c>
      <c r="AP78" s="299">
        <f t="shared" si="99"/>
        <v>2.6</v>
      </c>
      <c r="AQ78" s="299">
        <f t="shared" si="100"/>
        <v>60.047518010647195</v>
      </c>
      <c r="AR78" s="15">
        <f t="shared" si="154"/>
        <v>2511.5023080000001</v>
      </c>
      <c r="AS78" s="15">
        <v>0</v>
      </c>
      <c r="AT78" s="299">
        <f t="shared" si="155"/>
        <v>970.99942394411573</v>
      </c>
      <c r="AU78" s="299">
        <f t="shared" si="103"/>
        <v>40.213535572674175</v>
      </c>
      <c r="AV78" s="299">
        <f t="shared" si="104"/>
        <v>28.86654877026692</v>
      </c>
      <c r="AW78" s="299">
        <f t="shared" si="105"/>
        <v>409.19957255335476</v>
      </c>
      <c r="AX78" s="299">
        <f t="shared" si="106"/>
        <v>976.43173350260486</v>
      </c>
      <c r="AY78" s="299">
        <f t="shared" si="107"/>
        <v>722.62870899906318</v>
      </c>
      <c r="AZ78" s="299">
        <f t="shared" si="108"/>
        <v>5659.8418313420798</v>
      </c>
      <c r="BA78" s="350">
        <f t="shared" si="156"/>
        <v>2549.17</v>
      </c>
      <c r="BB78" s="325">
        <f t="shared" si="157"/>
        <v>0</v>
      </c>
      <c r="BC78" s="350">
        <f t="shared" si="158"/>
        <v>1002.07</v>
      </c>
      <c r="BD78" s="350">
        <f t="shared" si="159"/>
        <v>41.5</v>
      </c>
      <c r="BE78" s="350">
        <f t="shared" si="160"/>
        <v>30.31</v>
      </c>
      <c r="BF78" s="350">
        <f t="shared" si="161"/>
        <v>422.29</v>
      </c>
      <c r="BG78" s="350">
        <f t="shared" si="162"/>
        <v>1005.72</v>
      </c>
      <c r="BH78" s="350">
        <f t="shared" si="163"/>
        <v>745.75</v>
      </c>
    </row>
    <row r="79" spans="1:60" s="240" customFormat="1" ht="12.75" customHeight="1" outlineLevel="2" thickBot="1" x14ac:dyDescent="0.3">
      <c r="A79" s="328"/>
      <c r="B79" s="304" t="str">
        <f t="shared" si="126"/>
        <v>Кабель АВБШв 4*300мс (N) - 1 ГОСТ 31996-2012</v>
      </c>
      <c r="C79" s="243">
        <v>4</v>
      </c>
      <c r="D79" s="227" t="s">
        <v>40</v>
      </c>
      <c r="E79" s="229">
        <v>300</v>
      </c>
      <c r="F79" s="307" t="s">
        <v>151</v>
      </c>
      <c r="G79" s="303">
        <v>37</v>
      </c>
      <c r="H79" s="23" t="s">
        <v>40</v>
      </c>
      <c r="I79" s="298">
        <v>3.2</v>
      </c>
      <c r="J79" s="14">
        <v>288.55</v>
      </c>
      <c r="K79" s="24">
        <v>19.100000000000001</v>
      </c>
      <c r="L79" s="14">
        <v>27.8</v>
      </c>
      <c r="M79" s="14">
        <v>5</v>
      </c>
      <c r="N79" s="14">
        <v>349.23</v>
      </c>
      <c r="O79" s="14">
        <v>71.67</v>
      </c>
      <c r="P79" s="299">
        <f t="shared" si="83"/>
        <v>2.15</v>
      </c>
      <c r="Q79" s="355">
        <f t="shared" si="147"/>
        <v>2.5</v>
      </c>
      <c r="R79" s="247">
        <f t="shared" si="148"/>
        <v>23.400000000000002</v>
      </c>
      <c r="S79" s="23" t="s">
        <v>40</v>
      </c>
      <c r="T79" s="246">
        <f t="shared" si="149"/>
        <v>32.1</v>
      </c>
      <c r="U79" s="247">
        <f t="shared" si="150"/>
        <v>24.1</v>
      </c>
      <c r="V79" s="23" t="s">
        <v>40</v>
      </c>
      <c r="W79" s="245">
        <f t="shared" si="151"/>
        <v>32.799999999999997</v>
      </c>
      <c r="X79" s="355">
        <f t="shared" si="152"/>
        <v>54.413203435596429</v>
      </c>
      <c r="Y79" s="43">
        <f t="shared" si="153"/>
        <v>6.2132034355964239</v>
      </c>
      <c r="Z79" s="218">
        <f t="shared" si="45"/>
        <v>2</v>
      </c>
      <c r="AA79" s="251">
        <f t="shared" si="91"/>
        <v>0.05</v>
      </c>
      <c r="AB79" s="248" t="s">
        <v>40</v>
      </c>
      <c r="AC79" s="250">
        <f t="shared" si="92"/>
        <v>60</v>
      </c>
      <c r="AD79" s="249">
        <f t="shared" si="93"/>
        <v>25</v>
      </c>
      <c r="AE79" s="43">
        <f t="shared" si="94"/>
        <v>54.613203435596432</v>
      </c>
      <c r="AF79" s="327">
        <f t="shared" si="164"/>
        <v>0.8</v>
      </c>
      <c r="AG79" s="327">
        <f t="shared" si="165"/>
        <v>1.7</v>
      </c>
      <c r="AH79" s="299">
        <f t="shared" si="95"/>
        <v>58.013203435596431</v>
      </c>
      <c r="AI79" s="237">
        <f t="shared" si="49"/>
        <v>2</v>
      </c>
      <c r="AJ79" s="61">
        <f t="shared" si="166"/>
        <v>0.5</v>
      </c>
      <c r="AK79" s="61"/>
      <c r="AL79" s="201">
        <f t="shared" si="96"/>
        <v>50</v>
      </c>
      <c r="AM79" s="201">
        <f t="shared" si="63"/>
        <v>35</v>
      </c>
      <c r="AN79" s="299">
        <f t="shared" si="97"/>
        <v>60.013203435596431</v>
      </c>
      <c r="AO79" s="299">
        <f t="shared" si="98"/>
        <v>2.5350000000000001</v>
      </c>
      <c r="AP79" s="299">
        <f t="shared" si="99"/>
        <v>3.1</v>
      </c>
      <c r="AQ79" s="299">
        <f t="shared" si="100"/>
        <v>66.213203435596427</v>
      </c>
      <c r="AR79" s="15">
        <f t="shared" si="154"/>
        <v>3138.1543799999999</v>
      </c>
      <c r="AS79" s="15">
        <v>0</v>
      </c>
      <c r="AT79" s="299">
        <f t="shared" si="155"/>
        <v>1180.3887737097775</v>
      </c>
      <c r="AU79" s="299">
        <f t="shared" si="103"/>
        <v>42.447201650645937</v>
      </c>
      <c r="AV79" s="299">
        <f t="shared" si="104"/>
        <v>31.888291631153685</v>
      </c>
      <c r="AW79" s="299">
        <f t="shared" si="105"/>
        <v>450.52701814698645</v>
      </c>
      <c r="AX79" s="299">
        <f t="shared" si="106"/>
        <v>1070.1025164942182</v>
      </c>
      <c r="AY79" s="299">
        <f t="shared" si="107"/>
        <v>946.56951065467922</v>
      </c>
      <c r="AZ79" s="299">
        <f t="shared" si="108"/>
        <v>6860.077692287462</v>
      </c>
      <c r="BA79" s="350">
        <f t="shared" si="156"/>
        <v>3185.23</v>
      </c>
      <c r="BB79" s="325">
        <f t="shared" si="157"/>
        <v>0</v>
      </c>
      <c r="BC79" s="350">
        <f t="shared" si="158"/>
        <v>1218.1600000000001</v>
      </c>
      <c r="BD79" s="350">
        <f t="shared" si="159"/>
        <v>43.81</v>
      </c>
      <c r="BE79" s="350">
        <f t="shared" si="160"/>
        <v>33.479999999999997</v>
      </c>
      <c r="BF79" s="350">
        <f t="shared" si="161"/>
        <v>464.94</v>
      </c>
      <c r="BG79" s="350">
        <f t="shared" si="162"/>
        <v>1102.21</v>
      </c>
      <c r="BH79" s="350">
        <f t="shared" si="163"/>
        <v>976.86</v>
      </c>
    </row>
    <row r="80" spans="1:60" s="240" customFormat="1" ht="13.8" outlineLevel="1" thickBot="1" x14ac:dyDescent="0.3">
      <c r="A80" s="313">
        <v>4</v>
      </c>
      <c r="B80" s="304"/>
      <c r="C80" s="397"/>
      <c r="D80" s="232"/>
      <c r="E80" s="233"/>
      <c r="F80" s="235"/>
      <c r="G80" s="222"/>
      <c r="H80" s="223"/>
      <c r="I80" s="188"/>
      <c r="J80" s="224"/>
      <c r="K80" s="224"/>
      <c r="L80" s="224"/>
      <c r="M80" s="224"/>
      <c r="N80" s="224"/>
      <c r="O80" s="224"/>
      <c r="P80" s="224"/>
      <c r="Q80" s="324"/>
      <c r="R80" s="224"/>
      <c r="S80" s="224"/>
      <c r="T80" s="224"/>
      <c r="U80" s="224"/>
      <c r="V80" s="224"/>
      <c r="W80" s="224"/>
      <c r="X80" s="224"/>
      <c r="Y80" s="43">
        <f t="shared" si="153"/>
        <v>0</v>
      </c>
      <c r="Z80" s="224"/>
      <c r="AA80" s="224"/>
      <c r="AB80" s="224"/>
      <c r="AC80" s="224"/>
      <c r="AD80" s="224"/>
      <c r="AE80" s="224"/>
      <c r="AF80" s="327"/>
      <c r="AG80" s="327"/>
      <c r="AH80" s="224"/>
      <c r="AI80" s="224"/>
      <c r="AJ80" s="61"/>
      <c r="AK80" s="194"/>
      <c r="AL80" s="224"/>
      <c r="AM80" s="224"/>
      <c r="AN80" s="224"/>
      <c r="AO80" s="224"/>
      <c r="AP80" s="224"/>
      <c r="AQ80" s="224"/>
      <c r="AR80" s="224"/>
      <c r="AS80" s="224"/>
      <c r="AT80" s="224"/>
      <c r="AU80" s="224"/>
      <c r="AV80" s="224"/>
      <c r="AW80" s="224"/>
      <c r="AX80" s="224"/>
      <c r="AY80" s="224"/>
      <c r="AZ80" s="224"/>
      <c r="BB80" s="352">
        <v>42619</v>
      </c>
    </row>
    <row r="81" spans="1:60" s="351" customFormat="1" ht="12.75" customHeight="1" outlineLevel="2" x14ac:dyDescent="0.25">
      <c r="A81" s="328">
        <v>40206908</v>
      </c>
      <c r="B81" s="304" t="str">
        <f t="shared" si="126"/>
        <v>Кабель АВБШв 5*25мс (N, PE) - 1 ГОСТ 31996-2012</v>
      </c>
      <c r="C81" s="399">
        <v>5</v>
      </c>
      <c r="D81" s="329" t="s">
        <v>40</v>
      </c>
      <c r="E81" s="330">
        <v>25</v>
      </c>
      <c r="F81" s="331" t="s">
        <v>151</v>
      </c>
      <c r="G81" s="332">
        <v>7</v>
      </c>
      <c r="H81" s="333" t="s">
        <v>40</v>
      </c>
      <c r="I81" s="334">
        <v>2.19</v>
      </c>
      <c r="J81" s="336">
        <v>24.05</v>
      </c>
      <c r="K81" s="335">
        <v>5.8</v>
      </c>
      <c r="L81" s="336">
        <v>7.4</v>
      </c>
      <c r="M81" s="336">
        <v>2</v>
      </c>
      <c r="N81" s="336">
        <v>30.49</v>
      </c>
      <c r="O81" s="336">
        <v>20.64</v>
      </c>
      <c r="P81" s="337">
        <f t="shared" ref="P81:P89" si="167">Q81-(Q81*0.1+0.1)</f>
        <v>1.07</v>
      </c>
      <c r="Q81" s="337">
        <f t="shared" ref="Q81:Q89" si="168">IF(E81=1.5,0.8,IF(E81=2.5,0.8,IF(E81=4,1,IF(E81=6,1,IF(E81=10,1,IF(E81=16,1,IF(E81=25,1.2,IF(E81=35,1.2,IF(E81=50,1.4,IF(E81=70,1.4,IF(E81=95,1.6,IF(E81=120,1.6,IF(E81=150,1.8,IF(E81=185,2,IF(E81=240,2.2,IF(E81=300,2.4,"ошибка"))))))))))))))))+0.1</f>
        <v>1.3</v>
      </c>
      <c r="R81" s="338">
        <f t="shared" ref="R81:R89" si="169">K81+2*P81</f>
        <v>7.9399999999999995</v>
      </c>
      <c r="S81" s="333" t="s">
        <v>40</v>
      </c>
      <c r="T81" s="334">
        <f t="shared" ref="T81:T89" si="170">L81+2*P81</f>
        <v>9.5400000000000009</v>
      </c>
      <c r="U81" s="338">
        <f t="shared" ref="U81:U89" si="171">K81+2*Q81</f>
        <v>8.4</v>
      </c>
      <c r="V81" s="333" t="s">
        <v>40</v>
      </c>
      <c r="W81" s="339">
        <f t="shared" ref="W81:W89" si="172">L81+2*Q81</f>
        <v>10</v>
      </c>
      <c r="X81" s="337">
        <f t="shared" ref="X81:X89" si="173">2*(U81+(M81+Q81)*(1/COS(PI()*(C81-2)/(2*C81))-1))</f>
        <v>21.428590670246926</v>
      </c>
      <c r="Y81" s="340">
        <f t="shared" si="153"/>
        <v>4.6285906702469264</v>
      </c>
      <c r="Z81" s="341">
        <f t="shared" si="45"/>
        <v>2</v>
      </c>
      <c r="AA81" s="342">
        <f t="shared" ref="AA81:AA89" si="174">IF(AND(X81&gt;=10,X81&lt;=20),0.035,IF(X81&gt;20,0.05,"ошибка"))</f>
        <v>0.05</v>
      </c>
      <c r="AB81" s="343" t="s">
        <v>40</v>
      </c>
      <c r="AC81" s="344">
        <f t="shared" si="60"/>
        <v>60</v>
      </c>
      <c r="AD81" s="345">
        <f t="shared" si="61"/>
        <v>25</v>
      </c>
      <c r="AE81" s="340">
        <f t="shared" si="62"/>
        <v>21.628590670246925</v>
      </c>
      <c r="AF81" s="337">
        <f t="shared" si="164"/>
        <v>0.5</v>
      </c>
      <c r="AG81" s="337">
        <f t="shared" si="165"/>
        <v>1.4</v>
      </c>
      <c r="AH81" s="337">
        <f t="shared" ref="AH81:AH89" si="175">AE81+2*AG81</f>
        <v>24.428590670246926</v>
      </c>
      <c r="AI81" s="346">
        <f t="shared" si="49"/>
        <v>2</v>
      </c>
      <c r="AJ81" s="347">
        <f t="shared" si="166"/>
        <v>0.25</v>
      </c>
      <c r="AK81" s="347"/>
      <c r="AL81" s="348">
        <f>IF(AND(AH81&gt;7,AH81&lt;=10),15,IF(AND(AH81&gt;10,AH81&lt;=13),20,IF(AND(AH81&gt;13,AH81&lt;=21),30,IF(AND(AH81&gt;21,AH81&lt;=31),40,IF(AND(AH81&gt;31,AH81&lt;=70),50,IF(AND(AH81&gt;70,AH81&lt;=80),60,"ошибка"))))))</f>
        <v>40</v>
      </c>
      <c r="AM81" s="348">
        <f t="shared" si="63"/>
        <v>35</v>
      </c>
      <c r="AN81" s="337">
        <f t="shared" ref="AN81:AN89" si="176">AH81+2*AI81*AJ81</f>
        <v>25.428590670246926</v>
      </c>
      <c r="AO81" s="337">
        <f t="shared" ref="AO81:AO89" si="177">AP81-(AP81*0.15+0.1)</f>
        <v>1.6</v>
      </c>
      <c r="AP81" s="337">
        <f t="shared" ref="AP81:AP89" si="178">IF(AN81&lt;=20,1.8,IF(AND(AN81&gt;20,AN81&lt;=30),2,IF(AND(AN81&gt;30,AN81&lt;=40),2.2,IF(AND(AN81&gt;40,AN81&lt;=50),2.4,IF(AND(AN81&gt;50,AN81&lt;=60),2.6,3.1)))))</f>
        <v>2</v>
      </c>
      <c r="AQ81" s="337">
        <f t="shared" ref="AQ81:AQ89" si="179">AN81+2*AP81</f>
        <v>29.428590670246926</v>
      </c>
      <c r="AR81" s="349">
        <f t="shared" ref="AR81:AR89" si="180">J81*C81*1.007*$AR$8</f>
        <v>326.94772499999999</v>
      </c>
      <c r="AS81" s="349">
        <v>0</v>
      </c>
      <c r="AT81" s="337">
        <f t="shared" ref="AT81:AT89" si="181">PI()*(O81/PI()+Q81)*Q81*$AT$8*1.1*C81*1.007</f>
        <v>238.53948821110475</v>
      </c>
      <c r="AU81" s="337">
        <f t="shared" ref="AU81:AU89" si="182">PI()*Y81^2/4*$AU$8</f>
        <v>23.55675517132509</v>
      </c>
      <c r="AV81" s="337">
        <f t="shared" ref="AV81:AV89" si="183">PI()*(X81+Z81*AA81)*Z81*AA81*$AV$8*ROUND(100/(100-AD81),2)</f>
        <v>12.593462398731205</v>
      </c>
      <c r="AW81" s="337">
        <f t="shared" ref="AW81:AW89" si="184">PI()*(AE81+AG81)*AG81*1.07*$AW$8</f>
        <v>151.72497760800371</v>
      </c>
      <c r="AX81" s="337">
        <f t="shared" ref="AX81:AX89" si="185">PI()*(AH81+AI81*AJ81)*AI81*AJ81*$AX$8*ROUND(100/(100+AM81),2)</f>
        <v>226.01846752818901</v>
      </c>
      <c r="AY81" s="337">
        <f t="shared" ref="AY81:AY89" si="186">PI()*(AN81+AP81)*AP81*$AY$8*1.1</f>
        <v>265.40193355974543</v>
      </c>
      <c r="AZ81" s="337">
        <f t="shared" ref="AZ81:AZ89" si="187">SUM(AR81:AY81)</f>
        <v>1244.7828094770994</v>
      </c>
      <c r="BA81" s="350">
        <f t="shared" ref="BA81:BA89" si="188">ROUND(AR81*1.015,2)</f>
        <v>331.85</v>
      </c>
      <c r="BB81" s="350">
        <f t="shared" ref="BB81:BB89" si="189">ROUND(AS81*1.015,2)</f>
        <v>0</v>
      </c>
      <c r="BC81" s="350">
        <f t="shared" ref="BC81:BC89" si="190">ROUND(AT81*1.032,2)</f>
        <v>246.17</v>
      </c>
      <c r="BD81" s="350">
        <f t="shared" ref="BD81:BD89" si="191">ROUND(AU81*1.032,2)</f>
        <v>24.31</v>
      </c>
      <c r="BE81" s="350">
        <f t="shared" ref="BE81:BE89" si="192">ROUND(AV81*1.05,2)</f>
        <v>13.22</v>
      </c>
      <c r="BF81" s="350">
        <f t="shared" ref="BF81:BF89" si="193">ROUND(AW81*1.032,2)</f>
        <v>156.58000000000001</v>
      </c>
      <c r="BG81" s="350">
        <f t="shared" ref="BG81:BG89" si="194">ROUND(AX81*1.03,2)</f>
        <v>232.8</v>
      </c>
      <c r="BH81" s="350">
        <f t="shared" ref="BH81:BH89" si="195">ROUND(AY81*1.032,2)</f>
        <v>273.89</v>
      </c>
    </row>
    <row r="82" spans="1:60" s="240" customFormat="1" ht="12.75" customHeight="1" outlineLevel="2" x14ac:dyDescent="0.25">
      <c r="A82" s="312">
        <v>40206374</v>
      </c>
      <c r="B82" s="304" t="str">
        <f t="shared" si="126"/>
        <v>Кабель АВБШв 5*35мс (N, PE) - 1 ГОСТ 31996-2012</v>
      </c>
      <c r="C82" s="243">
        <v>5</v>
      </c>
      <c r="D82" s="227" t="s">
        <v>40</v>
      </c>
      <c r="E82" s="229">
        <v>35</v>
      </c>
      <c r="F82" s="307" t="s">
        <v>151</v>
      </c>
      <c r="G82" s="260">
        <v>7</v>
      </c>
      <c r="H82" s="23" t="s">
        <v>40</v>
      </c>
      <c r="I82" s="246">
        <v>2.5499999999999998</v>
      </c>
      <c r="J82" s="14">
        <v>33.26</v>
      </c>
      <c r="K82" s="24">
        <v>6.8</v>
      </c>
      <c r="L82" s="14">
        <v>8.5</v>
      </c>
      <c r="M82" s="14">
        <v>2</v>
      </c>
      <c r="N82" s="14">
        <v>40</v>
      </c>
      <c r="O82" s="14">
        <v>23.75</v>
      </c>
      <c r="P82" s="199">
        <f t="shared" si="167"/>
        <v>1.07</v>
      </c>
      <c r="Q82" s="324">
        <f t="shared" si="168"/>
        <v>1.3</v>
      </c>
      <c r="R82" s="247">
        <f t="shared" si="169"/>
        <v>8.94</v>
      </c>
      <c r="S82" s="23" t="s">
        <v>40</v>
      </c>
      <c r="T82" s="246">
        <f t="shared" si="170"/>
        <v>10.64</v>
      </c>
      <c r="U82" s="247">
        <f t="shared" si="171"/>
        <v>9.4</v>
      </c>
      <c r="V82" s="23" t="s">
        <v>40</v>
      </c>
      <c r="W82" s="245">
        <f t="shared" si="172"/>
        <v>11.1</v>
      </c>
      <c r="X82" s="199">
        <f t="shared" si="173"/>
        <v>23.428590670246926</v>
      </c>
      <c r="Y82" s="43">
        <f t="shared" si="153"/>
        <v>4.6285906702469264</v>
      </c>
      <c r="Z82" s="218">
        <f t="shared" si="45"/>
        <v>2</v>
      </c>
      <c r="AA82" s="251">
        <f t="shared" si="174"/>
        <v>0.05</v>
      </c>
      <c r="AB82" s="248" t="s">
        <v>40</v>
      </c>
      <c r="AC82" s="250">
        <f t="shared" si="60"/>
        <v>60</v>
      </c>
      <c r="AD82" s="249">
        <f t="shared" si="61"/>
        <v>25</v>
      </c>
      <c r="AE82" s="43">
        <f t="shared" si="62"/>
        <v>23.628590670246925</v>
      </c>
      <c r="AF82" s="327">
        <f t="shared" si="164"/>
        <v>0.5</v>
      </c>
      <c r="AG82" s="327">
        <f t="shared" si="165"/>
        <v>1.4</v>
      </c>
      <c r="AH82" s="199">
        <f t="shared" si="175"/>
        <v>26.428590670246926</v>
      </c>
      <c r="AI82" s="237">
        <f t="shared" si="49"/>
        <v>2</v>
      </c>
      <c r="AJ82" s="61">
        <f t="shared" si="166"/>
        <v>0.25</v>
      </c>
      <c r="AK82" s="61"/>
      <c r="AL82" s="201">
        <f t="shared" ref="AL82:AL89" si="196">IF(AND(AH82&gt;7,AH82&lt;=10),15,IF(AND(AH82&gt;10,AH82&lt;=13),20,IF(AND(AH82&gt;13,AH82&lt;=21),30,IF(AND(AH82&gt;21,AH82&lt;=31),40,IF(AND(AH82&gt;31,AH82&lt;=70),50,IF(AND(AH82&gt;70,AH82&lt;=80),60,"ошибка"))))))</f>
        <v>40</v>
      </c>
      <c r="AM82" s="201">
        <f t="shared" si="63"/>
        <v>35</v>
      </c>
      <c r="AN82" s="199">
        <f t="shared" si="176"/>
        <v>27.428590670246926</v>
      </c>
      <c r="AO82" s="199">
        <f t="shared" si="177"/>
        <v>1.6</v>
      </c>
      <c r="AP82" s="199">
        <f t="shared" si="178"/>
        <v>2</v>
      </c>
      <c r="AQ82" s="199">
        <f t="shared" si="179"/>
        <v>31.428590670246926</v>
      </c>
      <c r="AR82" s="15">
        <f t="shared" si="180"/>
        <v>452.15306999999996</v>
      </c>
      <c r="AS82" s="15">
        <v>0</v>
      </c>
      <c r="AT82" s="199">
        <f t="shared" si="181"/>
        <v>268.54497658110478</v>
      </c>
      <c r="AU82" s="199">
        <f>PI()*Y82^2/4*$AU$8</f>
        <v>23.55675517132509</v>
      </c>
      <c r="AV82" s="199">
        <f t="shared" si="183"/>
        <v>13.763391502928046</v>
      </c>
      <c r="AW82" s="199">
        <f t="shared" si="184"/>
        <v>164.90207383422072</v>
      </c>
      <c r="AX82" s="199">
        <f t="shared" si="185"/>
        <v>244.15174032470927</v>
      </c>
      <c r="AY82" s="199">
        <f t="shared" si="186"/>
        <v>284.75414430585852</v>
      </c>
      <c r="AZ82" s="199">
        <f t="shared" si="187"/>
        <v>1451.8261517201463</v>
      </c>
      <c r="BA82" s="350">
        <f t="shared" si="188"/>
        <v>458.94</v>
      </c>
      <c r="BB82" s="264">
        <f t="shared" si="189"/>
        <v>0</v>
      </c>
      <c r="BC82" s="350">
        <f t="shared" si="190"/>
        <v>277.14</v>
      </c>
      <c r="BD82" s="350">
        <f t="shared" si="191"/>
        <v>24.31</v>
      </c>
      <c r="BE82" s="350">
        <f t="shared" si="192"/>
        <v>14.45</v>
      </c>
      <c r="BF82" s="350">
        <f t="shared" si="193"/>
        <v>170.18</v>
      </c>
      <c r="BG82" s="350">
        <f t="shared" si="194"/>
        <v>251.48</v>
      </c>
      <c r="BH82" s="350">
        <f t="shared" si="195"/>
        <v>293.87</v>
      </c>
    </row>
    <row r="83" spans="1:60" s="240" customFormat="1" ht="12.75" customHeight="1" outlineLevel="2" x14ac:dyDescent="0.25">
      <c r="A83" s="328">
        <v>40206910</v>
      </c>
      <c r="B83" s="304" t="str">
        <f t="shared" si="126"/>
        <v>Кабель АВБШв 5*50мс (N, PE) - 1 ГОСТ 31996-2012</v>
      </c>
      <c r="C83" s="243">
        <v>5</v>
      </c>
      <c r="D83" s="227" t="s">
        <v>40</v>
      </c>
      <c r="E83" s="229">
        <v>50</v>
      </c>
      <c r="F83" s="307" t="s">
        <v>151</v>
      </c>
      <c r="G83" s="260">
        <v>7</v>
      </c>
      <c r="H83" s="23" t="s">
        <v>40</v>
      </c>
      <c r="I83" s="246">
        <v>3</v>
      </c>
      <c r="J83" s="14">
        <v>45.03</v>
      </c>
      <c r="K83" s="24">
        <v>7.8</v>
      </c>
      <c r="L83" s="14">
        <v>9.8000000000000007</v>
      </c>
      <c r="M83" s="14">
        <v>2.5</v>
      </c>
      <c r="N83" s="14">
        <v>53.88</v>
      </c>
      <c r="O83" s="14">
        <v>27.47</v>
      </c>
      <c r="P83" s="199">
        <f t="shared" si="167"/>
        <v>1.25</v>
      </c>
      <c r="Q83" s="324">
        <f t="shared" si="168"/>
        <v>1.5</v>
      </c>
      <c r="R83" s="247">
        <f t="shared" si="169"/>
        <v>10.3</v>
      </c>
      <c r="S83" s="23" t="s">
        <v>40</v>
      </c>
      <c r="T83" s="246">
        <f t="shared" si="170"/>
        <v>12.3</v>
      </c>
      <c r="U83" s="247">
        <f t="shared" si="171"/>
        <v>10.8</v>
      </c>
      <c r="V83" s="23" t="s">
        <v>40</v>
      </c>
      <c r="W83" s="245">
        <f t="shared" si="172"/>
        <v>12.8</v>
      </c>
      <c r="X83" s="199">
        <f t="shared" si="173"/>
        <v>27.210412933632639</v>
      </c>
      <c r="Y83" s="43">
        <f t="shared" si="153"/>
        <v>5.610412933632638</v>
      </c>
      <c r="Z83" s="218">
        <f t="shared" si="45"/>
        <v>2</v>
      </c>
      <c r="AA83" s="251">
        <f t="shared" si="174"/>
        <v>0.05</v>
      </c>
      <c r="AB83" s="248" t="s">
        <v>40</v>
      </c>
      <c r="AC83" s="250">
        <f t="shared" si="60"/>
        <v>60</v>
      </c>
      <c r="AD83" s="249">
        <f t="shared" si="61"/>
        <v>25</v>
      </c>
      <c r="AE83" s="43">
        <f t="shared" si="62"/>
        <v>27.410412933632639</v>
      </c>
      <c r="AF83" s="327">
        <f t="shared" si="164"/>
        <v>0.6</v>
      </c>
      <c r="AG83" s="327">
        <f t="shared" si="165"/>
        <v>1.5</v>
      </c>
      <c r="AH83" s="199">
        <f t="shared" si="175"/>
        <v>30.410412933632639</v>
      </c>
      <c r="AI83" s="237">
        <f t="shared" si="49"/>
        <v>2</v>
      </c>
      <c r="AJ83" s="61">
        <f t="shared" si="166"/>
        <v>0.25</v>
      </c>
      <c r="AK83" s="61"/>
      <c r="AL83" s="201">
        <f t="shared" si="196"/>
        <v>40</v>
      </c>
      <c r="AM83" s="201">
        <f t="shared" si="63"/>
        <v>35</v>
      </c>
      <c r="AN83" s="199">
        <f t="shared" si="176"/>
        <v>31.410412933632639</v>
      </c>
      <c r="AO83" s="199">
        <f t="shared" si="177"/>
        <v>1.77</v>
      </c>
      <c r="AP83" s="199">
        <f t="shared" si="178"/>
        <v>2.2000000000000002</v>
      </c>
      <c r="AQ83" s="199">
        <f t="shared" si="179"/>
        <v>35.810412933632641</v>
      </c>
      <c r="AR83" s="15">
        <f t="shared" si="180"/>
        <v>612.16033500000003</v>
      </c>
      <c r="AS83" s="15">
        <v>0</v>
      </c>
      <c r="AT83" s="199">
        <f t="shared" si="181"/>
        <v>358.26674434939986</v>
      </c>
      <c r="AU83" s="199">
        <f t="shared" si="182"/>
        <v>34.610475917465699</v>
      </c>
      <c r="AV83" s="199">
        <f t="shared" si="183"/>
        <v>15.975623469345301</v>
      </c>
      <c r="AW83" s="199">
        <f t="shared" si="184"/>
        <v>204.08319276757854</v>
      </c>
      <c r="AX83" s="199">
        <f t="shared" si="185"/>
        <v>280.25347498932473</v>
      </c>
      <c r="AY83" s="199">
        <f t="shared" si="186"/>
        <v>357.73968689554982</v>
      </c>
      <c r="AZ83" s="199">
        <f t="shared" si="187"/>
        <v>1863.089533388664</v>
      </c>
      <c r="BA83" s="350">
        <f t="shared" si="188"/>
        <v>621.34</v>
      </c>
      <c r="BB83" s="264">
        <f t="shared" si="189"/>
        <v>0</v>
      </c>
      <c r="BC83" s="350">
        <f t="shared" si="190"/>
        <v>369.73</v>
      </c>
      <c r="BD83" s="350">
        <f t="shared" si="191"/>
        <v>35.72</v>
      </c>
      <c r="BE83" s="350">
        <f t="shared" si="192"/>
        <v>16.77</v>
      </c>
      <c r="BF83" s="350">
        <f t="shared" si="193"/>
        <v>210.61</v>
      </c>
      <c r="BG83" s="350">
        <f t="shared" si="194"/>
        <v>288.66000000000003</v>
      </c>
      <c r="BH83" s="350">
        <f t="shared" si="195"/>
        <v>369.19</v>
      </c>
    </row>
    <row r="84" spans="1:60" s="351" customFormat="1" ht="12.75" customHeight="1" outlineLevel="2" x14ac:dyDescent="0.25">
      <c r="A84" s="328">
        <v>40207022</v>
      </c>
      <c r="B84" s="304" t="str">
        <f t="shared" si="126"/>
        <v>Кабель АВБШв 5*70мс (N, PE) - 1 ГОСТ 31996-2012</v>
      </c>
      <c r="C84" s="399">
        <v>5</v>
      </c>
      <c r="D84" s="329" t="s">
        <v>40</v>
      </c>
      <c r="E84" s="330">
        <v>70</v>
      </c>
      <c r="F84" s="331" t="s">
        <v>151</v>
      </c>
      <c r="G84" s="332">
        <v>7</v>
      </c>
      <c r="H84" s="333" t="s">
        <v>40</v>
      </c>
      <c r="I84" s="334">
        <v>3.57</v>
      </c>
      <c r="J84" s="336">
        <v>65.16</v>
      </c>
      <c r="K84" s="335">
        <v>9.4</v>
      </c>
      <c r="L84" s="336">
        <v>11.9</v>
      </c>
      <c r="M84" s="336">
        <v>3</v>
      </c>
      <c r="N84" s="336">
        <v>78.430000000000007</v>
      </c>
      <c r="O84" s="336">
        <v>33.21</v>
      </c>
      <c r="P84" s="337">
        <f t="shared" si="167"/>
        <v>1.25</v>
      </c>
      <c r="Q84" s="337">
        <f t="shared" si="168"/>
        <v>1.5</v>
      </c>
      <c r="R84" s="338">
        <f t="shared" si="169"/>
        <v>11.9</v>
      </c>
      <c r="S84" s="333" t="s">
        <v>40</v>
      </c>
      <c r="T84" s="334">
        <f t="shared" si="170"/>
        <v>14.4</v>
      </c>
      <c r="U84" s="338">
        <f t="shared" si="171"/>
        <v>12.4</v>
      </c>
      <c r="V84" s="333" t="s">
        <v>40</v>
      </c>
      <c r="W84" s="339">
        <f t="shared" si="172"/>
        <v>14.9</v>
      </c>
      <c r="X84" s="337">
        <f t="shared" si="173"/>
        <v>31.111714550336718</v>
      </c>
      <c r="Y84" s="340">
        <f t="shared" si="153"/>
        <v>6.3117145503367178</v>
      </c>
      <c r="Z84" s="341">
        <f t="shared" si="45"/>
        <v>2</v>
      </c>
      <c r="AA84" s="342">
        <f t="shared" si="174"/>
        <v>0.05</v>
      </c>
      <c r="AB84" s="343" t="s">
        <v>40</v>
      </c>
      <c r="AC84" s="344">
        <f t="shared" si="60"/>
        <v>60</v>
      </c>
      <c r="AD84" s="345">
        <f t="shared" si="61"/>
        <v>25</v>
      </c>
      <c r="AE84" s="340">
        <f t="shared" si="62"/>
        <v>31.311714550336717</v>
      </c>
      <c r="AF84" s="337">
        <f t="shared" ref="AF84:AF89" si="197">IF(AE84&lt;=25,0.5,IF(AND(AE84&gt;25,AE84&lt;=35),0.6,IF(AND(AE84&gt;35,AE84&lt;=45),0.7,IF(AND(AE84&gt;45,AE84&lt;=60),0.8,IF(AND(AE84&gt;60,AE84&lt;=80),0.9,1)))))</f>
        <v>0.6</v>
      </c>
      <c r="AG84" s="337">
        <f>IF(AE84&lt;=25,1.4,IF(AND(AE84&gt;25,AE84&lt;=35),1.5,IF(AND(AE84&gt;35,AE84&lt;=45),1.6,IF(AND(AE84&gt;45,AE84&lt;=60),1.7,IF(AND(AE84&gt;60,AE84&lt;=80),2,2.2)))))</f>
        <v>1.5</v>
      </c>
      <c r="AH84" s="337">
        <f t="shared" si="175"/>
        <v>34.311714550336717</v>
      </c>
      <c r="AI84" s="346">
        <f t="shared" si="49"/>
        <v>2</v>
      </c>
      <c r="AJ84" s="347">
        <f t="shared" si="166"/>
        <v>0.25</v>
      </c>
      <c r="AK84" s="347"/>
      <c r="AL84" s="348">
        <f t="shared" si="196"/>
        <v>50</v>
      </c>
      <c r="AM84" s="348">
        <f t="shared" si="63"/>
        <v>35</v>
      </c>
      <c r="AN84" s="337">
        <f t="shared" si="176"/>
        <v>35.311714550336717</v>
      </c>
      <c r="AO84" s="337">
        <f t="shared" si="177"/>
        <v>1.77</v>
      </c>
      <c r="AP84" s="337">
        <f t="shared" si="178"/>
        <v>2.2000000000000002</v>
      </c>
      <c r="AQ84" s="337">
        <f t="shared" si="179"/>
        <v>39.711714550336715</v>
      </c>
      <c r="AR84" s="349">
        <f t="shared" si="180"/>
        <v>885.81761999999992</v>
      </c>
      <c r="AS84" s="349">
        <v>0</v>
      </c>
      <c r="AT84" s="337">
        <f t="shared" si="181"/>
        <v>422.16663424939981</v>
      </c>
      <c r="AU84" s="337">
        <f t="shared" si="182"/>
        <v>43.80388358304252</v>
      </c>
      <c r="AV84" s="337">
        <f t="shared" si="183"/>
        <v>18.257746622161445</v>
      </c>
      <c r="AW84" s="337">
        <f t="shared" si="184"/>
        <v>231.62309998765301</v>
      </c>
      <c r="AX84" s="337">
        <f t="shared" si="185"/>
        <v>315.62515822792511</v>
      </c>
      <c r="AY84" s="337">
        <f t="shared" si="186"/>
        <v>399.26403298438493</v>
      </c>
      <c r="AZ84" s="337">
        <f t="shared" si="187"/>
        <v>2316.5581756545666</v>
      </c>
      <c r="BA84" s="350">
        <f t="shared" si="188"/>
        <v>899.1</v>
      </c>
      <c r="BB84" s="350">
        <f t="shared" si="189"/>
        <v>0</v>
      </c>
      <c r="BC84" s="350">
        <f t="shared" si="190"/>
        <v>435.68</v>
      </c>
      <c r="BD84" s="350">
        <f t="shared" si="191"/>
        <v>45.21</v>
      </c>
      <c r="BE84" s="350">
        <f t="shared" si="192"/>
        <v>19.170000000000002</v>
      </c>
      <c r="BF84" s="350">
        <f t="shared" si="193"/>
        <v>239.04</v>
      </c>
      <c r="BG84" s="350">
        <f t="shared" si="194"/>
        <v>325.08999999999997</v>
      </c>
      <c r="BH84" s="350">
        <f t="shared" si="195"/>
        <v>412.04</v>
      </c>
    </row>
    <row r="85" spans="1:60" s="240" customFormat="1" ht="12.75" customHeight="1" outlineLevel="2" x14ac:dyDescent="0.25">
      <c r="A85" s="314"/>
      <c r="B85" s="304" t="str">
        <f t="shared" si="126"/>
        <v>Кабель АВБШв 5*95мс (N, PE) - 1 ГОСТ 31996-2012</v>
      </c>
      <c r="C85" s="243">
        <v>5</v>
      </c>
      <c r="D85" s="227" t="s">
        <v>40</v>
      </c>
      <c r="E85" s="229">
        <v>95</v>
      </c>
      <c r="F85" s="307" t="s">
        <v>151</v>
      </c>
      <c r="G85" s="260">
        <v>7</v>
      </c>
      <c r="H85" s="23" t="s">
        <v>40</v>
      </c>
      <c r="I85" s="246">
        <v>4.25</v>
      </c>
      <c r="J85" s="14">
        <v>90.21</v>
      </c>
      <c r="K85" s="24">
        <v>11.4</v>
      </c>
      <c r="L85" s="14">
        <v>14</v>
      </c>
      <c r="M85" s="14">
        <v>3</v>
      </c>
      <c r="N85" s="14">
        <v>109.04</v>
      </c>
      <c r="O85" s="14">
        <v>39.31</v>
      </c>
      <c r="P85" s="199">
        <f t="shared" si="167"/>
        <v>1.4300000000000002</v>
      </c>
      <c r="Q85" s="324">
        <f t="shared" si="168"/>
        <v>1.7000000000000002</v>
      </c>
      <c r="R85" s="247">
        <f t="shared" si="169"/>
        <v>14.260000000000002</v>
      </c>
      <c r="S85" s="23" t="s">
        <v>40</v>
      </c>
      <c r="T85" s="246">
        <f t="shared" si="170"/>
        <v>16.86</v>
      </c>
      <c r="U85" s="247">
        <f t="shared" si="171"/>
        <v>14.8</v>
      </c>
      <c r="V85" s="23" t="s">
        <v>40</v>
      </c>
      <c r="W85" s="245">
        <f t="shared" si="172"/>
        <v>17.399999999999999</v>
      </c>
      <c r="X85" s="199">
        <f t="shared" si="173"/>
        <v>36.192235197018348</v>
      </c>
      <c r="Y85" s="43">
        <f t="shared" si="153"/>
        <v>6.5922351970183497</v>
      </c>
      <c r="Z85" s="218">
        <f t="shared" si="45"/>
        <v>2</v>
      </c>
      <c r="AA85" s="251">
        <f t="shared" si="174"/>
        <v>0.05</v>
      </c>
      <c r="AB85" s="248" t="s">
        <v>40</v>
      </c>
      <c r="AC85" s="250">
        <f t="shared" si="60"/>
        <v>60</v>
      </c>
      <c r="AD85" s="249">
        <f t="shared" si="61"/>
        <v>25</v>
      </c>
      <c r="AE85" s="43">
        <f t="shared" si="62"/>
        <v>36.392235197018351</v>
      </c>
      <c r="AF85" s="327">
        <f t="shared" si="197"/>
        <v>0.7</v>
      </c>
      <c r="AG85" s="327">
        <f t="shared" ref="AG85:AG89" si="198">IF(AE85&lt;=25,1.4,IF(AND(AE85&gt;25,AE85&lt;=35),1.5,IF(AND(AE85&gt;35,AE85&lt;=45),1.6,IF(AND(AE85&gt;45,AE85&lt;=60),1.7,IF(AND(AE85&gt;60,AE85&lt;=80),2,2.2)))))</f>
        <v>1.6</v>
      </c>
      <c r="AH85" s="199">
        <f t="shared" si="175"/>
        <v>39.592235197018354</v>
      </c>
      <c r="AI85" s="237">
        <f t="shared" si="49"/>
        <v>2</v>
      </c>
      <c r="AJ85" s="61">
        <f t="shared" si="166"/>
        <v>0.25</v>
      </c>
      <c r="AK85" s="61"/>
      <c r="AL85" s="201">
        <f t="shared" si="196"/>
        <v>50</v>
      </c>
      <c r="AM85" s="201">
        <f t="shared" si="63"/>
        <v>35</v>
      </c>
      <c r="AN85" s="199">
        <f t="shared" si="176"/>
        <v>40.592235197018354</v>
      </c>
      <c r="AO85" s="199">
        <f t="shared" si="177"/>
        <v>1.94</v>
      </c>
      <c r="AP85" s="199">
        <f t="shared" si="178"/>
        <v>2.4</v>
      </c>
      <c r="AQ85" s="199">
        <f t="shared" si="179"/>
        <v>45.392235197018351</v>
      </c>
      <c r="AR85" s="15">
        <f t="shared" si="180"/>
        <v>1226.3598449999997</v>
      </c>
      <c r="AS85" s="15">
        <v>0</v>
      </c>
      <c r="AT85" s="199">
        <f t="shared" si="181"/>
        <v>563.34471540745153</v>
      </c>
      <c r="AU85" s="199">
        <f t="shared" si="182"/>
        <v>47.784088313551074</v>
      </c>
      <c r="AV85" s="199">
        <f t="shared" si="183"/>
        <v>21.229671106674338</v>
      </c>
      <c r="AW85" s="199">
        <f t="shared" si="184"/>
        <v>286.07276516581726</v>
      </c>
      <c r="AX85" s="199">
        <f t="shared" si="185"/>
        <v>363.501718924893</v>
      </c>
      <c r="AY85" s="199">
        <f t="shared" si="186"/>
        <v>499.19687758749683</v>
      </c>
      <c r="AZ85" s="199">
        <f t="shared" si="187"/>
        <v>3007.4896815058837</v>
      </c>
      <c r="BA85" s="350">
        <f t="shared" si="188"/>
        <v>1244.76</v>
      </c>
      <c r="BB85" s="264">
        <f t="shared" si="189"/>
        <v>0</v>
      </c>
      <c r="BC85" s="350">
        <f t="shared" si="190"/>
        <v>581.37</v>
      </c>
      <c r="BD85" s="350">
        <f t="shared" si="191"/>
        <v>49.31</v>
      </c>
      <c r="BE85" s="350">
        <f t="shared" si="192"/>
        <v>22.29</v>
      </c>
      <c r="BF85" s="350">
        <f t="shared" si="193"/>
        <v>295.23</v>
      </c>
      <c r="BG85" s="350">
        <f t="shared" si="194"/>
        <v>374.41</v>
      </c>
      <c r="BH85" s="350">
        <f t="shared" si="195"/>
        <v>515.16999999999996</v>
      </c>
    </row>
    <row r="86" spans="1:60" s="351" customFormat="1" ht="12.75" customHeight="1" outlineLevel="2" x14ac:dyDescent="0.25">
      <c r="A86" s="328">
        <v>40206913</v>
      </c>
      <c r="B86" s="304" t="str">
        <f t="shared" si="126"/>
        <v>Кабель АВБШв 5*120мс (N, PE) - 1 ГОСТ 31996-2012</v>
      </c>
      <c r="C86" s="399">
        <v>5</v>
      </c>
      <c r="D86" s="329" t="s">
        <v>40</v>
      </c>
      <c r="E86" s="330">
        <v>120</v>
      </c>
      <c r="F86" s="331" t="s">
        <v>151</v>
      </c>
      <c r="G86" s="332">
        <v>19</v>
      </c>
      <c r="H86" s="333" t="s">
        <v>40</v>
      </c>
      <c r="I86" s="334">
        <v>2.87</v>
      </c>
      <c r="J86" s="336">
        <v>114.09</v>
      </c>
      <c r="K86" s="335">
        <v>12.4</v>
      </c>
      <c r="L86" s="336">
        <v>15.7</v>
      </c>
      <c r="M86" s="336">
        <v>4</v>
      </c>
      <c r="N86" s="336">
        <v>135.91999999999999</v>
      </c>
      <c r="O86" s="336">
        <v>43.63</v>
      </c>
      <c r="P86" s="337">
        <f t="shared" si="167"/>
        <v>1.4300000000000002</v>
      </c>
      <c r="Q86" s="337">
        <f t="shared" si="168"/>
        <v>1.7000000000000002</v>
      </c>
      <c r="R86" s="338">
        <f t="shared" si="169"/>
        <v>15.260000000000002</v>
      </c>
      <c r="S86" s="333" t="s">
        <v>40</v>
      </c>
      <c r="T86" s="334">
        <f t="shared" si="170"/>
        <v>18.559999999999999</v>
      </c>
      <c r="U86" s="338">
        <f t="shared" si="171"/>
        <v>15.8</v>
      </c>
      <c r="V86" s="333" t="s">
        <v>40</v>
      </c>
      <c r="W86" s="339">
        <f t="shared" si="172"/>
        <v>19.100000000000001</v>
      </c>
      <c r="X86" s="337">
        <f t="shared" si="173"/>
        <v>39.594838430426513</v>
      </c>
      <c r="Y86" s="340">
        <f t="shared" si="153"/>
        <v>7.9948384304265092</v>
      </c>
      <c r="Z86" s="341">
        <f t="shared" si="45"/>
        <v>2</v>
      </c>
      <c r="AA86" s="342">
        <f t="shared" si="174"/>
        <v>0.05</v>
      </c>
      <c r="AB86" s="343" t="s">
        <v>40</v>
      </c>
      <c r="AC86" s="344">
        <f t="shared" si="60"/>
        <v>60</v>
      </c>
      <c r="AD86" s="345">
        <f t="shared" si="61"/>
        <v>25</v>
      </c>
      <c r="AE86" s="340">
        <f t="shared" si="62"/>
        <v>39.794838430426516</v>
      </c>
      <c r="AF86" s="337">
        <f t="shared" si="197"/>
        <v>0.7</v>
      </c>
      <c r="AG86" s="337">
        <f t="shared" si="198"/>
        <v>1.6</v>
      </c>
      <c r="AH86" s="337">
        <f t="shared" si="175"/>
        <v>42.994838430426519</v>
      </c>
      <c r="AI86" s="346">
        <f t="shared" si="49"/>
        <v>2</v>
      </c>
      <c r="AJ86" s="347">
        <f t="shared" si="166"/>
        <v>0.25</v>
      </c>
      <c r="AK86" s="347"/>
      <c r="AL86" s="348">
        <f t="shared" si="196"/>
        <v>50</v>
      </c>
      <c r="AM86" s="348">
        <f t="shared" si="63"/>
        <v>35</v>
      </c>
      <c r="AN86" s="337">
        <f t="shared" si="176"/>
        <v>43.994838430426519</v>
      </c>
      <c r="AO86" s="337">
        <f t="shared" si="177"/>
        <v>1.94</v>
      </c>
      <c r="AP86" s="337">
        <f t="shared" si="178"/>
        <v>2.4</v>
      </c>
      <c r="AQ86" s="337">
        <f t="shared" si="179"/>
        <v>48.794838430426516</v>
      </c>
      <c r="AR86" s="349">
        <f t="shared" si="180"/>
        <v>1550.9965049999998</v>
      </c>
      <c r="AS86" s="349">
        <v>0</v>
      </c>
      <c r="AT86" s="337">
        <f t="shared" si="181"/>
        <v>617.84887236745135</v>
      </c>
      <c r="AU86" s="337">
        <f t="shared" si="182"/>
        <v>70.280897659903772</v>
      </c>
      <c r="AV86" s="337">
        <f t="shared" si="183"/>
        <v>23.220073383073579</v>
      </c>
      <c r="AW86" s="337">
        <f t="shared" si="184"/>
        <v>311.69358243796393</v>
      </c>
      <c r="AX86" s="337">
        <f t="shared" si="185"/>
        <v>394.3518852497491</v>
      </c>
      <c r="AY86" s="337">
        <f t="shared" si="186"/>
        <v>538.70561450248931</v>
      </c>
      <c r="AZ86" s="337">
        <f t="shared" si="187"/>
        <v>3507.097430600631</v>
      </c>
      <c r="BA86" s="350">
        <f t="shared" si="188"/>
        <v>1574.26</v>
      </c>
      <c r="BB86" s="350">
        <f t="shared" si="189"/>
        <v>0</v>
      </c>
      <c r="BC86" s="350">
        <f t="shared" si="190"/>
        <v>637.62</v>
      </c>
      <c r="BD86" s="350">
        <f t="shared" si="191"/>
        <v>72.53</v>
      </c>
      <c r="BE86" s="350">
        <f>ROUND(AV86*1.05,2)</f>
        <v>24.38</v>
      </c>
      <c r="BF86" s="350">
        <f t="shared" si="193"/>
        <v>321.67</v>
      </c>
      <c r="BG86" s="350">
        <f t="shared" si="194"/>
        <v>406.18</v>
      </c>
      <c r="BH86" s="350">
        <f t="shared" si="195"/>
        <v>555.94000000000005</v>
      </c>
    </row>
    <row r="87" spans="1:60" s="351" customFormat="1" ht="12.75" customHeight="1" outlineLevel="2" x14ac:dyDescent="0.25">
      <c r="A87" s="328">
        <v>40207026</v>
      </c>
      <c r="B87" s="304" t="str">
        <f t="shared" si="126"/>
        <v>Кабель АВБШв 5*150мс (N, PE) - 1 ГОСТ 31996-2012</v>
      </c>
      <c r="C87" s="399">
        <v>5</v>
      </c>
      <c r="D87" s="329" t="s">
        <v>40</v>
      </c>
      <c r="E87" s="330">
        <v>150</v>
      </c>
      <c r="F87" s="331" t="s">
        <v>151</v>
      </c>
      <c r="G87" s="332">
        <v>19</v>
      </c>
      <c r="H87" s="333" t="s">
        <v>40</v>
      </c>
      <c r="I87" s="334">
        <v>3.15</v>
      </c>
      <c r="J87" s="336">
        <v>140.13</v>
      </c>
      <c r="K87" s="335">
        <v>13.9</v>
      </c>
      <c r="L87" s="336">
        <v>17.5</v>
      </c>
      <c r="M87" s="336">
        <v>4</v>
      </c>
      <c r="N87" s="336">
        <v>166.78</v>
      </c>
      <c r="O87" s="336">
        <v>48.67</v>
      </c>
      <c r="P87" s="337">
        <f t="shared" si="167"/>
        <v>1.61</v>
      </c>
      <c r="Q87" s="337">
        <f t="shared" si="168"/>
        <v>1.9000000000000001</v>
      </c>
      <c r="R87" s="338">
        <f t="shared" si="169"/>
        <v>17.12</v>
      </c>
      <c r="S87" s="333" t="s">
        <v>40</v>
      </c>
      <c r="T87" s="334">
        <f t="shared" si="170"/>
        <v>20.72</v>
      </c>
      <c r="U87" s="338">
        <f t="shared" si="171"/>
        <v>17.7</v>
      </c>
      <c r="V87" s="333" t="s">
        <v>40</v>
      </c>
      <c r="W87" s="339">
        <f t="shared" si="172"/>
        <v>21.3</v>
      </c>
      <c r="X87" s="337">
        <f t="shared" si="173"/>
        <v>43.675359077108141</v>
      </c>
      <c r="Y87" s="340">
        <f t="shared" si="153"/>
        <v>8.275359077108142</v>
      </c>
      <c r="Z87" s="341">
        <f t="shared" si="45"/>
        <v>2</v>
      </c>
      <c r="AA87" s="342">
        <f t="shared" si="174"/>
        <v>0.05</v>
      </c>
      <c r="AB87" s="343" t="s">
        <v>40</v>
      </c>
      <c r="AC87" s="344">
        <f t="shared" si="60"/>
        <v>60</v>
      </c>
      <c r="AD87" s="345">
        <f t="shared" si="61"/>
        <v>25</v>
      </c>
      <c r="AE87" s="340">
        <f t="shared" si="62"/>
        <v>43.875359077108143</v>
      </c>
      <c r="AF87" s="337">
        <f t="shared" si="197"/>
        <v>0.7</v>
      </c>
      <c r="AG87" s="337">
        <f t="shared" si="198"/>
        <v>1.6</v>
      </c>
      <c r="AH87" s="337">
        <f t="shared" si="175"/>
        <v>47.075359077108146</v>
      </c>
      <c r="AI87" s="346">
        <f t="shared" si="49"/>
        <v>2</v>
      </c>
      <c r="AJ87" s="347">
        <f t="shared" si="166"/>
        <v>0.5</v>
      </c>
      <c r="AK87" s="347"/>
      <c r="AL87" s="348">
        <f t="shared" si="196"/>
        <v>50</v>
      </c>
      <c r="AM87" s="348">
        <f t="shared" si="63"/>
        <v>35</v>
      </c>
      <c r="AN87" s="337">
        <f t="shared" si="176"/>
        <v>49.075359077108146</v>
      </c>
      <c r="AO87" s="337">
        <f t="shared" si="177"/>
        <v>1.94</v>
      </c>
      <c r="AP87" s="337">
        <f t="shared" si="178"/>
        <v>2.4</v>
      </c>
      <c r="AQ87" s="337">
        <f t="shared" si="179"/>
        <v>53.875359077108143</v>
      </c>
      <c r="AR87" s="349">
        <f t="shared" si="180"/>
        <v>1904.9972849999999</v>
      </c>
      <c r="AS87" s="349">
        <v>0</v>
      </c>
      <c r="AT87" s="337">
        <f t="shared" si="181"/>
        <v>770.46605363525941</v>
      </c>
      <c r="AU87" s="337">
        <f t="shared" si="182"/>
        <v>75.299416667936327</v>
      </c>
      <c r="AV87" s="337">
        <f t="shared" si="183"/>
        <v>25.607033315488049</v>
      </c>
      <c r="AW87" s="337">
        <f t="shared" si="184"/>
        <v>342.41896141761487</v>
      </c>
      <c r="AX87" s="337">
        <f t="shared" si="185"/>
        <v>871.76360093586982</v>
      </c>
      <c r="AY87" s="337">
        <f t="shared" si="186"/>
        <v>597.69719825522645</v>
      </c>
      <c r="AZ87" s="337">
        <f t="shared" si="187"/>
        <v>4588.2495492273947</v>
      </c>
      <c r="BA87" s="350">
        <f t="shared" si="188"/>
        <v>1933.57</v>
      </c>
      <c r="BB87" s="350">
        <f t="shared" si="189"/>
        <v>0</v>
      </c>
      <c r="BC87" s="350">
        <f t="shared" si="190"/>
        <v>795.12</v>
      </c>
      <c r="BD87" s="350">
        <f t="shared" si="191"/>
        <v>77.709999999999994</v>
      </c>
      <c r="BE87" s="350">
        <f t="shared" si="192"/>
        <v>26.89</v>
      </c>
      <c r="BF87" s="350">
        <f t="shared" si="193"/>
        <v>353.38</v>
      </c>
      <c r="BG87" s="350">
        <f t="shared" si="194"/>
        <v>897.92</v>
      </c>
      <c r="BH87" s="350">
        <f t="shared" si="195"/>
        <v>616.82000000000005</v>
      </c>
    </row>
    <row r="88" spans="1:60" s="240" customFormat="1" ht="12.75" customHeight="1" outlineLevel="2" x14ac:dyDescent="0.25">
      <c r="A88" s="314"/>
      <c r="B88" s="304" t="str">
        <f t="shared" si="126"/>
        <v>Кабель АВБШв 5*185мс (N, PE) - 1 ГОСТ 31996-2012</v>
      </c>
      <c r="C88" s="243">
        <v>5</v>
      </c>
      <c r="D88" s="227" t="s">
        <v>40</v>
      </c>
      <c r="E88" s="229">
        <v>185</v>
      </c>
      <c r="F88" s="307" t="s">
        <v>151</v>
      </c>
      <c r="G88" s="260">
        <v>19</v>
      </c>
      <c r="H88" s="23" t="s">
        <v>40</v>
      </c>
      <c r="I88" s="246">
        <v>3.57</v>
      </c>
      <c r="J88" s="14">
        <v>176.01</v>
      </c>
      <c r="K88" s="24">
        <v>15.6</v>
      </c>
      <c r="L88" s="14">
        <v>20.2</v>
      </c>
      <c r="M88" s="14">
        <v>5</v>
      </c>
      <c r="N88" s="14">
        <v>215.87</v>
      </c>
      <c r="O88" s="14">
        <v>55.39</v>
      </c>
      <c r="P88" s="199">
        <f t="shared" si="167"/>
        <v>1.79</v>
      </c>
      <c r="Q88" s="324">
        <f t="shared" si="168"/>
        <v>2.1</v>
      </c>
      <c r="R88" s="247">
        <f t="shared" si="169"/>
        <v>19.18</v>
      </c>
      <c r="S88" s="23" t="s">
        <v>40</v>
      </c>
      <c r="T88" s="246">
        <f t="shared" si="170"/>
        <v>23.78</v>
      </c>
      <c r="U88" s="247">
        <f t="shared" si="171"/>
        <v>19.8</v>
      </c>
      <c r="V88" s="23" t="s">
        <v>40</v>
      </c>
      <c r="W88" s="245">
        <f t="shared" si="172"/>
        <v>24.4</v>
      </c>
      <c r="X88" s="199">
        <f t="shared" si="173"/>
        <v>49.558482957197931</v>
      </c>
      <c r="Y88" s="43">
        <f t="shared" si="153"/>
        <v>9.9584829571979316</v>
      </c>
      <c r="Z88" s="218">
        <f t="shared" si="45"/>
        <v>2</v>
      </c>
      <c r="AA88" s="251">
        <f t="shared" si="174"/>
        <v>0.05</v>
      </c>
      <c r="AB88" s="248" t="s">
        <v>40</v>
      </c>
      <c r="AC88" s="250">
        <f t="shared" si="60"/>
        <v>60</v>
      </c>
      <c r="AD88" s="249">
        <f t="shared" si="61"/>
        <v>25</v>
      </c>
      <c r="AE88" s="43">
        <f t="shared" si="62"/>
        <v>49.758482957197934</v>
      </c>
      <c r="AF88" s="327">
        <f t="shared" si="197"/>
        <v>0.8</v>
      </c>
      <c r="AG88" s="327">
        <f t="shared" si="198"/>
        <v>1.7</v>
      </c>
      <c r="AH88" s="199">
        <f t="shared" si="175"/>
        <v>53.158482957197933</v>
      </c>
      <c r="AI88" s="237">
        <f t="shared" si="49"/>
        <v>2</v>
      </c>
      <c r="AJ88" s="61">
        <f t="shared" si="166"/>
        <v>0.5</v>
      </c>
      <c r="AK88" s="61"/>
      <c r="AL88" s="201">
        <f t="shared" si="196"/>
        <v>50</v>
      </c>
      <c r="AM88" s="201">
        <f t="shared" si="63"/>
        <v>35</v>
      </c>
      <c r="AN88" s="199">
        <f t="shared" si="176"/>
        <v>55.158482957197933</v>
      </c>
      <c r="AO88" s="199">
        <f t="shared" si="177"/>
        <v>2.1100000000000003</v>
      </c>
      <c r="AP88" s="199">
        <f t="shared" si="178"/>
        <v>2.6</v>
      </c>
      <c r="AQ88" s="199">
        <f t="shared" si="179"/>
        <v>60.358482957197936</v>
      </c>
      <c r="AR88" s="15">
        <f t="shared" si="180"/>
        <v>2392.7679449999996</v>
      </c>
      <c r="AS88" s="15">
        <v>0</v>
      </c>
      <c r="AT88" s="199">
        <f t="shared" si="181"/>
        <v>966.09377887282392</v>
      </c>
      <c r="AU88" s="199">
        <f t="shared" si="182"/>
        <v>109.04463068746534</v>
      </c>
      <c r="AV88" s="199">
        <f t="shared" si="183"/>
        <v>29.04845224094429</v>
      </c>
      <c r="AW88" s="199">
        <f t="shared" si="184"/>
        <v>411.68741024630305</v>
      </c>
      <c r="AX88" s="199">
        <f t="shared" si="185"/>
        <v>982.07054570856462</v>
      </c>
      <c r="AY88" s="199">
        <f t="shared" si="186"/>
        <v>726.54031746626049</v>
      </c>
      <c r="AZ88" s="199">
        <f t="shared" si="187"/>
        <v>5617.2530802223609</v>
      </c>
      <c r="BA88" s="350">
        <f t="shared" si="188"/>
        <v>2428.66</v>
      </c>
      <c r="BB88" s="264">
        <f t="shared" si="189"/>
        <v>0</v>
      </c>
      <c r="BC88" s="350">
        <f t="shared" si="190"/>
        <v>997.01</v>
      </c>
      <c r="BD88" s="350">
        <f t="shared" si="191"/>
        <v>112.53</v>
      </c>
      <c r="BE88" s="350">
        <f t="shared" si="192"/>
        <v>30.5</v>
      </c>
      <c r="BF88" s="350">
        <f t="shared" si="193"/>
        <v>424.86</v>
      </c>
      <c r="BG88" s="350">
        <f t="shared" si="194"/>
        <v>1011.53</v>
      </c>
      <c r="BH88" s="350">
        <f t="shared" si="195"/>
        <v>749.79</v>
      </c>
    </row>
    <row r="89" spans="1:60" s="240" customFormat="1" ht="12.75" customHeight="1" outlineLevel="2" x14ac:dyDescent="0.25">
      <c r="A89" s="314">
        <v>40207401</v>
      </c>
      <c r="B89" s="304" t="str">
        <f t="shared" si="126"/>
        <v>Кабель АВБШв 5*240мс (N, PE) - 1 ГОСТ 31996-2012</v>
      </c>
      <c r="C89" s="243">
        <v>5</v>
      </c>
      <c r="D89" s="227" t="s">
        <v>40</v>
      </c>
      <c r="E89" s="229">
        <v>240</v>
      </c>
      <c r="F89" s="307" t="s">
        <v>151</v>
      </c>
      <c r="G89" s="260">
        <v>19</v>
      </c>
      <c r="H89" s="23" t="s">
        <v>40</v>
      </c>
      <c r="I89" s="246">
        <v>4.0999999999999996</v>
      </c>
      <c r="J89" s="14">
        <v>230.93</v>
      </c>
      <c r="K89" s="24">
        <v>18.100000000000001</v>
      </c>
      <c r="L89" s="14">
        <v>23.2</v>
      </c>
      <c r="M89" s="14">
        <v>5</v>
      </c>
      <c r="N89" s="14">
        <v>281.52999999999997</v>
      </c>
      <c r="O89" s="14">
        <v>63.77</v>
      </c>
      <c r="P89" s="199">
        <f t="shared" si="167"/>
        <v>1.9700000000000002</v>
      </c>
      <c r="Q89" s="199">
        <f t="shared" si="168"/>
        <v>2.3000000000000003</v>
      </c>
      <c r="R89" s="247">
        <f t="shared" si="169"/>
        <v>22.040000000000003</v>
      </c>
      <c r="S89" s="23" t="s">
        <v>40</v>
      </c>
      <c r="T89" s="246">
        <f t="shared" si="170"/>
        <v>27.14</v>
      </c>
      <c r="U89" s="247">
        <f t="shared" si="171"/>
        <v>22.700000000000003</v>
      </c>
      <c r="V89" s="23" t="s">
        <v>40</v>
      </c>
      <c r="W89" s="245">
        <f t="shared" si="172"/>
        <v>27.8</v>
      </c>
      <c r="X89" s="199">
        <f t="shared" si="173"/>
        <v>55.639003603879573</v>
      </c>
      <c r="Y89" s="43">
        <f t="shared" si="153"/>
        <v>10.239003603879565</v>
      </c>
      <c r="Z89" s="218">
        <f>$Z$8</f>
        <v>2</v>
      </c>
      <c r="AA89" s="251">
        <f t="shared" si="174"/>
        <v>0.05</v>
      </c>
      <c r="AB89" s="248" t="s">
        <v>40</v>
      </c>
      <c r="AC89" s="250">
        <f t="shared" si="60"/>
        <v>60</v>
      </c>
      <c r="AD89" s="249">
        <f t="shared" si="61"/>
        <v>25</v>
      </c>
      <c r="AE89" s="43">
        <f t="shared" si="62"/>
        <v>55.839003603879576</v>
      </c>
      <c r="AF89" s="327">
        <f t="shared" si="197"/>
        <v>0.8</v>
      </c>
      <c r="AG89" s="327">
        <f t="shared" si="198"/>
        <v>1.7</v>
      </c>
      <c r="AH89" s="199">
        <f t="shared" si="175"/>
        <v>59.239003603879574</v>
      </c>
      <c r="AI89" s="237">
        <f>$AI$8</f>
        <v>2</v>
      </c>
      <c r="AJ89" s="61">
        <f t="shared" si="166"/>
        <v>0.5</v>
      </c>
      <c r="AK89" s="61"/>
      <c r="AL89" s="201">
        <f t="shared" si="196"/>
        <v>50</v>
      </c>
      <c r="AM89" s="201">
        <f t="shared" si="63"/>
        <v>35</v>
      </c>
      <c r="AN89" s="199">
        <f t="shared" si="176"/>
        <v>61.239003603879574</v>
      </c>
      <c r="AO89" s="199">
        <f t="shared" si="177"/>
        <v>2.5350000000000001</v>
      </c>
      <c r="AP89" s="199">
        <f t="shared" si="178"/>
        <v>3.1</v>
      </c>
      <c r="AQ89" s="199">
        <f t="shared" si="179"/>
        <v>67.43900360387957</v>
      </c>
      <c r="AR89" s="15">
        <f t="shared" si="180"/>
        <v>3139.3778849999999</v>
      </c>
      <c r="AS89" s="15">
        <v>0</v>
      </c>
      <c r="AT89" s="199">
        <f t="shared" si="181"/>
        <v>1211.8716176601447</v>
      </c>
      <c r="AU89" s="199">
        <f t="shared" si="182"/>
        <v>115.2745163526092</v>
      </c>
      <c r="AV89" s="199">
        <f t="shared" si="183"/>
        <v>32.605341277555603</v>
      </c>
      <c r="AW89" s="199">
        <f t="shared" si="184"/>
        <v>460.33388511544581</v>
      </c>
      <c r="AX89" s="199">
        <f t="shared" si="185"/>
        <v>1092.330285339717</v>
      </c>
      <c r="AY89" s="199">
        <f t="shared" si="186"/>
        <v>964.95401662633742</v>
      </c>
      <c r="AZ89" s="199">
        <f t="shared" si="187"/>
        <v>7016.7475473718096</v>
      </c>
      <c r="BA89" s="350">
        <f t="shared" si="188"/>
        <v>3186.47</v>
      </c>
      <c r="BB89" s="264">
        <f t="shared" si="189"/>
        <v>0</v>
      </c>
      <c r="BC89" s="350">
        <f t="shared" si="190"/>
        <v>1250.6500000000001</v>
      </c>
      <c r="BD89" s="350">
        <f t="shared" si="191"/>
        <v>118.96</v>
      </c>
      <c r="BE89" s="350">
        <f t="shared" si="192"/>
        <v>34.24</v>
      </c>
      <c r="BF89" s="350">
        <f t="shared" si="193"/>
        <v>475.06</v>
      </c>
      <c r="BG89" s="350">
        <f t="shared" si="194"/>
        <v>1125.0999999999999</v>
      </c>
      <c r="BH89" s="350">
        <f t="shared" si="195"/>
        <v>995.83</v>
      </c>
    </row>
    <row r="90" spans="1:60" s="240" customFormat="1" outlineLevel="1" x14ac:dyDescent="0.25">
      <c r="A90" s="313">
        <v>5</v>
      </c>
      <c r="B90" s="309"/>
      <c r="C90" s="231"/>
      <c r="D90" s="232"/>
      <c r="E90" s="234"/>
      <c r="F90" s="235"/>
      <c r="G90" s="222"/>
      <c r="H90" s="223"/>
      <c r="I90" s="188"/>
      <c r="J90" s="188"/>
      <c r="K90" s="224"/>
      <c r="L90" s="224"/>
      <c r="M90" s="224"/>
      <c r="N90" s="224"/>
      <c r="O90" s="224"/>
      <c r="P90" s="188"/>
      <c r="Q90" s="188"/>
      <c r="R90" s="188"/>
      <c r="S90" s="223"/>
      <c r="T90" s="223"/>
      <c r="U90" s="188"/>
      <c r="V90" s="223"/>
      <c r="W90" s="188"/>
      <c r="X90" s="188"/>
      <c r="Y90" s="225"/>
      <c r="Z90" s="222"/>
      <c r="AA90" s="226"/>
      <c r="AB90" s="225"/>
      <c r="AC90" s="236"/>
      <c r="AD90" s="236"/>
      <c r="AE90" s="225"/>
      <c r="AF90" s="188"/>
      <c r="AG90" s="188"/>
      <c r="AH90" s="188"/>
      <c r="AI90" s="236"/>
      <c r="AJ90" s="194"/>
      <c r="AK90" s="194"/>
      <c r="AL90" s="194"/>
      <c r="AM90" s="194"/>
      <c r="AN90" s="188"/>
      <c r="AO90" s="188"/>
      <c r="AP90" s="188"/>
      <c r="AQ90" s="188"/>
      <c r="AR90" s="221"/>
      <c r="AS90" s="195"/>
      <c r="AT90" s="188"/>
      <c r="AU90" s="188"/>
      <c r="AV90" s="188"/>
      <c r="AW90" s="188"/>
      <c r="AX90" s="188"/>
      <c r="AY90" s="188"/>
      <c r="AZ90" s="188"/>
    </row>
    <row r="91" spans="1:60" s="240" customFormat="1" ht="13.5" customHeight="1" x14ac:dyDescent="0.25">
      <c r="A91" s="301" t="s">
        <v>99</v>
      </c>
      <c r="B91" s="310"/>
      <c r="C91" s="306"/>
      <c r="D91" s="306"/>
      <c r="E91" s="306"/>
      <c r="F91" s="235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188"/>
      <c r="AU91" s="221"/>
      <c r="AV91" s="221"/>
      <c r="AW91" s="221"/>
      <c r="AX91" s="221"/>
      <c r="AY91" s="221"/>
      <c r="AZ91" s="221"/>
    </row>
    <row r="92" spans="1:60" ht="13.8" x14ac:dyDescent="0.25">
      <c r="F92" s="217"/>
    </row>
  </sheetData>
  <mergeCells count="54">
    <mergeCell ref="AV4:AV7"/>
    <mergeCell ref="AW4:AW7"/>
    <mergeCell ref="AY4:AY7"/>
    <mergeCell ref="AF2:AH3"/>
    <mergeCell ref="M3:M8"/>
    <mergeCell ref="N3:N8"/>
    <mergeCell ref="AT4:AT7"/>
    <mergeCell ref="AU4:AU7"/>
    <mergeCell ref="AO2:AQ3"/>
    <mergeCell ref="AO4:AP5"/>
    <mergeCell ref="AQ4:AQ5"/>
    <mergeCell ref="AO6:AO8"/>
    <mergeCell ref="AP6:AP8"/>
    <mergeCell ref="AQ6:AQ8"/>
    <mergeCell ref="AR4:AR7"/>
    <mergeCell ref="AD4:AD8"/>
    <mergeCell ref="AL4:AL8"/>
    <mergeCell ref="AJ4:AJ7"/>
    <mergeCell ref="AM4:AM7"/>
    <mergeCell ref="AA4:AC8"/>
    <mergeCell ref="P2:W2"/>
    <mergeCell ref="X2:X8"/>
    <mergeCell ref="Y2:Y8"/>
    <mergeCell ref="R3:W4"/>
    <mergeCell ref="R5:T8"/>
    <mergeCell ref="U5:W8"/>
    <mergeCell ref="B2:B8"/>
    <mergeCell ref="A2:A8"/>
    <mergeCell ref="K3:K8"/>
    <mergeCell ref="L3:L8"/>
    <mergeCell ref="P3:Q4"/>
    <mergeCell ref="P5:P8"/>
    <mergeCell ref="Q5:Q8"/>
    <mergeCell ref="J3:J8"/>
    <mergeCell ref="O3:O8"/>
    <mergeCell ref="C2:F8"/>
    <mergeCell ref="G2:I8"/>
    <mergeCell ref="J2:O2"/>
    <mergeCell ref="AZ2:AZ8"/>
    <mergeCell ref="AI2:AN3"/>
    <mergeCell ref="AN4:AN8"/>
    <mergeCell ref="AE4:AE8"/>
    <mergeCell ref="Z4:Z7"/>
    <mergeCell ref="AI4:AI7"/>
    <mergeCell ref="AF4:AG5"/>
    <mergeCell ref="AH4:AH5"/>
    <mergeCell ref="AH6:AH8"/>
    <mergeCell ref="AR3:AY3"/>
    <mergeCell ref="AR2:AY2"/>
    <mergeCell ref="AF6:AF8"/>
    <mergeCell ref="AG6:AG8"/>
    <mergeCell ref="AX4:AX7"/>
    <mergeCell ref="AS4:AS7"/>
    <mergeCell ref="Z2:AE3"/>
  </mergeCells>
  <conditionalFormatting sqref="A1:B1">
    <cfRule type="cellIs" dxfId="47" priority="22" operator="equal">
      <formula>0</formula>
    </cfRule>
  </conditionalFormatting>
  <conditionalFormatting sqref="AR2:AY3 AS8:AW8 AS4:AW4 BA2:XFD8 A2:A8 AA5:AH7 G9:I67 A90:E91 G69:I89 C3:O8 P8:AH8 P5:Y7 C2:J2 A1:XFD1 A92:XFD1048576 G90:XFD91 P2:AH4 A61:A67 C61:C67 A69:A89 C69:E89 B61:B89 A60:C60 E60:E67 J9:XFD89 A9:E59">
    <cfRule type="cellIs" dxfId="46" priority="21" operator="equal">
      <formula>0</formula>
    </cfRule>
  </conditionalFormatting>
  <conditionalFormatting sqref="AA69:AA89 AA9:AA67">
    <cfRule type="containsText" dxfId="45" priority="20" operator="containsText" text="ошибка">
      <formula>NOT(ISERROR(SEARCH("ошибка",AA9)))</formula>
    </cfRule>
  </conditionalFormatting>
  <conditionalFormatting sqref="AC69:AC89 AC9:AC67">
    <cfRule type="containsText" dxfId="44" priority="19" operator="containsText" text="ошибка">
      <formula>NOT(ISERROR(SEARCH("ошибка",AC9)))</formula>
    </cfRule>
  </conditionalFormatting>
  <conditionalFormatting sqref="AD69:AD89 AD9:AD67">
    <cfRule type="containsText" dxfId="43" priority="18" operator="containsText" text="ошибка">
      <formula>NOT(ISERROR(SEARCH("ошибка",AD9)))</formula>
    </cfRule>
  </conditionalFormatting>
  <conditionalFormatting sqref="AL69:AL89 AL9:AL67">
    <cfRule type="containsText" dxfId="42" priority="17" operator="containsText" text="ошибка">
      <formula>NOT(ISERROR(SEARCH("ошибка",AL9)))</formula>
    </cfRule>
  </conditionalFormatting>
  <conditionalFormatting sqref="AR8 AR4">
    <cfRule type="cellIs" dxfId="41" priority="15" operator="equal">
      <formula>0</formula>
    </cfRule>
  </conditionalFormatting>
  <conditionalFormatting sqref="AY8 AY4">
    <cfRule type="cellIs" dxfId="40" priority="14" operator="equal">
      <formula>0</formula>
    </cfRule>
  </conditionalFormatting>
  <conditionalFormatting sqref="Z48:Z67 Z69:Z80">
    <cfRule type="containsText" dxfId="39" priority="13" operator="containsText" text="ошибка">
      <formula>NOT(ISERROR(SEARCH("ошибка",Z48)))</formula>
    </cfRule>
  </conditionalFormatting>
  <conditionalFormatting sqref="B2:B8">
    <cfRule type="cellIs" dxfId="38" priority="8" operator="equal">
      <formula>0</formula>
    </cfRule>
  </conditionalFormatting>
  <conditionalFormatting sqref="A68 G68:I68 C68 E68">
    <cfRule type="cellIs" dxfId="37" priority="7" operator="equal">
      <formula>0</formula>
    </cfRule>
  </conditionalFormatting>
  <conditionalFormatting sqref="AA68">
    <cfRule type="containsText" dxfId="36" priority="6" operator="containsText" text="ошибка">
      <formula>NOT(ISERROR(SEARCH("ошибка",AA68)))</formula>
    </cfRule>
  </conditionalFormatting>
  <conditionalFormatting sqref="AC68">
    <cfRule type="containsText" dxfId="35" priority="5" operator="containsText" text="ошибка">
      <formula>NOT(ISERROR(SEARCH("ошибка",AC68)))</formula>
    </cfRule>
  </conditionalFormatting>
  <conditionalFormatting sqref="AD68">
    <cfRule type="containsText" dxfId="34" priority="4" operator="containsText" text="ошибка">
      <formula>NOT(ISERROR(SEARCH("ошибка",AD68)))</formula>
    </cfRule>
  </conditionalFormatting>
  <conditionalFormatting sqref="AL68">
    <cfRule type="containsText" dxfId="33" priority="3" operator="containsText" text="ошибка">
      <formula>NOT(ISERROR(SEARCH("ошибка",AL68)))</formula>
    </cfRule>
  </conditionalFormatting>
  <conditionalFormatting sqref="Z68">
    <cfRule type="containsText" dxfId="32" priority="2" operator="containsText" text="ошибка">
      <formula>NOT(ISERROR(SEARCH("ошибка",Z68)))</formula>
    </cfRule>
  </conditionalFormatting>
  <conditionalFormatting sqref="D60:D68">
    <cfRule type="cellIs" dxfId="3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W31"/>
  <sheetViews>
    <sheetView topLeftCell="Q4" workbookViewId="0">
      <selection activeCell="Z16" sqref="Z16"/>
    </sheetView>
  </sheetViews>
  <sheetFormatPr defaultRowHeight="13.2" x14ac:dyDescent="0.25"/>
  <cols>
    <col min="1" max="1" width="1.88671875" bestFit="1" customWidth="1"/>
    <col min="2" max="2" width="2" bestFit="1" customWidth="1"/>
    <col min="3" max="3" width="6" customWidth="1"/>
    <col min="4" max="4" width="3.33203125" customWidth="1"/>
    <col min="5" max="5" width="2" bestFit="1" customWidth="1"/>
    <col min="6" max="6" width="6" customWidth="1"/>
    <col min="8" max="9" width="7.44140625" customWidth="1"/>
    <col min="10" max="10" width="8.33203125" customWidth="1"/>
    <col min="11" max="11" width="8.6640625" customWidth="1"/>
    <col min="17" max="17" width="4.5546875" customWidth="1"/>
    <col min="18" max="18" width="4.6640625" bestFit="1" customWidth="1"/>
    <col min="19" max="19" width="2.109375" bestFit="1" customWidth="1"/>
    <col min="22" max="22" width="1.88671875" bestFit="1" customWidth="1"/>
    <col min="23" max="23" width="2" bestFit="1" customWidth="1"/>
    <col min="24" max="24" width="4.44140625" customWidth="1"/>
    <col min="25" max="25" width="8.109375" customWidth="1"/>
    <col min="26" max="26" width="8.6640625" customWidth="1"/>
    <col min="27" max="27" width="8.88671875" customWidth="1"/>
    <col min="28" max="28" width="8.5546875" customWidth="1"/>
    <col min="29" max="29" width="6.109375" customWidth="1"/>
    <col min="30" max="30" width="6" customWidth="1"/>
    <col min="41" max="43" width="0" hidden="1" customWidth="1"/>
    <col min="44" max="44" width="10.88671875" bestFit="1" customWidth="1"/>
    <col min="45" max="48" width="9.33203125" bestFit="1" customWidth="1"/>
    <col min="49" max="49" width="7.44140625" bestFit="1" customWidth="1"/>
  </cols>
  <sheetData>
    <row r="1" spans="1:49" ht="14.4" thickBot="1" x14ac:dyDescent="0.3">
      <c r="A1" s="952"/>
      <c r="B1" s="953"/>
      <c r="C1" s="953"/>
      <c r="D1" s="953"/>
      <c r="E1" s="953"/>
      <c r="F1" s="954"/>
      <c r="G1" s="940" t="s">
        <v>107</v>
      </c>
      <c r="H1" s="941"/>
      <c r="I1" s="941"/>
      <c r="J1" s="941"/>
      <c r="K1" s="941"/>
      <c r="L1" s="941"/>
      <c r="M1" s="941"/>
      <c r="N1" s="941"/>
      <c r="O1" s="928"/>
      <c r="P1" s="929"/>
      <c r="Q1" s="171"/>
      <c r="R1" s="171"/>
      <c r="S1" s="171"/>
      <c r="T1" s="171"/>
      <c r="U1" s="171"/>
      <c r="V1" s="944"/>
      <c r="W1" s="945"/>
      <c r="X1" s="945"/>
      <c r="Y1" s="945"/>
      <c r="Z1" s="940" t="s">
        <v>97</v>
      </c>
      <c r="AA1" s="941"/>
      <c r="AB1" s="941"/>
      <c r="AC1" s="941"/>
      <c r="AD1" s="941"/>
      <c r="AE1" s="941"/>
      <c r="AF1" s="941"/>
      <c r="AG1" s="941"/>
      <c r="AH1" s="941"/>
      <c r="AI1" s="941"/>
      <c r="AJ1" s="941"/>
      <c r="AK1" s="941"/>
      <c r="AL1" s="948"/>
      <c r="AM1" s="928"/>
      <c r="AN1" s="929"/>
    </row>
    <row r="2" spans="1:49" ht="14.4" thickBot="1" x14ac:dyDescent="0.3">
      <c r="A2" s="955"/>
      <c r="B2" s="956"/>
      <c r="C2" s="956"/>
      <c r="D2" s="956"/>
      <c r="E2" s="956"/>
      <c r="F2" s="957"/>
      <c r="G2" s="942"/>
      <c r="H2" s="943"/>
      <c r="I2" s="943"/>
      <c r="J2" s="943"/>
      <c r="K2" s="943"/>
      <c r="L2" s="943"/>
      <c r="M2" s="943"/>
      <c r="N2" s="943"/>
      <c r="O2" s="17" t="s">
        <v>15</v>
      </c>
      <c r="P2" s="18"/>
      <c r="Q2" s="172"/>
      <c r="R2" s="172"/>
      <c r="S2" s="172"/>
      <c r="T2" s="172"/>
      <c r="U2" s="172"/>
      <c r="V2" s="946"/>
      <c r="W2" s="947"/>
      <c r="X2" s="947"/>
      <c r="Y2" s="947"/>
      <c r="Z2" s="942"/>
      <c r="AA2" s="943"/>
      <c r="AB2" s="943"/>
      <c r="AC2" s="943"/>
      <c r="AD2" s="943"/>
      <c r="AE2" s="943"/>
      <c r="AF2" s="943"/>
      <c r="AG2" s="943"/>
      <c r="AH2" s="943"/>
      <c r="AI2" s="943"/>
      <c r="AJ2" s="943"/>
      <c r="AK2" s="943"/>
      <c r="AL2" s="949"/>
      <c r="AM2" s="928" t="s">
        <v>15</v>
      </c>
      <c r="AN2" s="929"/>
    </row>
    <row r="3" spans="1:49" ht="13.8" x14ac:dyDescent="0.25">
      <c r="A3" s="882" t="s">
        <v>7</v>
      </c>
      <c r="B3" s="894"/>
      <c r="C3" s="894"/>
      <c r="D3" s="894"/>
      <c r="E3" s="894"/>
      <c r="F3" s="894"/>
      <c r="G3" s="894"/>
      <c r="H3" s="882" t="s">
        <v>19</v>
      </c>
      <c r="I3" s="894"/>
      <c r="J3" s="883"/>
      <c r="K3" s="935" t="s">
        <v>0</v>
      </c>
      <c r="L3" s="950"/>
      <c r="M3" s="930" t="s">
        <v>23</v>
      </c>
      <c r="N3" s="931"/>
      <c r="O3" s="894" t="s">
        <v>24</v>
      </c>
      <c r="P3" s="931"/>
      <c r="Q3" s="157"/>
      <c r="R3" s="157"/>
      <c r="S3" s="157"/>
      <c r="T3" s="157"/>
      <c r="U3" s="157"/>
      <c r="V3" s="882" t="s">
        <v>7</v>
      </c>
      <c r="W3" s="894"/>
      <c r="X3" s="894"/>
      <c r="Y3" s="894"/>
      <c r="Z3" s="894"/>
      <c r="AA3" s="894"/>
      <c r="AB3" s="894"/>
      <c r="AC3" s="894"/>
      <c r="AD3" s="894"/>
      <c r="AE3" s="882" t="s">
        <v>19</v>
      </c>
      <c r="AF3" s="883"/>
      <c r="AG3" s="935" t="s">
        <v>0</v>
      </c>
      <c r="AH3" s="936"/>
      <c r="AI3" s="930" t="s">
        <v>23</v>
      </c>
      <c r="AJ3" s="939"/>
      <c r="AK3" s="939"/>
      <c r="AL3" s="931"/>
      <c r="AM3" s="930" t="s">
        <v>25</v>
      </c>
      <c r="AN3" s="931"/>
    </row>
    <row r="4" spans="1:49" ht="14.4" thickBot="1" x14ac:dyDescent="0.3">
      <c r="A4" s="884"/>
      <c r="B4" s="895"/>
      <c r="C4" s="895"/>
      <c r="D4" s="895"/>
      <c r="E4" s="895"/>
      <c r="F4" s="895"/>
      <c r="G4" s="895"/>
      <c r="H4" s="884"/>
      <c r="I4" s="895"/>
      <c r="J4" s="885"/>
      <c r="K4" s="937"/>
      <c r="L4" s="951"/>
      <c r="M4" s="932"/>
      <c r="N4" s="933"/>
      <c r="O4" s="934"/>
      <c r="P4" s="933"/>
      <c r="Q4" s="156"/>
      <c r="R4" s="156"/>
      <c r="S4" s="156"/>
      <c r="T4" s="156"/>
      <c r="U4" s="156"/>
      <c r="V4" s="884"/>
      <c r="W4" s="895"/>
      <c r="X4" s="895"/>
      <c r="Y4" s="895"/>
      <c r="Z4" s="895"/>
      <c r="AA4" s="895"/>
      <c r="AB4" s="895"/>
      <c r="AC4" s="895"/>
      <c r="AD4" s="895"/>
      <c r="AE4" s="884"/>
      <c r="AF4" s="885"/>
      <c r="AG4" s="937"/>
      <c r="AH4" s="938"/>
      <c r="AI4" s="932"/>
      <c r="AJ4" s="934"/>
      <c r="AK4" s="934"/>
      <c r="AL4" s="933"/>
      <c r="AM4" s="932"/>
      <c r="AN4" s="933"/>
    </row>
    <row r="5" spans="1:49" ht="15.75" customHeight="1" x14ac:dyDescent="0.25">
      <c r="A5" s="890" t="s">
        <v>41</v>
      </c>
      <c r="B5" s="891"/>
      <c r="C5" s="891"/>
      <c r="D5" s="891"/>
      <c r="E5" s="891"/>
      <c r="F5" s="891"/>
      <c r="G5" s="891"/>
      <c r="H5" s="898" t="s">
        <v>74</v>
      </c>
      <c r="I5" s="886"/>
      <c r="J5" s="887"/>
      <c r="K5" s="924">
        <v>3</v>
      </c>
      <c r="L5" s="925"/>
      <c r="M5" s="882" t="s">
        <v>26</v>
      </c>
      <c r="N5" s="883"/>
      <c r="O5" s="886" t="s">
        <v>45</v>
      </c>
      <c r="P5" s="887"/>
      <c r="Q5" s="154"/>
      <c r="R5" s="154"/>
      <c r="S5" s="154"/>
      <c r="T5" s="154"/>
      <c r="U5" s="154"/>
      <c r="V5" s="890" t="s">
        <v>41</v>
      </c>
      <c r="W5" s="891"/>
      <c r="X5" s="891"/>
      <c r="Y5" s="891"/>
      <c r="Z5" s="891"/>
      <c r="AA5" s="891"/>
      <c r="AB5" s="891"/>
      <c r="AC5" s="891"/>
      <c r="AD5" s="891"/>
      <c r="AE5" s="898" t="s">
        <v>74</v>
      </c>
      <c r="AF5" s="899"/>
      <c r="AG5" s="902">
        <v>3</v>
      </c>
      <c r="AH5" s="903"/>
      <c r="AI5" s="882" t="s">
        <v>26</v>
      </c>
      <c r="AJ5" s="894"/>
      <c r="AK5" s="894"/>
      <c r="AL5" s="883"/>
      <c r="AM5" s="886" t="s">
        <v>45</v>
      </c>
      <c r="AN5" s="887"/>
    </row>
    <row r="6" spans="1:49" ht="16.5" customHeight="1" thickBot="1" x14ac:dyDescent="0.3">
      <c r="A6" s="892"/>
      <c r="B6" s="893"/>
      <c r="C6" s="893"/>
      <c r="D6" s="893"/>
      <c r="E6" s="893"/>
      <c r="F6" s="893"/>
      <c r="G6" s="893"/>
      <c r="H6" s="923"/>
      <c r="I6" s="888"/>
      <c r="J6" s="889"/>
      <c r="K6" s="926"/>
      <c r="L6" s="927"/>
      <c r="M6" s="884"/>
      <c r="N6" s="885"/>
      <c r="O6" s="888"/>
      <c r="P6" s="889"/>
      <c r="Q6" s="155"/>
      <c r="R6" s="155"/>
      <c r="S6" s="155"/>
      <c r="T6" s="155"/>
      <c r="U6" s="155"/>
      <c r="V6" s="892"/>
      <c r="W6" s="893"/>
      <c r="X6" s="893"/>
      <c r="Y6" s="893"/>
      <c r="Z6" s="893"/>
      <c r="AA6" s="893"/>
      <c r="AB6" s="893"/>
      <c r="AC6" s="893"/>
      <c r="AD6" s="893"/>
      <c r="AE6" s="900"/>
      <c r="AF6" s="901"/>
      <c r="AG6" s="904"/>
      <c r="AH6" s="905"/>
      <c r="AI6" s="884"/>
      <c r="AJ6" s="895"/>
      <c r="AK6" s="895"/>
      <c r="AL6" s="885"/>
      <c r="AM6" s="888"/>
      <c r="AN6" s="889"/>
    </row>
    <row r="7" spans="1:49" x14ac:dyDescent="0.25">
      <c r="A7" s="906" t="s">
        <v>44</v>
      </c>
      <c r="B7" s="907"/>
      <c r="C7" s="907"/>
      <c r="D7" s="911" t="s">
        <v>27</v>
      </c>
      <c r="E7" s="907"/>
      <c r="F7" s="912"/>
      <c r="G7" s="915" t="s">
        <v>43</v>
      </c>
      <c r="H7" s="896" t="s">
        <v>75</v>
      </c>
      <c r="I7" s="897"/>
      <c r="J7" s="897"/>
      <c r="K7" s="917"/>
      <c r="L7" s="912" t="s">
        <v>28</v>
      </c>
      <c r="M7" s="920" t="s">
        <v>29</v>
      </c>
      <c r="N7" s="896" t="s">
        <v>76</v>
      </c>
      <c r="O7" s="897"/>
      <c r="P7" s="897"/>
      <c r="Q7" s="911" t="s">
        <v>109</v>
      </c>
      <c r="R7" s="897"/>
      <c r="S7" s="897"/>
      <c r="T7" s="897"/>
      <c r="U7" s="958"/>
      <c r="V7" s="906" t="s">
        <v>44</v>
      </c>
      <c r="W7" s="907"/>
      <c r="X7" s="912"/>
      <c r="Y7" s="897" t="s">
        <v>108</v>
      </c>
      <c r="Z7" s="897"/>
      <c r="AA7" s="897"/>
      <c r="AB7" s="960"/>
      <c r="AC7" s="962" t="s">
        <v>30</v>
      </c>
      <c r="AD7" s="963"/>
      <c r="AE7" s="963"/>
      <c r="AF7" s="963"/>
      <c r="AG7" s="963"/>
      <c r="AH7" s="963"/>
      <c r="AI7" s="963"/>
      <c r="AJ7" s="963"/>
      <c r="AK7" s="963"/>
      <c r="AL7" s="964"/>
      <c r="AM7" s="911" t="s">
        <v>71</v>
      </c>
      <c r="AN7" s="966"/>
    </row>
    <row r="8" spans="1:49" ht="13.8" thickBot="1" x14ac:dyDescent="0.3">
      <c r="A8" s="908"/>
      <c r="B8" s="803"/>
      <c r="C8" s="803"/>
      <c r="D8" s="802"/>
      <c r="E8" s="803"/>
      <c r="F8" s="807"/>
      <c r="G8" s="810"/>
      <c r="H8" s="827"/>
      <c r="I8" s="828"/>
      <c r="J8" s="828"/>
      <c r="K8" s="918"/>
      <c r="L8" s="824"/>
      <c r="M8" s="816"/>
      <c r="N8" s="822"/>
      <c r="O8" s="823"/>
      <c r="P8" s="823"/>
      <c r="Q8" s="822"/>
      <c r="R8" s="823"/>
      <c r="S8" s="823"/>
      <c r="T8" s="823"/>
      <c r="U8" s="959"/>
      <c r="V8" s="908"/>
      <c r="W8" s="803"/>
      <c r="X8" s="807"/>
      <c r="Y8" s="823"/>
      <c r="Z8" s="823"/>
      <c r="AA8" s="823"/>
      <c r="AB8" s="961"/>
      <c r="AC8" s="965"/>
      <c r="AD8" s="847"/>
      <c r="AE8" s="847"/>
      <c r="AF8" s="847"/>
      <c r="AG8" s="847"/>
      <c r="AH8" s="847"/>
      <c r="AI8" s="847"/>
      <c r="AJ8" s="847"/>
      <c r="AK8" s="847"/>
      <c r="AL8" s="848"/>
      <c r="AM8" s="802"/>
      <c r="AN8" s="967"/>
    </row>
    <row r="9" spans="1:49" ht="13.5" customHeight="1" thickBot="1" x14ac:dyDescent="0.3">
      <c r="A9" s="908"/>
      <c r="B9" s="803"/>
      <c r="C9" s="803"/>
      <c r="D9" s="802"/>
      <c r="E9" s="803"/>
      <c r="F9" s="807"/>
      <c r="G9" s="810"/>
      <c r="H9" s="831" t="s">
        <v>31</v>
      </c>
      <c r="I9" s="832"/>
      <c r="J9" s="835" t="s">
        <v>32</v>
      </c>
      <c r="K9" s="809"/>
      <c r="L9" s="824"/>
      <c r="M9" s="816"/>
      <c r="N9" s="827"/>
      <c r="O9" s="828"/>
      <c r="P9" s="828"/>
      <c r="Q9" s="969" t="s">
        <v>59</v>
      </c>
      <c r="R9" s="803" t="s">
        <v>93</v>
      </c>
      <c r="S9" s="823"/>
      <c r="T9" s="823"/>
      <c r="U9" s="967" t="s">
        <v>95</v>
      </c>
      <c r="V9" s="908"/>
      <c r="W9" s="803"/>
      <c r="X9" s="807"/>
      <c r="Y9" s="823"/>
      <c r="Z9" s="823"/>
      <c r="AA9" s="823"/>
      <c r="AB9" s="961"/>
      <c r="AC9" s="974" t="s">
        <v>17</v>
      </c>
      <c r="AD9" s="975"/>
      <c r="AE9" s="825" t="s">
        <v>77</v>
      </c>
      <c r="AF9" s="825"/>
      <c r="AG9" s="800" t="s">
        <v>33</v>
      </c>
      <c r="AH9" s="800" t="s">
        <v>78</v>
      </c>
      <c r="AI9" s="821"/>
      <c r="AJ9" s="830" t="s">
        <v>105</v>
      </c>
      <c r="AK9" s="800" t="s">
        <v>96</v>
      </c>
      <c r="AL9" s="821"/>
      <c r="AM9" s="802"/>
      <c r="AN9" s="967"/>
      <c r="AO9" s="83" t="s">
        <v>81</v>
      </c>
      <c r="AP9" s="84"/>
      <c r="AQ9" s="85">
        <v>1.4</v>
      </c>
    </row>
    <row r="10" spans="1:49" ht="13.8" thickBot="1" x14ac:dyDescent="0.3">
      <c r="A10" s="908"/>
      <c r="B10" s="803"/>
      <c r="C10" s="803"/>
      <c r="D10" s="802"/>
      <c r="E10" s="803"/>
      <c r="F10" s="807"/>
      <c r="G10" s="810"/>
      <c r="H10" s="833"/>
      <c r="I10" s="834"/>
      <c r="J10" s="837"/>
      <c r="K10" s="811"/>
      <c r="L10" s="824"/>
      <c r="M10" s="816"/>
      <c r="N10" s="831" t="s">
        <v>31</v>
      </c>
      <c r="O10" s="809"/>
      <c r="P10" s="836" t="s">
        <v>32</v>
      </c>
      <c r="Q10" s="970"/>
      <c r="R10" s="823"/>
      <c r="S10" s="823"/>
      <c r="T10" s="823"/>
      <c r="U10" s="959"/>
      <c r="V10" s="908"/>
      <c r="W10" s="803"/>
      <c r="X10" s="807"/>
      <c r="Y10" s="836" t="s">
        <v>31</v>
      </c>
      <c r="Z10" s="832"/>
      <c r="AA10" s="835" t="s">
        <v>32</v>
      </c>
      <c r="AB10" s="809"/>
      <c r="AC10" s="976"/>
      <c r="AD10" s="977"/>
      <c r="AE10" s="825"/>
      <c r="AF10" s="825"/>
      <c r="AG10" s="822"/>
      <c r="AH10" s="822"/>
      <c r="AI10" s="824"/>
      <c r="AJ10" s="840"/>
      <c r="AK10" s="822"/>
      <c r="AL10" s="824"/>
      <c r="AM10" s="802"/>
      <c r="AN10" s="967"/>
      <c r="AO10" s="82" t="s">
        <v>80</v>
      </c>
      <c r="AP10" s="82"/>
      <c r="AQ10" s="82">
        <v>1.4</v>
      </c>
    </row>
    <row r="11" spans="1:49" ht="13.8" thickBot="1" x14ac:dyDescent="0.3">
      <c r="A11" s="908"/>
      <c r="B11" s="803"/>
      <c r="C11" s="803"/>
      <c r="D11" s="802"/>
      <c r="E11" s="803"/>
      <c r="F11" s="807"/>
      <c r="G11" s="810"/>
      <c r="H11" s="815" t="s">
        <v>34</v>
      </c>
      <c r="I11" s="818" t="s">
        <v>35</v>
      </c>
      <c r="J11" s="815" t="s">
        <v>36</v>
      </c>
      <c r="K11" s="830" t="s">
        <v>37</v>
      </c>
      <c r="L11" s="824"/>
      <c r="M11" s="816"/>
      <c r="N11" s="982"/>
      <c r="O11" s="811"/>
      <c r="P11" s="983"/>
      <c r="Q11" s="970"/>
      <c r="R11" s="823"/>
      <c r="S11" s="823"/>
      <c r="T11" s="823"/>
      <c r="U11" s="959"/>
      <c r="V11" s="908"/>
      <c r="W11" s="803"/>
      <c r="X11" s="807"/>
      <c r="Y11" s="984"/>
      <c r="Z11" s="834"/>
      <c r="AA11" s="837"/>
      <c r="AB11" s="811"/>
      <c r="AC11" s="976"/>
      <c r="AD11" s="977"/>
      <c r="AE11" s="825"/>
      <c r="AF11" s="825"/>
      <c r="AG11" s="822"/>
      <c r="AH11" s="822"/>
      <c r="AI11" s="824"/>
      <c r="AJ11" s="840"/>
      <c r="AK11" s="822"/>
      <c r="AL11" s="824"/>
      <c r="AM11" s="802"/>
      <c r="AN11" s="967"/>
      <c r="AO11" s="79" t="s">
        <v>79</v>
      </c>
      <c r="AP11" s="80"/>
      <c r="AQ11" s="81">
        <v>1.34</v>
      </c>
    </row>
    <row r="12" spans="1:49" x14ac:dyDescent="0.25">
      <c r="A12" s="908"/>
      <c r="B12" s="803"/>
      <c r="C12" s="803"/>
      <c r="D12" s="802"/>
      <c r="E12" s="803"/>
      <c r="F12" s="807"/>
      <c r="G12" s="810"/>
      <c r="H12" s="816"/>
      <c r="I12" s="803"/>
      <c r="J12" s="816"/>
      <c r="K12" s="816"/>
      <c r="L12" s="824"/>
      <c r="M12" s="816"/>
      <c r="N12" s="830" t="s">
        <v>34</v>
      </c>
      <c r="O12" s="830" t="s">
        <v>38</v>
      </c>
      <c r="P12" s="800" t="s">
        <v>39</v>
      </c>
      <c r="Q12" s="970"/>
      <c r="R12" s="823"/>
      <c r="S12" s="823"/>
      <c r="T12" s="823"/>
      <c r="U12" s="959"/>
      <c r="V12" s="908"/>
      <c r="W12" s="803"/>
      <c r="X12" s="807"/>
      <c r="Y12" s="922" t="s">
        <v>34</v>
      </c>
      <c r="Z12" s="815" t="s">
        <v>35</v>
      </c>
      <c r="AA12" s="830" t="s">
        <v>36</v>
      </c>
      <c r="AB12" s="806" t="s">
        <v>37</v>
      </c>
      <c r="AC12" s="976"/>
      <c r="AD12" s="977"/>
      <c r="AE12" s="825"/>
      <c r="AF12" s="825"/>
      <c r="AG12" s="822"/>
      <c r="AH12" s="822"/>
      <c r="AI12" s="824"/>
      <c r="AJ12" s="840"/>
      <c r="AK12" s="822"/>
      <c r="AL12" s="824"/>
      <c r="AM12" s="802"/>
      <c r="AN12" s="967"/>
    </row>
    <row r="13" spans="1:49" ht="13.8" thickBot="1" x14ac:dyDescent="0.3">
      <c r="A13" s="909"/>
      <c r="B13" s="910"/>
      <c r="C13" s="910"/>
      <c r="D13" s="913"/>
      <c r="E13" s="910"/>
      <c r="F13" s="914"/>
      <c r="G13" s="916"/>
      <c r="H13" s="921"/>
      <c r="I13" s="910"/>
      <c r="J13" s="921"/>
      <c r="K13" s="921"/>
      <c r="L13" s="919"/>
      <c r="M13" s="921"/>
      <c r="N13" s="921"/>
      <c r="O13" s="921"/>
      <c r="P13" s="985"/>
      <c r="Q13" s="971"/>
      <c r="R13" s="972"/>
      <c r="S13" s="972"/>
      <c r="T13" s="972"/>
      <c r="U13" s="973"/>
      <c r="V13" s="909"/>
      <c r="W13" s="910"/>
      <c r="X13" s="914"/>
      <c r="Y13" s="914"/>
      <c r="Z13" s="921"/>
      <c r="AA13" s="921"/>
      <c r="AB13" s="914"/>
      <c r="AC13" s="934"/>
      <c r="AD13" s="978"/>
      <c r="AE13" s="981"/>
      <c r="AF13" s="981"/>
      <c r="AG13" s="979"/>
      <c r="AH13" s="979"/>
      <c r="AI13" s="919"/>
      <c r="AJ13" s="980"/>
      <c r="AK13" s="979"/>
      <c r="AL13" s="919"/>
      <c r="AM13" s="913"/>
      <c r="AN13" s="968"/>
    </row>
    <row r="14" spans="1:49" ht="13.5" customHeight="1" x14ac:dyDescent="0.25">
      <c r="A14" s="986" t="s">
        <v>98</v>
      </c>
      <c r="B14" s="987"/>
      <c r="C14" s="987"/>
      <c r="D14" s="987"/>
      <c r="E14" s="987"/>
      <c r="F14" s="987"/>
      <c r="G14" s="987"/>
      <c r="H14" s="987"/>
      <c r="I14" s="987"/>
      <c r="J14" s="987"/>
      <c r="K14" s="987"/>
      <c r="L14" s="987"/>
      <c r="M14" s="987"/>
      <c r="N14" s="987"/>
      <c r="O14" s="987"/>
      <c r="P14" s="987"/>
      <c r="Q14" s="987"/>
      <c r="R14" s="987"/>
      <c r="S14" s="987"/>
      <c r="T14" s="987"/>
      <c r="U14" s="988"/>
      <c r="V14" s="989" t="s">
        <v>98</v>
      </c>
      <c r="W14" s="990"/>
      <c r="X14" s="990"/>
      <c r="Y14" s="990"/>
      <c r="Z14" s="990"/>
      <c r="AA14" s="990"/>
      <c r="AB14" s="990"/>
      <c r="AC14" s="990"/>
      <c r="AD14" s="990"/>
      <c r="AE14" s="990"/>
      <c r="AF14" s="990"/>
      <c r="AG14" s="990"/>
      <c r="AH14" s="990"/>
      <c r="AI14" s="990"/>
      <c r="AJ14" s="990"/>
      <c r="AK14" s="990"/>
      <c r="AL14" s="990"/>
      <c r="AM14" s="990"/>
      <c r="AN14" s="991"/>
      <c r="AR14" s="180" t="s">
        <v>111</v>
      </c>
      <c r="AS14" s="180" t="s">
        <v>112</v>
      </c>
      <c r="AT14" s="180" t="s">
        <v>114</v>
      </c>
      <c r="AU14" s="180" t="s">
        <v>116</v>
      </c>
      <c r="AV14" s="180" t="s">
        <v>115</v>
      </c>
      <c r="AW14" s="180" t="s">
        <v>113</v>
      </c>
    </row>
    <row r="15" spans="1:49" x14ac:dyDescent="0.25">
      <c r="A15" s="33">
        <v>3</v>
      </c>
      <c r="B15" s="34" t="s">
        <v>40</v>
      </c>
      <c r="C15" s="35">
        <v>6</v>
      </c>
      <c r="D15" s="36">
        <v>1</v>
      </c>
      <c r="E15" s="37" t="s">
        <v>40</v>
      </c>
      <c r="F15" s="38">
        <v>2.76</v>
      </c>
      <c r="G15" s="38" t="s">
        <v>18</v>
      </c>
      <c r="H15" s="15">
        <f t="shared" ref="H15:H21" si="0">I15-(I15*0.1+0.1)</f>
        <v>1.8800000000000001</v>
      </c>
      <c r="I15" s="61">
        <f t="shared" ref="I15:I18" si="1">IF(AND(C15&gt;=1.5,C15&lt;=240),2.2,IF(C15=300,2.4,IF(C15=400,2.6,IF(C15=500,2.8,IF(C15=630,2.8,IF(C15=800,2.8,"ошибка"))))))</f>
        <v>2.2000000000000002</v>
      </c>
      <c r="J15" s="56">
        <f t="shared" ref="J15:J21" si="2">IF(D15=1,F15+2*H15,G15+2*H15)</f>
        <v>6.52</v>
      </c>
      <c r="K15" s="56">
        <f t="shared" ref="K15:K21" si="3">IF(D15=1,F15+2*I15,G15+2*I15)</f>
        <v>7.16</v>
      </c>
      <c r="L15" s="56">
        <f t="shared" ref="L15:L21" si="4">IF(A15=1,K15*1,IF(A15=2,K15*2,IF(A15=3,K15*2.15,IF(A15=4,K15*2.41,IF(A15=5,K15*2.7,"ошибка")))))</f>
        <v>15.394</v>
      </c>
      <c r="M15" s="56" t="s">
        <v>18</v>
      </c>
      <c r="N15" s="61">
        <f t="shared" ref="N15:N21" si="5">IF(L15&lt;=60,0.9,1)</f>
        <v>0.9</v>
      </c>
      <c r="O15" s="40">
        <f>IF(L15&lt;=25,1.7,IF(AND(L15&gt;25,L15&lt;=35),2,IF(AND(L15&gt;35,L15&lt;=45),2.2,IF(AND(L15&gt;45,L15&lt;=60),2.4,IF(AND(L15&gt;60,L15&lt;=80),2.5,2.7)))))</f>
        <v>1.7</v>
      </c>
      <c r="P15" s="41">
        <f t="shared" ref="P15:P21" si="6">L15+2*O15</f>
        <v>18.794</v>
      </c>
      <c r="Q15" s="173">
        <v>2</v>
      </c>
      <c r="R15" s="61">
        <f t="shared" ref="R15:R21" si="7">IF(P15&lt;=30,0.3,0.5)</f>
        <v>0.3</v>
      </c>
      <c r="S15" s="37" t="s">
        <v>40</v>
      </c>
      <c r="T15" s="176">
        <f t="shared" ref="T15:T21" si="8">IF(AND(P15&gt;8,P15&lt;=13),20,IF(AND(P15&gt;13,P15&lt;=17),25,IF(AND(P15&gt;17,P15&lt;=21),30,IF(AND(P15&gt;21,P15&lt;=26),35,IF(AND(P15&gt;26,P15&lt;=31),40,IF(AND(P15&gt;31,P15&lt;=40),45,IF(AND(P15&gt;40,P15&lt;=50),50,55)))))))</f>
        <v>30</v>
      </c>
      <c r="U15" s="175">
        <f t="shared" ref="U15:U21" si="9">P15+2*Q15*R15</f>
        <v>19.994</v>
      </c>
      <c r="V15" s="20">
        <f t="shared" ref="V15:V21" si="10">A15</f>
        <v>3</v>
      </c>
      <c r="W15" s="19" t="s">
        <v>40</v>
      </c>
      <c r="X15" s="31">
        <f t="shared" ref="X15:X21" si="11">C15</f>
        <v>6</v>
      </c>
      <c r="Y15" s="158">
        <f t="shared" ref="Y15:Y21" si="12">Z15-(0.1+0.15*Z15)</f>
        <v>1.4300000000000002</v>
      </c>
      <c r="Z15" s="152">
        <f>IF(U15&lt;=20,1.8,IF(AND(U15&gt;20,U15&lt;=30),2,IF(AND(U15&gt;30,U15&lt;=40),2.2,IF(AND(U15&gt;40,U15&lt;=50),2.4,IF(AND(U15&gt;50,U15&lt;=60),2.6,3.1)))))</f>
        <v>1.8</v>
      </c>
      <c r="AA15" s="158">
        <f t="shared" ref="AA15:AA21" si="13">U15+2*Y15</f>
        <v>22.853999999999999</v>
      </c>
      <c r="AB15" s="158">
        <f t="shared" ref="AB15:AB21" si="14">U15+2*Z15</f>
        <v>23.594000000000001</v>
      </c>
      <c r="AC15" s="877">
        <f t="shared" ref="AC15:AC17" si="15">PI()*POWER(F15,2)/4*8.89*1.007*A15*D15</f>
        <v>160.67952223911948</v>
      </c>
      <c r="AD15" s="877"/>
      <c r="AE15" s="877">
        <f t="shared" ref="AE15:AE17" si="16">IF(D15=1,PI()*(F15+I15)*I15*$AQ$11*A15*1.007,PI()*(G15+I15)*I15*$AQ$11*A15*1.007)</f>
        <v>138.77452632587898</v>
      </c>
      <c r="AF15" s="877"/>
      <c r="AG15" s="146" t="str">
        <f t="shared" ref="AG15:AG21" si="17">IF(M15="-","-",PI()*POWER(M15,2)/4*1.4)</f>
        <v>-</v>
      </c>
      <c r="AH15" s="878">
        <f t="shared" ref="AH15:AH18" si="18">(PI()*POWER(P15,2)/4-POWER(K15,2)*(5*PI()/8+SQRT(3)/4))*$AQ$9</f>
        <v>216.37776039049689</v>
      </c>
      <c r="AI15" s="879"/>
      <c r="AJ15" s="163">
        <f t="shared" ref="AJ15:AJ21" si="19">PI()*(P15+Q15*R15)*Q15*R15*0.73*7.8</f>
        <v>208.15458292659852</v>
      </c>
      <c r="AK15" s="628">
        <f t="shared" ref="AK15:AK21" si="20">PI()*(U15+Z15)*Z15*1.1*$AQ$10</f>
        <v>189.79293645035528</v>
      </c>
      <c r="AL15" s="628"/>
      <c r="AM15" s="880">
        <f>AC15+AE15+IF(AG15="-",0,AG15)+AH15+AJ15+AK15</f>
        <v>913.77932833244927</v>
      </c>
      <c r="AN15" s="881"/>
      <c r="AR15" s="182">
        <v>163.09</v>
      </c>
      <c r="AS15" s="182">
        <v>143.22</v>
      </c>
      <c r="AT15" s="182">
        <v>223.3</v>
      </c>
      <c r="AU15" s="182">
        <v>195.87</v>
      </c>
      <c r="AV15" s="182">
        <v>214.4</v>
      </c>
      <c r="AW15" s="179" t="e">
        <v>#VALUE!</v>
      </c>
    </row>
    <row r="16" spans="1:49" x14ac:dyDescent="0.25">
      <c r="A16" s="33">
        <v>3</v>
      </c>
      <c r="B16" s="34" t="s">
        <v>40</v>
      </c>
      <c r="C16" s="35">
        <v>10</v>
      </c>
      <c r="D16" s="36">
        <v>1</v>
      </c>
      <c r="E16" s="37" t="s">
        <v>40</v>
      </c>
      <c r="F16" s="38">
        <v>3.57</v>
      </c>
      <c r="G16" s="159" t="s">
        <v>18</v>
      </c>
      <c r="H16" s="15">
        <f t="shared" si="0"/>
        <v>1.8800000000000001</v>
      </c>
      <c r="I16" s="61">
        <f t="shared" si="1"/>
        <v>2.2000000000000002</v>
      </c>
      <c r="J16" s="56">
        <f t="shared" si="2"/>
        <v>7.33</v>
      </c>
      <c r="K16" s="56">
        <f t="shared" si="3"/>
        <v>7.9700000000000006</v>
      </c>
      <c r="L16" s="56">
        <f t="shared" si="4"/>
        <v>17.1355</v>
      </c>
      <c r="M16" s="56" t="s">
        <v>18</v>
      </c>
      <c r="N16" s="61">
        <f t="shared" si="5"/>
        <v>0.9</v>
      </c>
      <c r="O16" s="40">
        <f t="shared" ref="O16:O21" si="21">IF(L16&lt;=25,1.7,IF(AND(L16&gt;25,L16&lt;=35),2,IF(AND(L16&gt;35,L16&lt;=45),2.2,IF(AND(L16&gt;45,L16&lt;=60),2.4,IF(AND(L16&gt;60,L16&lt;=80),2.5,2.7)))))</f>
        <v>1.7</v>
      </c>
      <c r="P16" s="41">
        <f t="shared" si="6"/>
        <v>20.535499999999999</v>
      </c>
      <c r="Q16" s="173">
        <v>2</v>
      </c>
      <c r="R16" s="61">
        <f t="shared" si="7"/>
        <v>0.3</v>
      </c>
      <c r="S16" s="37" t="s">
        <v>40</v>
      </c>
      <c r="T16" s="176">
        <f t="shared" si="8"/>
        <v>30</v>
      </c>
      <c r="U16" s="175">
        <f t="shared" si="9"/>
        <v>21.735499999999998</v>
      </c>
      <c r="V16" s="20">
        <f t="shared" si="10"/>
        <v>3</v>
      </c>
      <c r="W16" s="19" t="s">
        <v>40</v>
      </c>
      <c r="X16" s="31">
        <f t="shared" si="11"/>
        <v>10</v>
      </c>
      <c r="Y16" s="158">
        <f t="shared" si="12"/>
        <v>1.6</v>
      </c>
      <c r="Z16" s="152">
        <f t="shared" ref="Z16:Z21" si="22">IF(U16&lt;=20,1.8,IF(AND(U16&gt;20,U16&lt;=30),2,IF(AND(U16&gt;30,U16&lt;=40),2.2,IF(AND(U16&gt;40,U16&lt;=50),2.4,IF(AND(U16&gt;50,U16&lt;=60),2.6,3.1)))))</f>
        <v>2</v>
      </c>
      <c r="AA16" s="158">
        <f t="shared" si="13"/>
        <v>24.935499999999998</v>
      </c>
      <c r="AB16" s="158">
        <f t="shared" si="14"/>
        <v>25.735499999999998</v>
      </c>
      <c r="AC16" s="877">
        <f t="shared" si="15"/>
        <v>268.83066096741157</v>
      </c>
      <c r="AD16" s="877"/>
      <c r="AE16" s="877">
        <f t="shared" si="16"/>
        <v>161.43730179441968</v>
      </c>
      <c r="AF16" s="877"/>
      <c r="AG16" s="146" t="str">
        <f t="shared" si="17"/>
        <v>-</v>
      </c>
      <c r="AH16" s="878">
        <f t="shared" si="18"/>
        <v>250.57110814908205</v>
      </c>
      <c r="AI16" s="879"/>
      <c r="AJ16" s="163">
        <f t="shared" si="19"/>
        <v>226.84599295891118</v>
      </c>
      <c r="AK16" s="628">
        <f t="shared" si="20"/>
        <v>229.66719908218403</v>
      </c>
      <c r="AL16" s="628"/>
      <c r="AM16" s="880">
        <f t="shared" ref="AM16:AM21" si="23">AC16+AE16+IF(AG16="-",0,AG16)+AH16+AJ16+AK16</f>
        <v>1137.3522629520085</v>
      </c>
      <c r="AN16" s="881"/>
      <c r="AR16" s="182">
        <v>272.86</v>
      </c>
      <c r="AS16" s="182">
        <v>166.6</v>
      </c>
      <c r="AT16" s="182">
        <v>258.58999999999997</v>
      </c>
      <c r="AU16" s="182">
        <v>237.02</v>
      </c>
      <c r="AV16" s="182">
        <v>233.65</v>
      </c>
      <c r="AW16" s="179" t="e">
        <v>#VALUE!</v>
      </c>
    </row>
    <row r="17" spans="1:49" x14ac:dyDescent="0.25">
      <c r="A17" s="33">
        <v>3</v>
      </c>
      <c r="B17" s="34" t="s">
        <v>40</v>
      </c>
      <c r="C17" s="35">
        <v>16</v>
      </c>
      <c r="D17" s="36">
        <v>1</v>
      </c>
      <c r="E17" s="37" t="s">
        <v>40</v>
      </c>
      <c r="F17" s="38">
        <v>4.5</v>
      </c>
      <c r="G17" s="159" t="s">
        <v>18</v>
      </c>
      <c r="H17" s="15">
        <f t="shared" si="0"/>
        <v>1.8800000000000001</v>
      </c>
      <c r="I17" s="61">
        <f t="shared" si="1"/>
        <v>2.2000000000000002</v>
      </c>
      <c r="J17" s="56">
        <f t="shared" si="2"/>
        <v>8.26</v>
      </c>
      <c r="K17" s="56">
        <f t="shared" si="3"/>
        <v>8.9</v>
      </c>
      <c r="L17" s="56">
        <f t="shared" si="4"/>
        <v>19.135000000000002</v>
      </c>
      <c r="M17" s="56" t="s">
        <v>18</v>
      </c>
      <c r="N17" s="61">
        <f t="shared" si="5"/>
        <v>0.9</v>
      </c>
      <c r="O17" s="40">
        <f t="shared" si="21"/>
        <v>1.7</v>
      </c>
      <c r="P17" s="41">
        <f t="shared" si="6"/>
        <v>22.535</v>
      </c>
      <c r="Q17" s="173">
        <v>2</v>
      </c>
      <c r="R17" s="61">
        <f t="shared" si="7"/>
        <v>0.3</v>
      </c>
      <c r="S17" s="37" t="s">
        <v>40</v>
      </c>
      <c r="T17" s="176">
        <f t="shared" si="8"/>
        <v>35</v>
      </c>
      <c r="U17" s="175">
        <f t="shared" si="9"/>
        <v>23.734999999999999</v>
      </c>
      <c r="V17" s="20">
        <f t="shared" si="10"/>
        <v>3</v>
      </c>
      <c r="W17" s="19" t="s">
        <v>40</v>
      </c>
      <c r="X17" s="31">
        <f t="shared" si="11"/>
        <v>16</v>
      </c>
      <c r="Y17" s="158">
        <f t="shared" si="12"/>
        <v>1.6</v>
      </c>
      <c r="Z17" s="152">
        <f t="shared" si="22"/>
        <v>2</v>
      </c>
      <c r="AA17" s="158">
        <f t="shared" si="13"/>
        <v>26.934999999999999</v>
      </c>
      <c r="AB17" s="158">
        <f t="shared" si="14"/>
        <v>27.734999999999999</v>
      </c>
      <c r="AC17" s="877">
        <f t="shared" si="15"/>
        <v>427.13719876892583</v>
      </c>
      <c r="AD17" s="877"/>
      <c r="AE17" s="877">
        <f t="shared" si="16"/>
        <v>187.45752548052201</v>
      </c>
      <c r="AF17" s="877"/>
      <c r="AG17" s="146" t="str">
        <f t="shared" si="17"/>
        <v>-</v>
      </c>
      <c r="AH17" s="878">
        <f t="shared" si="18"/>
        <v>292.6257278229557</v>
      </c>
      <c r="AI17" s="879"/>
      <c r="AJ17" s="163">
        <f t="shared" si="19"/>
        <v>248.30650077378866</v>
      </c>
      <c r="AK17" s="628">
        <f t="shared" si="20"/>
        <v>249.01457177561065</v>
      </c>
      <c r="AL17" s="628"/>
      <c r="AM17" s="880">
        <f t="shared" si="23"/>
        <v>1404.5415246218029</v>
      </c>
      <c r="AN17" s="881"/>
      <c r="AR17" s="182">
        <v>433.54</v>
      </c>
      <c r="AS17" s="182">
        <v>193.46</v>
      </c>
      <c r="AT17" s="182">
        <v>301.99</v>
      </c>
      <c r="AU17" s="182">
        <v>256.98</v>
      </c>
      <c r="AV17" s="182">
        <v>255.76</v>
      </c>
      <c r="AW17" s="179" t="e">
        <v>#VALUE!</v>
      </c>
    </row>
    <row r="18" spans="1:49" x14ac:dyDescent="0.25">
      <c r="A18" s="33">
        <v>3</v>
      </c>
      <c r="B18" s="34" t="s">
        <v>40</v>
      </c>
      <c r="C18" s="35">
        <v>16</v>
      </c>
      <c r="D18" s="36">
        <v>7</v>
      </c>
      <c r="E18" s="37" t="s">
        <v>40</v>
      </c>
      <c r="F18" s="38">
        <v>1.78</v>
      </c>
      <c r="G18" s="15">
        <v>4.8</v>
      </c>
      <c r="H18" s="15">
        <f t="shared" si="0"/>
        <v>1.8800000000000001</v>
      </c>
      <c r="I18" s="61">
        <f t="shared" si="1"/>
        <v>2.2000000000000002</v>
      </c>
      <c r="J18" s="56">
        <f t="shared" si="2"/>
        <v>8.56</v>
      </c>
      <c r="K18" s="56">
        <f t="shared" si="3"/>
        <v>9.1999999999999993</v>
      </c>
      <c r="L18" s="56">
        <f t="shared" si="4"/>
        <v>19.779999999999998</v>
      </c>
      <c r="M18" s="56" t="s">
        <v>18</v>
      </c>
      <c r="N18" s="61">
        <f t="shared" si="5"/>
        <v>0.9</v>
      </c>
      <c r="O18" s="40">
        <f t="shared" si="21"/>
        <v>1.7</v>
      </c>
      <c r="P18" s="41">
        <f t="shared" si="6"/>
        <v>23.179999999999996</v>
      </c>
      <c r="Q18" s="173">
        <v>2</v>
      </c>
      <c r="R18" s="61">
        <f t="shared" si="7"/>
        <v>0.3</v>
      </c>
      <c r="S18" s="37" t="s">
        <v>40</v>
      </c>
      <c r="T18" s="176">
        <f t="shared" si="8"/>
        <v>35</v>
      </c>
      <c r="U18" s="175">
        <f t="shared" si="9"/>
        <v>24.379999999999995</v>
      </c>
      <c r="V18" s="20">
        <f t="shared" si="10"/>
        <v>3</v>
      </c>
      <c r="W18" s="19" t="s">
        <v>40</v>
      </c>
      <c r="X18" s="31">
        <f t="shared" si="11"/>
        <v>16</v>
      </c>
      <c r="Y18" s="158">
        <f t="shared" si="12"/>
        <v>1.6</v>
      </c>
      <c r="Z18" s="152">
        <f t="shared" si="22"/>
        <v>2</v>
      </c>
      <c r="AA18" s="158">
        <f t="shared" si="13"/>
        <v>27.579999999999995</v>
      </c>
      <c r="AB18" s="158">
        <f t="shared" si="14"/>
        <v>28.379999999999995</v>
      </c>
      <c r="AC18" s="877">
        <f>PI()*POWER(F18,2)/4*8.89*1.008*A18*D18*0.89802407*1.007</f>
        <v>423.47611648045273</v>
      </c>
      <c r="AD18" s="877"/>
      <c r="AE18" s="877">
        <f t="shared" ref="AE18:AE21" si="24">IF(D18=1,PI()*(F18+I18)*I18*$AQ$11*A18*1.007*1.13,PI()*(G18+I18)*I18*$AQ$11*A18*1.007*1.13)</f>
        <v>221.31179500760135</v>
      </c>
      <c r="AF18" s="877"/>
      <c r="AG18" s="146" t="str">
        <f t="shared" si="17"/>
        <v>-</v>
      </c>
      <c r="AH18" s="878">
        <f t="shared" si="18"/>
        <v>306.82921593466443</v>
      </c>
      <c r="AI18" s="879"/>
      <c r="AJ18" s="163">
        <f t="shared" si="19"/>
        <v>255.22924523020069</v>
      </c>
      <c r="AK18" s="628">
        <f t="shared" si="20"/>
        <v>255.25565974123208</v>
      </c>
      <c r="AL18" s="628"/>
      <c r="AM18" s="880">
        <f t="shared" si="23"/>
        <v>1462.1020323941511</v>
      </c>
      <c r="AN18" s="881"/>
      <c r="AR18" s="182">
        <v>429.83</v>
      </c>
      <c r="AS18" s="182">
        <v>228.39</v>
      </c>
      <c r="AT18" s="182">
        <v>316.64999999999998</v>
      </c>
      <c r="AU18" s="182">
        <v>263.42</v>
      </c>
      <c r="AV18" s="182">
        <v>262.89</v>
      </c>
      <c r="AW18" s="179" t="e">
        <v>#VALUE!</v>
      </c>
    </row>
    <row r="19" spans="1:49" x14ac:dyDescent="0.25">
      <c r="A19" s="33">
        <v>3</v>
      </c>
      <c r="B19" s="34" t="s">
        <v>40</v>
      </c>
      <c r="C19" s="35">
        <v>25</v>
      </c>
      <c r="D19" s="36">
        <v>7</v>
      </c>
      <c r="E19" s="37" t="s">
        <v>40</v>
      </c>
      <c r="F19" s="38">
        <v>2.19</v>
      </c>
      <c r="G19" s="159">
        <v>6</v>
      </c>
      <c r="H19" s="15">
        <f t="shared" si="0"/>
        <v>1.8800000000000001</v>
      </c>
      <c r="I19" s="61">
        <f>IF(AND(C19&gt;=1.5,C19&lt;=240),2.2,IF(C19=300,2.4,IF(C19=400,2.6,IF(C19=500,2.8,IF(C19=630,2.8,IF(C19=800,2.8,"ошибка"))))))</f>
        <v>2.2000000000000002</v>
      </c>
      <c r="J19" s="56">
        <f t="shared" si="2"/>
        <v>9.76</v>
      </c>
      <c r="K19" s="56">
        <f t="shared" si="3"/>
        <v>10.4</v>
      </c>
      <c r="L19" s="56">
        <f t="shared" si="4"/>
        <v>22.36</v>
      </c>
      <c r="M19" s="56" t="s">
        <v>18</v>
      </c>
      <c r="N19" s="61">
        <f t="shared" si="5"/>
        <v>0.9</v>
      </c>
      <c r="O19" s="40">
        <f t="shared" si="21"/>
        <v>1.7</v>
      </c>
      <c r="P19" s="41">
        <f t="shared" si="6"/>
        <v>25.759999999999998</v>
      </c>
      <c r="Q19" s="173">
        <v>2</v>
      </c>
      <c r="R19" s="61">
        <f t="shared" si="7"/>
        <v>0.3</v>
      </c>
      <c r="S19" s="37" t="s">
        <v>40</v>
      </c>
      <c r="T19" s="176">
        <f t="shared" si="8"/>
        <v>35</v>
      </c>
      <c r="U19" s="175">
        <f t="shared" si="9"/>
        <v>26.959999999999997</v>
      </c>
      <c r="V19" s="20">
        <f t="shared" si="10"/>
        <v>3</v>
      </c>
      <c r="W19" s="19" t="s">
        <v>40</v>
      </c>
      <c r="X19" s="31">
        <f t="shared" si="11"/>
        <v>25</v>
      </c>
      <c r="Y19" s="158">
        <f t="shared" si="12"/>
        <v>1.6</v>
      </c>
      <c r="Z19" s="152">
        <f t="shared" si="22"/>
        <v>2</v>
      </c>
      <c r="AA19" s="158">
        <f t="shared" si="13"/>
        <v>30.159999999999997</v>
      </c>
      <c r="AB19" s="158">
        <f t="shared" si="14"/>
        <v>30.959999999999997</v>
      </c>
      <c r="AC19" s="877">
        <f>PI()*POWER(F19,2)/4*8.89*1.008*A19*D19*0.94671995*1.007</f>
        <v>675.78834651965121</v>
      </c>
      <c r="AD19" s="877"/>
      <c r="AE19" s="877">
        <f t="shared" si="24"/>
        <v>259.25095986604731</v>
      </c>
      <c r="AF19" s="877"/>
      <c r="AG19" s="146" t="str">
        <f t="shared" si="17"/>
        <v>-</v>
      </c>
      <c r="AH19" s="878">
        <f>(PI()*POWER(P19,2)/4-POWER(K19,2)*(5*PI()/8+SQRT(3)/4))*$AQ$9</f>
        <v>366.75283552929562</v>
      </c>
      <c r="AI19" s="879"/>
      <c r="AJ19" s="163">
        <f t="shared" si="19"/>
        <v>282.92022305584908</v>
      </c>
      <c r="AK19" s="628">
        <f t="shared" si="20"/>
        <v>280.22001160371804</v>
      </c>
      <c r="AL19" s="628"/>
      <c r="AM19" s="880">
        <f t="shared" si="23"/>
        <v>1864.9323765745612</v>
      </c>
      <c r="AN19" s="881"/>
      <c r="AR19" s="182">
        <v>685.93</v>
      </c>
      <c r="AS19" s="182">
        <v>267.55</v>
      </c>
      <c r="AT19" s="182">
        <v>378.49</v>
      </c>
      <c r="AU19" s="182">
        <v>289.19</v>
      </c>
      <c r="AV19" s="182">
        <v>291.41000000000003</v>
      </c>
      <c r="AW19" s="179" t="e">
        <v>#VALUE!</v>
      </c>
    </row>
    <row r="20" spans="1:49" x14ac:dyDescent="0.25">
      <c r="A20" s="33">
        <v>3</v>
      </c>
      <c r="B20" s="34" t="s">
        <v>40</v>
      </c>
      <c r="C20" s="35">
        <v>35</v>
      </c>
      <c r="D20" s="36">
        <v>7</v>
      </c>
      <c r="E20" s="37" t="s">
        <v>40</v>
      </c>
      <c r="F20" s="38">
        <v>2.59</v>
      </c>
      <c r="G20" s="159">
        <v>7</v>
      </c>
      <c r="H20" s="15">
        <f t="shared" si="0"/>
        <v>1.8800000000000001</v>
      </c>
      <c r="I20" s="61">
        <f t="shared" ref="I20:I21" si="25">IF(AND(C20&gt;=1.5,C20&lt;=240),2.2,IF(C20=300,2.4,IF(C20=400,2.6,IF(C20=500,2.8,IF(C20=630,2.8,IF(C20=800,2.8,"ошибка"))))))</f>
        <v>2.2000000000000002</v>
      </c>
      <c r="J20" s="56">
        <f t="shared" si="2"/>
        <v>10.76</v>
      </c>
      <c r="K20" s="56">
        <f t="shared" si="3"/>
        <v>11.4</v>
      </c>
      <c r="L20" s="56">
        <f t="shared" si="4"/>
        <v>24.509999999999998</v>
      </c>
      <c r="M20" s="56" t="s">
        <v>18</v>
      </c>
      <c r="N20" s="61">
        <f t="shared" si="5"/>
        <v>0.9</v>
      </c>
      <c r="O20" s="40">
        <f t="shared" si="21"/>
        <v>1.7</v>
      </c>
      <c r="P20" s="41">
        <f t="shared" si="6"/>
        <v>27.909999999999997</v>
      </c>
      <c r="Q20" s="173">
        <v>2</v>
      </c>
      <c r="R20" s="61">
        <f t="shared" si="7"/>
        <v>0.3</v>
      </c>
      <c r="S20" s="37" t="s">
        <v>40</v>
      </c>
      <c r="T20" s="176">
        <f t="shared" si="8"/>
        <v>40</v>
      </c>
      <c r="U20" s="175">
        <f t="shared" si="9"/>
        <v>29.109999999999996</v>
      </c>
      <c r="V20" s="20">
        <f t="shared" si="10"/>
        <v>3</v>
      </c>
      <c r="W20" s="19" t="s">
        <v>40</v>
      </c>
      <c r="X20" s="31">
        <f t="shared" si="11"/>
        <v>35</v>
      </c>
      <c r="Y20" s="158">
        <f t="shared" si="12"/>
        <v>1.6</v>
      </c>
      <c r="Z20" s="152">
        <f t="shared" si="22"/>
        <v>2</v>
      </c>
      <c r="AA20" s="158">
        <f t="shared" si="13"/>
        <v>32.309999999999995</v>
      </c>
      <c r="AB20" s="158">
        <f t="shared" si="14"/>
        <v>33.11</v>
      </c>
      <c r="AC20" s="877">
        <f>PI()*POWER(F20,2)/4*8.89*1.01*A20*D20*0.93071056*1.007</f>
        <v>931.05631710918976</v>
      </c>
      <c r="AD20" s="877"/>
      <c r="AE20" s="877">
        <f t="shared" si="24"/>
        <v>290.86693058141884</v>
      </c>
      <c r="AF20" s="877"/>
      <c r="AG20" s="146" t="str">
        <f t="shared" si="17"/>
        <v>-</v>
      </c>
      <c r="AH20" s="878">
        <f t="shared" ref="AH20:AH21" si="26">(PI()*POWER(P20,2)/4-POWER(K20,2)*(5*PI()/8+SQRT(3)/4))*$AQ$9</f>
        <v>420.48988948323819</v>
      </c>
      <c r="AI20" s="879"/>
      <c r="AJ20" s="163">
        <f t="shared" si="19"/>
        <v>305.99603791055603</v>
      </c>
      <c r="AK20" s="628">
        <f t="shared" si="20"/>
        <v>301.02363815578963</v>
      </c>
      <c r="AL20" s="628"/>
      <c r="AM20" s="880">
        <f t="shared" si="23"/>
        <v>2249.4328132401924</v>
      </c>
      <c r="AN20" s="881"/>
      <c r="AR20" s="182">
        <v>945.02</v>
      </c>
      <c r="AS20" s="182">
        <v>300.17</v>
      </c>
      <c r="AT20" s="182">
        <v>433.95</v>
      </c>
      <c r="AU20" s="182">
        <v>310.66000000000003</v>
      </c>
      <c r="AV20" s="182">
        <v>315.18</v>
      </c>
      <c r="AW20" s="179" t="e">
        <v>#VALUE!</v>
      </c>
    </row>
    <row r="21" spans="1:49" ht="13.8" thickBot="1" x14ac:dyDescent="0.3">
      <c r="A21" s="33">
        <v>3</v>
      </c>
      <c r="B21" s="34" t="s">
        <v>40</v>
      </c>
      <c r="C21" s="35">
        <v>50</v>
      </c>
      <c r="D21" s="36">
        <v>7</v>
      </c>
      <c r="E21" s="37" t="s">
        <v>40</v>
      </c>
      <c r="F21" s="38">
        <v>3</v>
      </c>
      <c r="G21" s="159">
        <v>8.3000000000000007</v>
      </c>
      <c r="H21" s="15">
        <f t="shared" si="0"/>
        <v>1.8800000000000001</v>
      </c>
      <c r="I21" s="61">
        <f t="shared" si="25"/>
        <v>2.2000000000000002</v>
      </c>
      <c r="J21" s="56">
        <f t="shared" si="2"/>
        <v>12.06</v>
      </c>
      <c r="K21" s="56">
        <f t="shared" si="3"/>
        <v>12.700000000000001</v>
      </c>
      <c r="L21" s="56">
        <f t="shared" si="4"/>
        <v>27.305</v>
      </c>
      <c r="M21" s="56" t="s">
        <v>18</v>
      </c>
      <c r="N21" s="61">
        <f t="shared" si="5"/>
        <v>0.9</v>
      </c>
      <c r="O21" s="40">
        <f t="shared" si="21"/>
        <v>2</v>
      </c>
      <c r="P21" s="41">
        <f t="shared" si="6"/>
        <v>31.305</v>
      </c>
      <c r="Q21" s="173">
        <v>2</v>
      </c>
      <c r="R21" s="61">
        <f t="shared" si="7"/>
        <v>0.5</v>
      </c>
      <c r="S21" s="37" t="s">
        <v>40</v>
      </c>
      <c r="T21" s="176">
        <f t="shared" si="8"/>
        <v>45</v>
      </c>
      <c r="U21" s="175">
        <f t="shared" si="9"/>
        <v>33.305</v>
      </c>
      <c r="V21" s="20">
        <f t="shared" si="10"/>
        <v>3</v>
      </c>
      <c r="W21" s="19" t="s">
        <v>40</v>
      </c>
      <c r="X21" s="31">
        <f t="shared" si="11"/>
        <v>50</v>
      </c>
      <c r="Y21" s="158">
        <f t="shared" si="12"/>
        <v>1.77</v>
      </c>
      <c r="Z21" s="152">
        <f t="shared" si="22"/>
        <v>2.2000000000000002</v>
      </c>
      <c r="AA21" s="158">
        <f t="shared" si="13"/>
        <v>36.844999999999999</v>
      </c>
      <c r="AB21" s="158">
        <f t="shared" si="14"/>
        <v>37.704999999999998</v>
      </c>
      <c r="AC21" s="877">
        <f>PI()*POWER(F21,2)/4*8.89*1.01*A21*D21*0.9189272*1.007</f>
        <v>1233.3473288309547</v>
      </c>
      <c r="AD21" s="877"/>
      <c r="AE21" s="877">
        <f t="shared" si="24"/>
        <v>331.96769251140205</v>
      </c>
      <c r="AF21" s="877"/>
      <c r="AG21" s="146" t="str">
        <f t="shared" si="17"/>
        <v>-</v>
      </c>
      <c r="AH21" s="878">
        <f t="shared" si="26"/>
        <v>536.42369596873596</v>
      </c>
      <c r="AI21" s="879"/>
      <c r="AJ21" s="163">
        <f t="shared" si="19"/>
        <v>577.87922393899873</v>
      </c>
      <c r="AK21" s="628">
        <f t="shared" si="20"/>
        <v>377.90513339741068</v>
      </c>
      <c r="AL21" s="628"/>
      <c r="AM21" s="880">
        <f t="shared" si="23"/>
        <v>3057.5230746475022</v>
      </c>
      <c r="AN21" s="881"/>
      <c r="AR21" s="182">
        <v>1251.8499999999999</v>
      </c>
      <c r="AS21" s="182">
        <v>342.59</v>
      </c>
      <c r="AT21" s="182">
        <v>553.59</v>
      </c>
      <c r="AU21" s="182">
        <v>390</v>
      </c>
      <c r="AV21" s="182">
        <v>595.22</v>
      </c>
      <c r="AW21" s="179" t="e">
        <v>#VALUE!</v>
      </c>
    </row>
    <row r="22" spans="1:49" ht="13.5" customHeight="1" thickBot="1" x14ac:dyDescent="0.3">
      <c r="A22" s="986" t="s">
        <v>99</v>
      </c>
      <c r="B22" s="987"/>
      <c r="C22" s="987"/>
      <c r="D22" s="987"/>
      <c r="E22" s="987"/>
      <c r="F22" s="987"/>
      <c r="G22" s="987"/>
      <c r="H22" s="987"/>
      <c r="I22" s="987"/>
      <c r="J22" s="987"/>
      <c r="K22" s="987"/>
      <c r="L22" s="987"/>
      <c r="M22" s="987"/>
      <c r="N22" s="987"/>
      <c r="O22" s="987"/>
      <c r="P22" s="987"/>
      <c r="Q22" s="987"/>
      <c r="R22" s="987"/>
      <c r="S22" s="987"/>
      <c r="T22" s="987"/>
      <c r="U22" s="988"/>
      <c r="V22" s="996" t="s">
        <v>99</v>
      </c>
      <c r="W22" s="997"/>
      <c r="X22" s="997"/>
      <c r="Y22" s="997"/>
      <c r="Z22" s="997"/>
      <c r="AA22" s="998"/>
      <c r="AB22" s="998"/>
      <c r="AC22" s="997"/>
      <c r="AD22" s="997"/>
      <c r="AE22" s="997"/>
      <c r="AF22" s="997"/>
      <c r="AG22" s="997"/>
      <c r="AH22" s="997"/>
      <c r="AI22" s="997"/>
      <c r="AJ22" s="997"/>
      <c r="AK22" s="998"/>
      <c r="AL22" s="998"/>
      <c r="AM22" s="998"/>
      <c r="AN22" s="999"/>
      <c r="AR22" s="180" t="s">
        <v>111</v>
      </c>
      <c r="AS22" s="180" t="s">
        <v>112</v>
      </c>
      <c r="AT22" s="180" t="s">
        <v>114</v>
      </c>
      <c r="AU22" s="180" t="s">
        <v>116</v>
      </c>
      <c r="AV22" s="180" t="s">
        <v>115</v>
      </c>
      <c r="AW22" s="180" t="s">
        <v>113</v>
      </c>
    </row>
    <row r="23" spans="1:49" ht="13.8" thickBot="1" x14ac:dyDescent="0.3">
      <c r="A23" s="993"/>
      <c r="B23" s="994"/>
      <c r="C23" s="994"/>
      <c r="D23" s="994"/>
      <c r="E23" s="994"/>
      <c r="F23" s="994"/>
      <c r="G23" s="994"/>
      <c r="H23" s="994"/>
      <c r="I23" s="994"/>
      <c r="J23" s="994"/>
      <c r="K23" s="994"/>
      <c r="L23" s="994"/>
      <c r="M23" s="994"/>
      <c r="N23" s="994"/>
      <c r="O23" s="994"/>
      <c r="P23" s="994"/>
      <c r="Q23" s="994"/>
      <c r="R23" s="994"/>
      <c r="S23" s="994"/>
      <c r="T23" s="994"/>
      <c r="U23" s="995"/>
      <c r="V23" s="996"/>
      <c r="W23" s="997"/>
      <c r="X23" s="997"/>
      <c r="Y23" s="997"/>
      <c r="Z23" s="997"/>
      <c r="AA23" s="997"/>
      <c r="AB23" s="1000"/>
      <c r="AC23" s="996" t="s">
        <v>65</v>
      </c>
      <c r="AD23" s="1000"/>
      <c r="AE23" s="996" t="s">
        <v>66</v>
      </c>
      <c r="AF23" s="1000"/>
      <c r="AG23" s="30" t="s">
        <v>67</v>
      </c>
      <c r="AH23" s="996" t="s">
        <v>68</v>
      </c>
      <c r="AI23" s="1000"/>
      <c r="AJ23" s="153" t="s">
        <v>110</v>
      </c>
      <c r="AK23" s="996" t="s">
        <v>69</v>
      </c>
      <c r="AL23" s="1000"/>
      <c r="AM23" s="996" t="s">
        <v>70</v>
      </c>
      <c r="AN23" s="1000"/>
      <c r="AR23" s="179" t="e">
        <v>#VALUE!</v>
      </c>
      <c r="AS23" s="179" t="e">
        <v>#VALUE!</v>
      </c>
      <c r="AT23" s="179" t="e">
        <v>#VALUE!</v>
      </c>
      <c r="AU23" s="179" t="e">
        <v>#VALUE!</v>
      </c>
      <c r="AV23" s="179" t="e">
        <v>#VALUE!</v>
      </c>
      <c r="AW23" s="179" t="e">
        <v>#VALUE!</v>
      </c>
    </row>
    <row r="24" spans="1:49" x14ac:dyDescent="0.25">
      <c r="A24" s="33">
        <v>3</v>
      </c>
      <c r="B24" s="34" t="s">
        <v>40</v>
      </c>
      <c r="C24" s="35">
        <v>10</v>
      </c>
      <c r="D24" s="36">
        <v>1</v>
      </c>
      <c r="E24" s="37" t="s">
        <v>40</v>
      </c>
      <c r="F24" s="38">
        <v>3.57</v>
      </c>
      <c r="G24" s="159" t="s">
        <v>18</v>
      </c>
      <c r="H24" s="15">
        <f t="shared" ref="H24:H31" si="27">I24-(I24*0.1+0.1)</f>
        <v>1.8800000000000001</v>
      </c>
      <c r="I24" s="61">
        <f t="shared" ref="I24:I31" si="28">IF(AND(C24&gt;=1.5,C24&lt;=240),2.2,IF(C24=300,2.4,IF(C24=400,2.6,IF(C24=500,2.8,IF(C24=630,2.8,IF(C24=800,2.8,"ошибка"))))))</f>
        <v>2.2000000000000002</v>
      </c>
      <c r="J24" s="61">
        <f t="shared" ref="J24:J31" si="29">IF(D24=1,F24+2*H24,G24+2*H24)</f>
        <v>7.33</v>
      </c>
      <c r="K24" s="61">
        <f t="shared" ref="K24:K31" si="30">IF(D24=1,F24+2*I24,G24+2*I24)</f>
        <v>7.9700000000000006</v>
      </c>
      <c r="L24" s="61">
        <f t="shared" ref="L24:L31" si="31">IF(A24=1,K24*1,IF(A24=2,K24*2,IF(A24=3,K24*2.15,IF(A24=4,K24*2.41,IF(A24=5,K24*2.7,"ошибка")))))</f>
        <v>17.1355</v>
      </c>
      <c r="M24" s="61" t="s">
        <v>18</v>
      </c>
      <c r="N24" s="61">
        <f t="shared" ref="N24:N25" si="32">IF(L24&lt;=60,0.9,1)</f>
        <v>0.9</v>
      </c>
      <c r="O24" s="40">
        <f t="shared" ref="O24:O25" si="33">IF(L24&lt;=25,1.7,IF(AND(L24&gt;25,L24&lt;=35),2,IF(AND(L24&gt;35,L24&lt;=45),2.2,IF(AND(L24&gt;45,L24&lt;=60),2.4,IF(AND(L24&gt;60,L24&lt;=80),2.5,2.7)))))</f>
        <v>1.7</v>
      </c>
      <c r="P24" s="41">
        <f t="shared" ref="P24:P31" si="34">L24+2*O24</f>
        <v>20.535499999999999</v>
      </c>
      <c r="Q24" s="173">
        <v>2</v>
      </c>
      <c r="R24" s="61">
        <f t="shared" ref="R24:R31" si="35">IF(P24&lt;=30,0.3,0.5)</f>
        <v>0.3</v>
      </c>
      <c r="S24" s="37" t="s">
        <v>40</v>
      </c>
      <c r="T24" s="176">
        <f t="shared" ref="T24:T31" si="36">IF(AND(P24&gt;8,P24&lt;=13),20,IF(AND(P24&gt;13,P24&lt;=17),25,IF(AND(P24&gt;17,P24&lt;=21),30,IF(AND(P24&gt;21,P24&lt;=26),35,IF(AND(P24&gt;26,P24&lt;=31),40,IF(AND(P24&gt;31,P24&lt;=40),45,IF(AND(P24&gt;40,P24&lt;=50),50,55)))))))</f>
        <v>30</v>
      </c>
      <c r="U24" s="175">
        <f t="shared" ref="U24:U31" si="37">P24+2*Q24*R24</f>
        <v>21.735499999999998</v>
      </c>
      <c r="V24" s="32">
        <f t="shared" ref="V24:V31" si="38">A24</f>
        <v>3</v>
      </c>
      <c r="W24" s="34" t="s">
        <v>40</v>
      </c>
      <c r="X24" s="32">
        <f t="shared" ref="X24:X31" si="39">C24</f>
        <v>10</v>
      </c>
      <c r="Y24" s="159">
        <f t="shared" ref="Y24:Y31" si="40">Z24-(0.1+0.15*Z24)</f>
        <v>1.6</v>
      </c>
      <c r="Z24" s="152">
        <f t="shared" ref="Z24:Z31" si="41">IF(U24&lt;=20,1.8,IF(AND(U24&gt;20,U24&lt;=30),2,IF(AND(U24&gt;30,U24&lt;=40),2.2,IF(AND(U24&gt;40,U24&lt;=50),2.4,IF(AND(U24&gt;50,U24&lt;=60),2.6,3.1)))))</f>
        <v>2</v>
      </c>
      <c r="AA24" s="158">
        <f t="shared" ref="AA24:AA31" si="42">U24+2*Y24</f>
        <v>24.935499999999998</v>
      </c>
      <c r="AB24" s="158">
        <f t="shared" ref="AB24:AB31" si="43">U24+2*Z24</f>
        <v>25.735499999999998</v>
      </c>
      <c r="AC24" s="992">
        <f t="shared" ref="AC24:AC26" si="44">PI()*POWER(F24,2)/4*2.7*A24*D24*1.007</f>
        <v>81.647107380428707</v>
      </c>
      <c r="AD24" s="992"/>
      <c r="AE24" s="877">
        <f t="shared" ref="AE24:AE26" si="45">IF(D24=1,PI()*(F24+I24)*I24*$AQ$11*A24*1.007,PI()*(G24+I24)*I24*$AQ$11*A24*1.007)</f>
        <v>161.43730179441968</v>
      </c>
      <c r="AF24" s="877"/>
      <c r="AG24" s="146" t="str">
        <f t="shared" ref="AG24:AG31" si="46">IF(M24="-","-",PI()*POWER(M24,2)/4*1.4)</f>
        <v>-</v>
      </c>
      <c r="AH24" s="878">
        <f t="shared" ref="AH24:AH31" si="47">(PI()*POWER(P24,2)/4-POWER(K24,2)*(5*PI()/8+SQRT(3)/4))*$AQ$9</f>
        <v>250.57110814908205</v>
      </c>
      <c r="AI24" s="879"/>
      <c r="AJ24" s="163">
        <f t="shared" ref="AJ24:AJ31" si="48">PI()*(P24+Q24*R24)*Q24*R24*0.73*7.8</f>
        <v>226.84599295891118</v>
      </c>
      <c r="AK24" s="628">
        <f t="shared" ref="AK24:AK31" si="49">PI()*(U24+Z24)*Z24*1.1*$AQ$10</f>
        <v>229.66719908218403</v>
      </c>
      <c r="AL24" s="628"/>
      <c r="AM24" s="880">
        <f t="shared" ref="AM24:AM31" si="50">AC24+AE24+IF(AG24="-",0,AG24)+AH24+AJ24+AK24</f>
        <v>950.16870936502573</v>
      </c>
      <c r="AN24" s="881"/>
      <c r="AR24" s="182">
        <v>82.87</v>
      </c>
      <c r="AS24" s="182">
        <v>166.6</v>
      </c>
      <c r="AT24" s="182">
        <v>258.58999999999997</v>
      </c>
      <c r="AU24" s="182">
        <v>237.02</v>
      </c>
      <c r="AV24" s="182">
        <v>233.65</v>
      </c>
      <c r="AW24" s="179" t="e">
        <v>#VALUE!</v>
      </c>
    </row>
    <row r="25" spans="1:49" x14ac:dyDescent="0.25">
      <c r="A25" s="33">
        <v>3</v>
      </c>
      <c r="B25" s="34" t="s">
        <v>40</v>
      </c>
      <c r="C25" s="35">
        <v>16</v>
      </c>
      <c r="D25" s="36">
        <v>1</v>
      </c>
      <c r="E25" s="37" t="s">
        <v>40</v>
      </c>
      <c r="F25" s="38">
        <v>4.5</v>
      </c>
      <c r="G25" s="159" t="s">
        <v>18</v>
      </c>
      <c r="H25" s="15">
        <f t="shared" si="27"/>
        <v>1.8800000000000001</v>
      </c>
      <c r="I25" s="61">
        <f t="shared" si="28"/>
        <v>2.2000000000000002</v>
      </c>
      <c r="J25" s="61">
        <f t="shared" si="29"/>
        <v>8.26</v>
      </c>
      <c r="K25" s="61">
        <f t="shared" si="30"/>
        <v>8.9</v>
      </c>
      <c r="L25" s="61">
        <f t="shared" si="31"/>
        <v>19.135000000000002</v>
      </c>
      <c r="M25" s="61" t="s">
        <v>18</v>
      </c>
      <c r="N25" s="61">
        <f t="shared" si="32"/>
        <v>0.9</v>
      </c>
      <c r="O25" s="40">
        <f t="shared" si="33"/>
        <v>1.7</v>
      </c>
      <c r="P25" s="41">
        <f t="shared" si="34"/>
        <v>22.535</v>
      </c>
      <c r="Q25" s="173">
        <v>2</v>
      </c>
      <c r="R25" s="61">
        <f t="shared" si="35"/>
        <v>0.3</v>
      </c>
      <c r="S25" s="37" t="s">
        <v>40</v>
      </c>
      <c r="T25" s="176">
        <f t="shared" si="36"/>
        <v>35</v>
      </c>
      <c r="U25" s="175">
        <f t="shared" si="37"/>
        <v>23.734999999999999</v>
      </c>
      <c r="V25" s="32">
        <f t="shared" si="38"/>
        <v>3</v>
      </c>
      <c r="W25" s="34" t="s">
        <v>40</v>
      </c>
      <c r="X25" s="32">
        <f t="shared" si="39"/>
        <v>16</v>
      </c>
      <c r="Y25" s="159">
        <f t="shared" si="40"/>
        <v>1.6</v>
      </c>
      <c r="Z25" s="152">
        <f t="shared" si="41"/>
        <v>2</v>
      </c>
      <c r="AA25" s="158">
        <f t="shared" si="42"/>
        <v>26.934999999999999</v>
      </c>
      <c r="AB25" s="158">
        <f t="shared" si="43"/>
        <v>27.734999999999999</v>
      </c>
      <c r="AC25" s="992">
        <f t="shared" si="44"/>
        <v>129.7267082875253</v>
      </c>
      <c r="AD25" s="992"/>
      <c r="AE25" s="877">
        <f t="shared" si="45"/>
        <v>187.45752548052201</v>
      </c>
      <c r="AF25" s="877"/>
      <c r="AG25" s="146" t="str">
        <f t="shared" si="46"/>
        <v>-</v>
      </c>
      <c r="AH25" s="878">
        <f t="shared" si="47"/>
        <v>292.6257278229557</v>
      </c>
      <c r="AI25" s="879"/>
      <c r="AJ25" s="163">
        <f t="shared" si="48"/>
        <v>248.30650077378866</v>
      </c>
      <c r="AK25" s="628">
        <f t="shared" si="49"/>
        <v>249.01457177561065</v>
      </c>
      <c r="AL25" s="628"/>
      <c r="AM25" s="880">
        <f t="shared" si="50"/>
        <v>1107.1310341404023</v>
      </c>
      <c r="AN25" s="881"/>
      <c r="AR25" s="182">
        <v>131.66999999999999</v>
      </c>
      <c r="AS25" s="182">
        <v>193.46</v>
      </c>
      <c r="AT25" s="182">
        <v>301.99</v>
      </c>
      <c r="AU25" s="182">
        <v>256.98</v>
      </c>
      <c r="AV25" s="182">
        <v>255.76</v>
      </c>
      <c r="AW25" s="179" t="e">
        <v>#VALUE!</v>
      </c>
    </row>
    <row r="26" spans="1:49" x14ac:dyDescent="0.25">
      <c r="A26" s="33">
        <v>3</v>
      </c>
      <c r="B26" s="34" t="s">
        <v>40</v>
      </c>
      <c r="C26" s="35">
        <v>25</v>
      </c>
      <c r="D26" s="36">
        <v>1</v>
      </c>
      <c r="E26" s="37" t="s">
        <v>40</v>
      </c>
      <c r="F26" s="38">
        <v>5.65</v>
      </c>
      <c r="G26" s="15" t="s">
        <v>18</v>
      </c>
      <c r="H26" s="15">
        <f t="shared" si="27"/>
        <v>1.8800000000000001</v>
      </c>
      <c r="I26" s="61">
        <f t="shared" si="28"/>
        <v>2.2000000000000002</v>
      </c>
      <c r="J26" s="61">
        <f t="shared" si="29"/>
        <v>9.41</v>
      </c>
      <c r="K26" s="61">
        <f t="shared" si="30"/>
        <v>10.050000000000001</v>
      </c>
      <c r="L26" s="61">
        <f t="shared" si="31"/>
        <v>21.607500000000002</v>
      </c>
      <c r="M26" s="61" t="s">
        <v>18</v>
      </c>
      <c r="N26" s="61">
        <f>IF(L26&lt;=60,0.9,1)</f>
        <v>0.9</v>
      </c>
      <c r="O26" s="40">
        <f>IF(L26&lt;=25,1.7,IF(AND(L26&gt;25,L26&lt;=35),2,IF(AND(L26&gt;35,L26&lt;=45),2.2,IF(AND(L26&gt;45,L26&lt;=60),2.4,IF(AND(L26&gt;60,L26&lt;=80),2.5,2.7)))))</f>
        <v>1.7</v>
      </c>
      <c r="P26" s="41">
        <f t="shared" si="34"/>
        <v>25.0075</v>
      </c>
      <c r="Q26" s="173">
        <v>2</v>
      </c>
      <c r="R26" s="61">
        <f t="shared" si="35"/>
        <v>0.3</v>
      </c>
      <c r="S26" s="37" t="s">
        <v>40</v>
      </c>
      <c r="T26" s="176">
        <f t="shared" si="36"/>
        <v>35</v>
      </c>
      <c r="U26" s="175">
        <f t="shared" si="37"/>
        <v>26.2075</v>
      </c>
      <c r="V26" s="32">
        <f t="shared" si="38"/>
        <v>3</v>
      </c>
      <c r="W26" s="34" t="s">
        <v>40</v>
      </c>
      <c r="X26" s="32">
        <f t="shared" si="39"/>
        <v>25</v>
      </c>
      <c r="Y26" s="159">
        <f t="shared" si="40"/>
        <v>1.6</v>
      </c>
      <c r="Z26" s="152">
        <f t="shared" si="41"/>
        <v>2</v>
      </c>
      <c r="AA26" s="158">
        <f t="shared" si="42"/>
        <v>29.407499999999999</v>
      </c>
      <c r="AB26" s="158">
        <f t="shared" si="43"/>
        <v>30.2075</v>
      </c>
      <c r="AC26" s="992">
        <f t="shared" si="44"/>
        <v>204.50374544733472</v>
      </c>
      <c r="AD26" s="992"/>
      <c r="AE26" s="877">
        <f t="shared" si="45"/>
        <v>219.63307089882056</v>
      </c>
      <c r="AF26" s="877"/>
      <c r="AG26" s="146" t="str">
        <f t="shared" si="46"/>
        <v>-</v>
      </c>
      <c r="AH26" s="878">
        <f t="shared" si="47"/>
        <v>348.76115427171214</v>
      </c>
      <c r="AI26" s="879"/>
      <c r="AJ26" s="163">
        <f t="shared" si="48"/>
        <v>274.84368785670165</v>
      </c>
      <c r="AK26" s="628">
        <f t="shared" si="49"/>
        <v>272.93874231049296</v>
      </c>
      <c r="AL26" s="628"/>
      <c r="AM26" s="880">
        <f t="shared" si="50"/>
        <v>1320.6804007850621</v>
      </c>
      <c r="AN26" s="881"/>
      <c r="AR26" s="182">
        <v>207.57</v>
      </c>
      <c r="AS26" s="182">
        <v>226.66</v>
      </c>
      <c r="AT26" s="182">
        <v>359.92</v>
      </c>
      <c r="AU26" s="182">
        <v>281.67</v>
      </c>
      <c r="AV26" s="182">
        <v>283.08999999999997</v>
      </c>
      <c r="AW26" s="179" t="e">
        <v>#VALUE!</v>
      </c>
    </row>
    <row r="27" spans="1:49" x14ac:dyDescent="0.25">
      <c r="A27" s="33">
        <v>3</v>
      </c>
      <c r="B27" s="34" t="s">
        <v>40</v>
      </c>
      <c r="C27" s="35">
        <v>25</v>
      </c>
      <c r="D27" s="36">
        <v>7</v>
      </c>
      <c r="E27" s="37" t="s">
        <v>40</v>
      </c>
      <c r="F27" s="38">
        <v>2.19</v>
      </c>
      <c r="G27" s="159">
        <v>6</v>
      </c>
      <c r="H27" s="15">
        <f t="shared" si="27"/>
        <v>1.8800000000000001</v>
      </c>
      <c r="I27" s="61">
        <f t="shared" si="28"/>
        <v>2.2000000000000002</v>
      </c>
      <c r="J27" s="61">
        <f t="shared" si="29"/>
        <v>9.76</v>
      </c>
      <c r="K27" s="61">
        <f t="shared" si="30"/>
        <v>10.4</v>
      </c>
      <c r="L27" s="61">
        <f t="shared" si="31"/>
        <v>22.36</v>
      </c>
      <c r="M27" s="61" t="s">
        <v>18</v>
      </c>
      <c r="N27" s="61">
        <f>IF(L27&lt;=60,0.9,1)</f>
        <v>0.9</v>
      </c>
      <c r="O27" s="40">
        <f>IF(L27&lt;=25,1.7,IF(AND(L27&gt;25,L27&lt;=35),2,IF(AND(L27&gt;35,L27&lt;=45),2.2,IF(AND(L27&gt;45,L27&lt;=60),2.4,IF(AND(L27&gt;60,L27&lt;=80),2.5,2.7)))))</f>
        <v>1.7</v>
      </c>
      <c r="P27" s="41">
        <f t="shared" si="34"/>
        <v>25.759999999999998</v>
      </c>
      <c r="Q27" s="173">
        <v>2</v>
      </c>
      <c r="R27" s="61">
        <f t="shared" si="35"/>
        <v>0.3</v>
      </c>
      <c r="S27" s="37" t="s">
        <v>40</v>
      </c>
      <c r="T27" s="176">
        <f t="shared" si="36"/>
        <v>35</v>
      </c>
      <c r="U27" s="175">
        <f t="shared" si="37"/>
        <v>26.959999999999997</v>
      </c>
      <c r="V27" s="32">
        <f t="shared" si="38"/>
        <v>3</v>
      </c>
      <c r="W27" s="34" t="s">
        <v>40</v>
      </c>
      <c r="X27" s="32">
        <f t="shared" si="39"/>
        <v>25</v>
      </c>
      <c r="Y27" s="159">
        <f t="shared" si="40"/>
        <v>1.6</v>
      </c>
      <c r="Z27" s="152">
        <f t="shared" si="41"/>
        <v>2</v>
      </c>
      <c r="AA27" s="158">
        <f t="shared" si="42"/>
        <v>30.159999999999997</v>
      </c>
      <c r="AB27" s="158">
        <f t="shared" si="43"/>
        <v>30.959999999999997</v>
      </c>
      <c r="AC27" s="992">
        <f>PI()*POWER(F27,2)/4*2.7*A27*D27*1.008*0.94672*1.007</f>
        <v>205.24506546331378</v>
      </c>
      <c r="AD27" s="992"/>
      <c r="AE27" s="877">
        <f>IF(D27=1,PI()*(F27+I27)*I27*$AQ$11*A27*1.007*1.13,PI()*(G27+I27)*I27*$AQ$11*A27*1.007*1.13)</f>
        <v>259.25095986604731</v>
      </c>
      <c r="AF27" s="877"/>
      <c r="AG27" s="146" t="str">
        <f t="shared" si="46"/>
        <v>-</v>
      </c>
      <c r="AH27" s="878">
        <f t="shared" si="47"/>
        <v>366.75283552929562</v>
      </c>
      <c r="AI27" s="879"/>
      <c r="AJ27" s="163">
        <f t="shared" si="48"/>
        <v>282.92022305584908</v>
      </c>
      <c r="AK27" s="628">
        <f t="shared" si="49"/>
        <v>280.22001160371804</v>
      </c>
      <c r="AL27" s="628"/>
      <c r="AM27" s="880">
        <f t="shared" si="50"/>
        <v>1394.3890955182237</v>
      </c>
      <c r="AN27" s="881"/>
      <c r="AR27" s="182">
        <v>208.32</v>
      </c>
      <c r="AS27" s="182">
        <v>267.55</v>
      </c>
      <c r="AT27" s="182">
        <v>378.49</v>
      </c>
      <c r="AU27" s="182">
        <v>289.19</v>
      </c>
      <c r="AV27" s="182">
        <v>291.41000000000003</v>
      </c>
      <c r="AW27" s="179" t="e">
        <v>#VALUE!</v>
      </c>
    </row>
    <row r="28" spans="1:49" x14ac:dyDescent="0.25">
      <c r="A28" s="33">
        <v>3</v>
      </c>
      <c r="B28" s="34" t="s">
        <v>40</v>
      </c>
      <c r="C28" s="35">
        <v>35</v>
      </c>
      <c r="D28" s="36">
        <v>1</v>
      </c>
      <c r="E28" s="37" t="s">
        <v>40</v>
      </c>
      <c r="F28" s="38">
        <v>6.67</v>
      </c>
      <c r="G28" s="159" t="s">
        <v>18</v>
      </c>
      <c r="H28" s="15">
        <f t="shared" si="27"/>
        <v>1.8800000000000001</v>
      </c>
      <c r="I28" s="61">
        <f t="shared" si="28"/>
        <v>2.2000000000000002</v>
      </c>
      <c r="J28" s="61">
        <f t="shared" si="29"/>
        <v>10.43</v>
      </c>
      <c r="K28" s="61">
        <f t="shared" si="30"/>
        <v>11.07</v>
      </c>
      <c r="L28" s="61">
        <f t="shared" si="31"/>
        <v>23.8005</v>
      </c>
      <c r="M28" s="61" t="s">
        <v>18</v>
      </c>
      <c r="N28" s="61">
        <f t="shared" ref="N28:N31" si="51">IF(L28&lt;=60,0.9,1)</f>
        <v>0.9</v>
      </c>
      <c r="O28" s="40">
        <f t="shared" ref="O28:O31" si="52">IF(L28&lt;=25,1.7,IF(AND(L28&gt;25,L28&lt;=35),2,IF(AND(L28&gt;35,L28&lt;=45),2.2,IF(AND(L28&gt;45,L28&lt;=60),2.4,IF(AND(L28&gt;60,L28&lt;=80),2.5,2.7)))))</f>
        <v>1.7</v>
      </c>
      <c r="P28" s="41">
        <f t="shared" si="34"/>
        <v>27.200499999999998</v>
      </c>
      <c r="Q28" s="173">
        <v>2</v>
      </c>
      <c r="R28" s="61">
        <f t="shared" si="35"/>
        <v>0.3</v>
      </c>
      <c r="S28" s="37" t="s">
        <v>40</v>
      </c>
      <c r="T28" s="176">
        <f t="shared" si="36"/>
        <v>40</v>
      </c>
      <c r="U28" s="175">
        <f t="shared" si="37"/>
        <v>28.400499999999997</v>
      </c>
      <c r="V28" s="32">
        <f t="shared" si="38"/>
        <v>3</v>
      </c>
      <c r="W28" s="34" t="s">
        <v>40</v>
      </c>
      <c r="X28" s="32">
        <f t="shared" si="39"/>
        <v>35</v>
      </c>
      <c r="Y28" s="159">
        <f t="shared" si="40"/>
        <v>1.6</v>
      </c>
      <c r="Z28" s="152">
        <f t="shared" si="41"/>
        <v>2</v>
      </c>
      <c r="AA28" s="158">
        <f t="shared" si="42"/>
        <v>31.600499999999997</v>
      </c>
      <c r="AB28" s="158">
        <f t="shared" si="43"/>
        <v>32.400499999999994</v>
      </c>
      <c r="AC28" s="992">
        <f>PI()*POWER(F28,2)/4*2.7*A28*D28*1.007</f>
        <v>285.00733591767329</v>
      </c>
      <c r="AD28" s="992"/>
      <c r="AE28" s="877">
        <f t="shared" ref="AE28" si="53">IF(D28=1,PI()*(F28+I28)*I28*$AQ$11*A28*1.007,PI()*(G28+I28)*I28*$AQ$11*A28*1.007)</f>
        <v>248.17138074809407</v>
      </c>
      <c r="AF28" s="877"/>
      <c r="AG28" s="146" t="str">
        <f t="shared" si="46"/>
        <v>-</v>
      </c>
      <c r="AH28" s="878">
        <f t="shared" si="47"/>
        <v>402.37469089711635</v>
      </c>
      <c r="AI28" s="879"/>
      <c r="AJ28" s="163">
        <f t="shared" si="48"/>
        <v>298.38101900850273</v>
      </c>
      <c r="AK28" s="628">
        <f t="shared" si="49"/>
        <v>294.15844139360604</v>
      </c>
      <c r="AL28" s="628"/>
      <c r="AM28" s="880">
        <f t="shared" si="50"/>
        <v>1528.0928679649924</v>
      </c>
      <c r="AN28" s="881"/>
      <c r="AR28" s="182">
        <v>289.27999999999997</v>
      </c>
      <c r="AS28" s="182">
        <v>256.11</v>
      </c>
      <c r="AT28" s="182">
        <v>415.25</v>
      </c>
      <c r="AU28" s="182">
        <v>303.57</v>
      </c>
      <c r="AV28" s="182">
        <v>307.33</v>
      </c>
      <c r="AW28" s="179" t="e">
        <v>#VALUE!</v>
      </c>
    </row>
    <row r="29" spans="1:49" x14ac:dyDescent="0.25">
      <c r="A29" s="33">
        <v>3</v>
      </c>
      <c r="B29" s="34" t="s">
        <v>40</v>
      </c>
      <c r="C29" s="35">
        <v>35</v>
      </c>
      <c r="D29" s="36">
        <v>7</v>
      </c>
      <c r="E29" s="37" t="s">
        <v>40</v>
      </c>
      <c r="F29" s="38">
        <v>2.59</v>
      </c>
      <c r="G29" s="159">
        <v>7</v>
      </c>
      <c r="H29" s="15">
        <f t="shared" si="27"/>
        <v>1.8800000000000001</v>
      </c>
      <c r="I29" s="61">
        <f t="shared" si="28"/>
        <v>2.2000000000000002</v>
      </c>
      <c r="J29" s="61">
        <f t="shared" si="29"/>
        <v>10.76</v>
      </c>
      <c r="K29" s="61">
        <f t="shared" si="30"/>
        <v>11.4</v>
      </c>
      <c r="L29" s="61">
        <f t="shared" si="31"/>
        <v>24.509999999999998</v>
      </c>
      <c r="M29" s="61" t="s">
        <v>18</v>
      </c>
      <c r="N29" s="61">
        <f t="shared" si="51"/>
        <v>0.9</v>
      </c>
      <c r="O29" s="40">
        <f t="shared" si="52"/>
        <v>1.7</v>
      </c>
      <c r="P29" s="41">
        <f t="shared" si="34"/>
        <v>27.909999999999997</v>
      </c>
      <c r="Q29" s="173">
        <v>2</v>
      </c>
      <c r="R29" s="61">
        <f t="shared" si="35"/>
        <v>0.3</v>
      </c>
      <c r="S29" s="37" t="s">
        <v>40</v>
      </c>
      <c r="T29" s="176">
        <f t="shared" si="36"/>
        <v>40</v>
      </c>
      <c r="U29" s="175">
        <f t="shared" si="37"/>
        <v>29.109999999999996</v>
      </c>
      <c r="V29" s="32">
        <f t="shared" si="38"/>
        <v>3</v>
      </c>
      <c r="W29" s="34" t="s">
        <v>40</v>
      </c>
      <c r="X29" s="32">
        <f t="shared" si="39"/>
        <v>35</v>
      </c>
      <c r="Y29" s="159">
        <f t="shared" si="40"/>
        <v>1.6</v>
      </c>
      <c r="Z29" s="152">
        <f t="shared" si="41"/>
        <v>2</v>
      </c>
      <c r="AA29" s="158">
        <f t="shared" si="42"/>
        <v>32.309999999999995</v>
      </c>
      <c r="AB29" s="158">
        <f t="shared" si="43"/>
        <v>33.11</v>
      </c>
      <c r="AC29" s="992">
        <f>PI()*POWER(F29,2)/4*2.7*A29*D29*1.01*0.930711*1.007</f>
        <v>282.77314337864482</v>
      </c>
      <c r="AD29" s="992"/>
      <c r="AE29" s="877">
        <f>IF(D29=1,PI()*(F29+I29)*I29*$AQ$11*A29*1.007*1.13,PI()*(G29+I29)*I29*$AQ$11*A29*1.007*1.13)</f>
        <v>290.86693058141884</v>
      </c>
      <c r="AF29" s="877"/>
      <c r="AG29" s="146" t="str">
        <f t="shared" si="46"/>
        <v>-</v>
      </c>
      <c r="AH29" s="878">
        <f t="shared" si="47"/>
        <v>420.48988948323819</v>
      </c>
      <c r="AI29" s="879"/>
      <c r="AJ29" s="163">
        <f t="shared" si="48"/>
        <v>305.99603791055603</v>
      </c>
      <c r="AK29" s="628">
        <f t="shared" si="49"/>
        <v>301.02363815578963</v>
      </c>
      <c r="AL29" s="628"/>
      <c r="AM29" s="880">
        <f t="shared" si="50"/>
        <v>1601.1496395096474</v>
      </c>
      <c r="AN29" s="881"/>
      <c r="AR29" s="182">
        <v>287.01</v>
      </c>
      <c r="AS29" s="182">
        <v>300.17</v>
      </c>
      <c r="AT29" s="182">
        <v>433.95</v>
      </c>
      <c r="AU29" s="182">
        <v>310.66000000000003</v>
      </c>
      <c r="AV29" s="182">
        <v>315.18</v>
      </c>
      <c r="AW29" s="179" t="e">
        <v>#VALUE!</v>
      </c>
    </row>
    <row r="30" spans="1:49" x14ac:dyDescent="0.25">
      <c r="A30" s="33">
        <v>3</v>
      </c>
      <c r="B30" s="34" t="s">
        <v>40</v>
      </c>
      <c r="C30" s="35">
        <v>50</v>
      </c>
      <c r="D30" s="36">
        <v>1</v>
      </c>
      <c r="E30" s="37" t="s">
        <v>40</v>
      </c>
      <c r="F30" s="38">
        <v>7.6</v>
      </c>
      <c r="G30" s="159" t="s">
        <v>18</v>
      </c>
      <c r="H30" s="15">
        <f t="shared" si="27"/>
        <v>1.8800000000000001</v>
      </c>
      <c r="I30" s="61">
        <f t="shared" si="28"/>
        <v>2.2000000000000002</v>
      </c>
      <c r="J30" s="61">
        <f t="shared" si="29"/>
        <v>11.36</v>
      </c>
      <c r="K30" s="61">
        <f t="shared" si="30"/>
        <v>12</v>
      </c>
      <c r="L30" s="61">
        <f t="shared" si="31"/>
        <v>25.799999999999997</v>
      </c>
      <c r="M30" s="61" t="s">
        <v>18</v>
      </c>
      <c r="N30" s="61">
        <f t="shared" si="51"/>
        <v>0.9</v>
      </c>
      <c r="O30" s="40">
        <f t="shared" si="52"/>
        <v>2</v>
      </c>
      <c r="P30" s="41">
        <f t="shared" si="34"/>
        <v>29.799999999999997</v>
      </c>
      <c r="Q30" s="173">
        <v>2</v>
      </c>
      <c r="R30" s="61">
        <f t="shared" si="35"/>
        <v>0.3</v>
      </c>
      <c r="S30" s="37" t="s">
        <v>40</v>
      </c>
      <c r="T30" s="176">
        <f t="shared" si="36"/>
        <v>40</v>
      </c>
      <c r="U30" s="175">
        <f t="shared" si="37"/>
        <v>30.999999999999996</v>
      </c>
      <c r="V30" s="32">
        <f t="shared" si="38"/>
        <v>3</v>
      </c>
      <c r="W30" s="34" t="s">
        <v>40</v>
      </c>
      <c r="X30" s="32">
        <f t="shared" si="39"/>
        <v>50</v>
      </c>
      <c r="Y30" s="159">
        <f t="shared" si="40"/>
        <v>1.77</v>
      </c>
      <c r="Z30" s="152">
        <f t="shared" si="41"/>
        <v>2.2000000000000002</v>
      </c>
      <c r="AA30" s="158">
        <f t="shared" si="42"/>
        <v>34.54</v>
      </c>
      <c r="AB30" s="158">
        <f t="shared" si="43"/>
        <v>35.4</v>
      </c>
      <c r="AC30" s="992">
        <f>PI()*POWER(F30,2)/4*2.7*A30*D30*1.007</f>
        <v>370.02541583641784</v>
      </c>
      <c r="AD30" s="992"/>
      <c r="AE30" s="877">
        <f t="shared" ref="AE30" si="54">IF(D30=1,PI()*(F30+I30)*I30*$AQ$11*A30*1.007,PI()*(G30+I30)*I30*$AQ$11*A30*1.007)</f>
        <v>274.19160443419639</v>
      </c>
      <c r="AF30" s="877"/>
      <c r="AG30" s="146" t="str">
        <f t="shared" si="46"/>
        <v>-</v>
      </c>
      <c r="AH30" s="878">
        <f t="shared" si="47"/>
        <v>493.31494397907244</v>
      </c>
      <c r="AI30" s="879"/>
      <c r="AJ30" s="163">
        <f t="shared" si="48"/>
        <v>326.28128910841468</v>
      </c>
      <c r="AK30" s="628">
        <f t="shared" si="49"/>
        <v>353.37136822402567</v>
      </c>
      <c r="AL30" s="628"/>
      <c r="AM30" s="880">
        <f t="shared" si="50"/>
        <v>1817.1846215821272</v>
      </c>
      <c r="AN30" s="881"/>
      <c r="AR30" s="182">
        <v>375.58</v>
      </c>
      <c r="AS30" s="182">
        <v>282.97000000000003</v>
      </c>
      <c r="AT30" s="182">
        <v>509.1</v>
      </c>
      <c r="AU30" s="182">
        <v>364.68</v>
      </c>
      <c r="AV30" s="182">
        <v>336.07</v>
      </c>
      <c r="AW30" s="179" t="e">
        <v>#VALUE!</v>
      </c>
    </row>
    <row r="31" spans="1:49" x14ac:dyDescent="0.25">
      <c r="A31" s="33">
        <v>3</v>
      </c>
      <c r="B31" s="34" t="s">
        <v>40</v>
      </c>
      <c r="C31" s="35">
        <v>50</v>
      </c>
      <c r="D31" s="36">
        <v>7</v>
      </c>
      <c r="E31" s="37" t="s">
        <v>40</v>
      </c>
      <c r="F31" s="38">
        <v>3</v>
      </c>
      <c r="G31" s="159">
        <v>8.3000000000000007</v>
      </c>
      <c r="H31" s="15">
        <f t="shared" si="27"/>
        <v>1.8800000000000001</v>
      </c>
      <c r="I31" s="61">
        <f t="shared" si="28"/>
        <v>2.2000000000000002</v>
      </c>
      <c r="J31" s="61">
        <f t="shared" si="29"/>
        <v>12.06</v>
      </c>
      <c r="K31" s="61">
        <f t="shared" si="30"/>
        <v>12.700000000000001</v>
      </c>
      <c r="L31" s="61">
        <f t="shared" si="31"/>
        <v>27.305</v>
      </c>
      <c r="M31" s="61" t="s">
        <v>18</v>
      </c>
      <c r="N31" s="61">
        <f t="shared" si="51"/>
        <v>0.9</v>
      </c>
      <c r="O31" s="40">
        <f t="shared" si="52"/>
        <v>2</v>
      </c>
      <c r="P31" s="41">
        <f t="shared" si="34"/>
        <v>31.305</v>
      </c>
      <c r="Q31" s="173">
        <v>2</v>
      </c>
      <c r="R31" s="61">
        <f t="shared" si="35"/>
        <v>0.5</v>
      </c>
      <c r="S31" s="37" t="s">
        <v>40</v>
      </c>
      <c r="T31" s="176">
        <f t="shared" si="36"/>
        <v>45</v>
      </c>
      <c r="U31" s="175">
        <f t="shared" si="37"/>
        <v>33.305</v>
      </c>
      <c r="V31" s="32">
        <f t="shared" si="38"/>
        <v>3</v>
      </c>
      <c r="W31" s="34" t="s">
        <v>40</v>
      </c>
      <c r="X31" s="32">
        <f t="shared" si="39"/>
        <v>50</v>
      </c>
      <c r="Y31" s="159">
        <f t="shared" si="40"/>
        <v>1.77</v>
      </c>
      <c r="Z31" s="152">
        <f t="shared" si="41"/>
        <v>2.2000000000000002</v>
      </c>
      <c r="AA31" s="158">
        <f t="shared" si="42"/>
        <v>36.844999999999999</v>
      </c>
      <c r="AB31" s="158">
        <f t="shared" si="43"/>
        <v>37.704999999999998</v>
      </c>
      <c r="AC31" s="992">
        <f>PI()*POWER(F31,2)/4*2.7*A31*D31*1.01*0.918927*1.007</f>
        <v>374.58234680283226</v>
      </c>
      <c r="AD31" s="992"/>
      <c r="AE31" s="877">
        <f>IF(D31=1,PI()*(F31+I31)*I31*$AQ$11*A31*1.007*1.13,PI()*(G31+I31)*I31*$AQ$11*A31*1.007*1.13)</f>
        <v>331.96769251140205</v>
      </c>
      <c r="AF31" s="877"/>
      <c r="AG31" s="146" t="str">
        <f t="shared" si="46"/>
        <v>-</v>
      </c>
      <c r="AH31" s="878">
        <f t="shared" si="47"/>
        <v>536.42369596873596</v>
      </c>
      <c r="AI31" s="879"/>
      <c r="AJ31" s="163">
        <f t="shared" si="48"/>
        <v>577.87922393899873</v>
      </c>
      <c r="AK31" s="628">
        <f t="shared" si="49"/>
        <v>377.90513339741068</v>
      </c>
      <c r="AL31" s="628"/>
      <c r="AM31" s="880">
        <f t="shared" si="50"/>
        <v>2198.7580926193796</v>
      </c>
      <c r="AN31" s="881"/>
      <c r="AR31" s="182">
        <v>380.2</v>
      </c>
      <c r="AS31" s="182">
        <v>342.59</v>
      </c>
      <c r="AT31" s="182">
        <v>553.59</v>
      </c>
      <c r="AU31" s="182">
        <v>390</v>
      </c>
      <c r="AV31" s="182">
        <v>595.22</v>
      </c>
      <c r="AW31" s="179" t="e">
        <v>#VALUE!</v>
      </c>
    </row>
  </sheetData>
  <mergeCells count="150">
    <mergeCell ref="AC31:AD31"/>
    <mergeCell ref="AE31:AF31"/>
    <mergeCell ref="AH31:AI31"/>
    <mergeCell ref="AK31:AL31"/>
    <mergeCell ref="AM31:AN31"/>
    <mergeCell ref="AC29:AD29"/>
    <mergeCell ref="AE29:AF29"/>
    <mergeCell ref="AH29:AI29"/>
    <mergeCell ref="AK29:AL29"/>
    <mergeCell ref="AM29:AN29"/>
    <mergeCell ref="AC30:AD30"/>
    <mergeCell ref="AE30:AF30"/>
    <mergeCell ref="AH30:AI30"/>
    <mergeCell ref="AK30:AL30"/>
    <mergeCell ref="AM30:AN30"/>
    <mergeCell ref="AC27:AD27"/>
    <mergeCell ref="AE27:AF27"/>
    <mergeCell ref="AH27:AI27"/>
    <mergeCell ref="AK27:AL27"/>
    <mergeCell ref="AM27:AN27"/>
    <mergeCell ref="AC28:AD28"/>
    <mergeCell ref="AE28:AF28"/>
    <mergeCell ref="AH28:AI28"/>
    <mergeCell ref="AK28:AL28"/>
    <mergeCell ref="AM28:AN28"/>
    <mergeCell ref="AC25:AD25"/>
    <mergeCell ref="AE25:AF25"/>
    <mergeCell ref="AH25:AI25"/>
    <mergeCell ref="AK25:AL25"/>
    <mergeCell ref="AM25:AN25"/>
    <mergeCell ref="AC26:AD26"/>
    <mergeCell ref="AE26:AF26"/>
    <mergeCell ref="AH26:AI26"/>
    <mergeCell ref="AK26:AL26"/>
    <mergeCell ref="AM26:AN26"/>
    <mergeCell ref="AC24:AD24"/>
    <mergeCell ref="AE24:AF24"/>
    <mergeCell ref="AH24:AI24"/>
    <mergeCell ref="AK24:AL24"/>
    <mergeCell ref="AM24:AN24"/>
    <mergeCell ref="A22:U23"/>
    <mergeCell ref="V22:AN22"/>
    <mergeCell ref="V23:AB23"/>
    <mergeCell ref="AC23:AD23"/>
    <mergeCell ref="AE23:AF23"/>
    <mergeCell ref="AH23:AI23"/>
    <mergeCell ref="AK23:AL23"/>
    <mergeCell ref="AM23:AN23"/>
    <mergeCell ref="AC20:AD20"/>
    <mergeCell ref="AH20:AI20"/>
    <mergeCell ref="AK20:AL20"/>
    <mergeCell ref="AM20:AN20"/>
    <mergeCell ref="AC21:AD21"/>
    <mergeCell ref="AH21:AI21"/>
    <mergeCell ref="AK21:AL21"/>
    <mergeCell ref="AM21:AN21"/>
    <mergeCell ref="AE20:AF20"/>
    <mergeCell ref="AE21:AF21"/>
    <mergeCell ref="N10:O11"/>
    <mergeCell ref="P10:P11"/>
    <mergeCell ref="Y10:Z11"/>
    <mergeCell ref="AA10:AB11"/>
    <mergeCell ref="AK16:AL16"/>
    <mergeCell ref="AM16:AN16"/>
    <mergeCell ref="AC17:AD17"/>
    <mergeCell ref="AH17:AI17"/>
    <mergeCell ref="AK17:AL17"/>
    <mergeCell ref="AM17:AN17"/>
    <mergeCell ref="N12:N13"/>
    <mergeCell ref="O12:O13"/>
    <mergeCell ref="P12:P13"/>
    <mergeCell ref="A14:U14"/>
    <mergeCell ref="V14:AN14"/>
    <mergeCell ref="AE15:AF15"/>
    <mergeCell ref="AE16:AF16"/>
    <mergeCell ref="AC16:AD16"/>
    <mergeCell ref="AH16:AI16"/>
    <mergeCell ref="AE17:AF17"/>
    <mergeCell ref="Q7:U8"/>
    <mergeCell ref="V7:X13"/>
    <mergeCell ref="Y7:AB9"/>
    <mergeCell ref="AC7:AL8"/>
    <mergeCell ref="AM7:AN13"/>
    <mergeCell ref="Q9:Q13"/>
    <mergeCell ref="R9:T13"/>
    <mergeCell ref="U9:U13"/>
    <mergeCell ref="AC9:AD13"/>
    <mergeCell ref="AG9:AG13"/>
    <mergeCell ref="AH9:AI13"/>
    <mergeCell ref="AJ9:AJ13"/>
    <mergeCell ref="AK9:AL13"/>
    <mergeCell ref="Z12:Z13"/>
    <mergeCell ref="AE9:AF13"/>
    <mergeCell ref="AA12:AA13"/>
    <mergeCell ref="AB12:AB13"/>
    <mergeCell ref="AM1:AN1"/>
    <mergeCell ref="AM2:AN2"/>
    <mergeCell ref="M3:N4"/>
    <mergeCell ref="O3:P4"/>
    <mergeCell ref="V3:AD4"/>
    <mergeCell ref="AE3:AF4"/>
    <mergeCell ref="AG3:AH4"/>
    <mergeCell ref="AI3:AL4"/>
    <mergeCell ref="AM3:AN4"/>
    <mergeCell ref="G1:N2"/>
    <mergeCell ref="O1:P1"/>
    <mergeCell ref="V1:Y2"/>
    <mergeCell ref="Z1:AL2"/>
    <mergeCell ref="A3:G4"/>
    <mergeCell ref="H3:J4"/>
    <mergeCell ref="K3:L4"/>
    <mergeCell ref="A1:F2"/>
    <mergeCell ref="M5:N6"/>
    <mergeCell ref="O5:P6"/>
    <mergeCell ref="V5:AD6"/>
    <mergeCell ref="AI5:AL6"/>
    <mergeCell ref="AM5:AN6"/>
    <mergeCell ref="N7:P9"/>
    <mergeCell ref="AE5:AF6"/>
    <mergeCell ref="AG5:AH6"/>
    <mergeCell ref="A7:C13"/>
    <mergeCell ref="D7:F13"/>
    <mergeCell ref="G7:G13"/>
    <mergeCell ref="H7:K8"/>
    <mergeCell ref="L7:L13"/>
    <mergeCell ref="M7:M13"/>
    <mergeCell ref="H9:I10"/>
    <mergeCell ref="J9:K10"/>
    <mergeCell ref="Y12:Y13"/>
    <mergeCell ref="A5:G6"/>
    <mergeCell ref="H5:J6"/>
    <mergeCell ref="K5:L6"/>
    <mergeCell ref="H11:H13"/>
    <mergeCell ref="I11:I13"/>
    <mergeCell ref="J11:J13"/>
    <mergeCell ref="K11:K13"/>
    <mergeCell ref="AE18:AF18"/>
    <mergeCell ref="AE19:AF19"/>
    <mergeCell ref="AC19:AD19"/>
    <mergeCell ref="AH19:AI19"/>
    <mergeCell ref="AC15:AD15"/>
    <mergeCell ref="AH15:AI15"/>
    <mergeCell ref="AK15:AL15"/>
    <mergeCell ref="AM15:AN15"/>
    <mergeCell ref="AC18:AD18"/>
    <mergeCell ref="AH18:AI18"/>
    <mergeCell ref="AK18:AL18"/>
    <mergeCell ref="AM18:AN18"/>
    <mergeCell ref="AK19:AL19"/>
    <mergeCell ref="AM19:AN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M42"/>
  <sheetViews>
    <sheetView workbookViewId="0">
      <selection activeCell="N14" sqref="N14"/>
    </sheetView>
  </sheetViews>
  <sheetFormatPr defaultRowHeight="13.2" x14ac:dyDescent="0.25"/>
  <cols>
    <col min="1" max="1" width="1.88671875" bestFit="1" customWidth="1"/>
    <col min="2" max="2" width="2" bestFit="1" customWidth="1"/>
    <col min="3" max="3" width="7.44140625" customWidth="1"/>
    <col min="4" max="4" width="3.6640625" customWidth="1"/>
    <col min="5" max="5" width="2" bestFit="1" customWidth="1"/>
    <col min="6" max="6" width="5.6640625" customWidth="1"/>
    <col min="7" max="7" width="9" customWidth="1"/>
    <col min="8" max="8" width="8.88671875" customWidth="1"/>
    <col min="9" max="9" width="7" customWidth="1"/>
    <col min="10" max="11" width="8" customWidth="1"/>
    <col min="12" max="12" width="6.6640625" customWidth="1"/>
    <col min="13" max="13" width="6.5546875" customWidth="1"/>
    <col min="15" max="15" width="5.44140625" customWidth="1"/>
    <col min="16" max="16" width="2" bestFit="1" customWidth="1"/>
    <col min="17" max="17" width="4.88671875" bestFit="1" customWidth="1"/>
    <col min="18" max="18" width="5.6640625" customWidth="1"/>
    <col min="19" max="19" width="2" bestFit="1" customWidth="1"/>
    <col min="20" max="20" width="5.88671875" customWidth="1"/>
    <col min="21" max="21" width="6.88671875" customWidth="1"/>
    <col min="22" max="22" width="5.33203125" customWidth="1"/>
    <col min="23" max="23" width="6.109375" customWidth="1"/>
    <col min="26" max="26" width="5.5546875" customWidth="1"/>
    <col min="28" max="28" width="1.88671875" bestFit="1" customWidth="1"/>
    <col min="29" max="29" width="2" bestFit="1" customWidth="1"/>
    <col min="30" max="30" width="7.6640625" customWidth="1"/>
    <col min="31" max="31" width="6" customWidth="1"/>
    <col min="32" max="32" width="4.5546875" bestFit="1" customWidth="1"/>
    <col min="33" max="33" width="2.44140625" bestFit="1" customWidth="1"/>
    <col min="34" max="35" width="7.6640625" customWidth="1"/>
    <col min="36" max="36" width="7" customWidth="1"/>
    <col min="37" max="37" width="7.6640625" customWidth="1"/>
    <col min="48" max="48" width="15.88671875" customWidth="1"/>
    <col min="49" max="52" width="0" hidden="1" customWidth="1"/>
    <col min="53" max="54" width="10.88671875" bestFit="1" customWidth="1"/>
    <col min="55" max="58" width="9.33203125" bestFit="1" customWidth="1"/>
    <col min="59" max="59" width="7.33203125" bestFit="1" customWidth="1"/>
  </cols>
  <sheetData>
    <row r="1" spans="1:65" x14ac:dyDescent="0.25">
      <c r="A1" s="1"/>
      <c r="B1" s="2"/>
      <c r="C1" s="2"/>
      <c r="D1" s="2"/>
      <c r="E1" s="2"/>
      <c r="F1" s="2"/>
      <c r="G1" s="2"/>
      <c r="H1" s="2"/>
      <c r="I1" s="715" t="s">
        <v>100</v>
      </c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7"/>
      <c r="Y1" s="680"/>
      <c r="Z1" s="723"/>
      <c r="AA1" s="681"/>
      <c r="AB1" s="1"/>
      <c r="AC1" s="2"/>
      <c r="AD1" s="2"/>
      <c r="AE1" s="2"/>
      <c r="AF1" s="2"/>
      <c r="AG1" s="2"/>
      <c r="AH1" s="2"/>
      <c r="AI1" s="2"/>
      <c r="AJ1" s="2"/>
      <c r="AK1" s="2"/>
      <c r="AL1" s="740" t="s">
        <v>100</v>
      </c>
      <c r="AM1" s="741"/>
      <c r="AN1" s="741"/>
      <c r="AO1" s="741"/>
      <c r="AP1" s="741"/>
      <c r="AQ1" s="741"/>
      <c r="AR1" s="741"/>
      <c r="AS1" s="741"/>
      <c r="AT1" s="742"/>
      <c r="AU1" s="680"/>
      <c r="AV1" s="681"/>
    </row>
    <row r="2" spans="1:65" ht="13.8" thickBot="1" x14ac:dyDescent="0.3">
      <c r="A2" s="3"/>
      <c r="B2" s="4"/>
      <c r="C2" s="4"/>
      <c r="D2" s="4"/>
      <c r="E2" s="4"/>
      <c r="F2" s="4"/>
      <c r="G2" s="4"/>
      <c r="H2" s="4"/>
      <c r="I2" s="718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20"/>
      <c r="Y2" s="682" t="s">
        <v>15</v>
      </c>
      <c r="Z2" s="683"/>
      <c r="AA2" s="684"/>
      <c r="AB2" s="3"/>
      <c r="AC2" s="4"/>
      <c r="AD2" s="4"/>
      <c r="AE2" s="4"/>
      <c r="AF2" s="4"/>
      <c r="AG2" s="4"/>
      <c r="AH2" s="4"/>
      <c r="AI2" s="4"/>
      <c r="AJ2" s="4"/>
      <c r="AK2" s="4"/>
      <c r="AL2" s="743"/>
      <c r="AM2" s="744"/>
      <c r="AN2" s="744"/>
      <c r="AO2" s="744"/>
      <c r="AP2" s="744"/>
      <c r="AQ2" s="744"/>
      <c r="AR2" s="744"/>
      <c r="AS2" s="744"/>
      <c r="AT2" s="745"/>
      <c r="AU2" s="682" t="s">
        <v>15</v>
      </c>
      <c r="AV2" s="684"/>
    </row>
    <row r="3" spans="1:65" ht="27" thickBot="1" x14ac:dyDescent="0.3">
      <c r="A3" s="770" t="s">
        <v>7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695"/>
      <c r="N3" s="724" t="s">
        <v>19</v>
      </c>
      <c r="O3" s="721"/>
      <c r="P3" s="721"/>
      <c r="Q3" s="721"/>
      <c r="R3" s="721"/>
      <c r="S3" s="721"/>
      <c r="T3" s="721"/>
      <c r="U3" s="724" t="s">
        <v>0</v>
      </c>
      <c r="V3" s="721"/>
      <c r="W3" s="721"/>
      <c r="X3" s="721"/>
      <c r="Y3" s="721"/>
      <c r="Z3" s="722"/>
      <c r="AA3" s="164" t="s">
        <v>6</v>
      </c>
      <c r="AB3" s="772" t="s">
        <v>7</v>
      </c>
      <c r="AC3" s="773"/>
      <c r="AD3" s="773"/>
      <c r="AE3" s="773"/>
      <c r="AF3" s="773"/>
      <c r="AG3" s="773"/>
      <c r="AH3" s="773"/>
      <c r="AI3" s="773"/>
      <c r="AJ3" s="774"/>
      <c r="AK3" s="774"/>
      <c r="AL3" s="774"/>
      <c r="AM3" s="775"/>
      <c r="AN3" s="724" t="s">
        <v>19</v>
      </c>
      <c r="AO3" s="721"/>
      <c r="AP3" s="721"/>
      <c r="AQ3" s="721"/>
      <c r="AR3" s="721"/>
      <c r="AS3" s="722"/>
      <c r="AT3" s="724" t="s">
        <v>12</v>
      </c>
      <c r="AU3" s="722"/>
      <c r="AV3" s="164" t="s">
        <v>6</v>
      </c>
    </row>
    <row r="4" spans="1:65" x14ac:dyDescent="0.25">
      <c r="A4" s="746" t="s">
        <v>20</v>
      </c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1001"/>
      <c r="N4" s="750" t="s">
        <v>74</v>
      </c>
      <c r="O4" s="751"/>
      <c r="P4" s="751"/>
      <c r="Q4" s="751"/>
      <c r="R4" s="751"/>
      <c r="S4" s="751"/>
      <c r="T4" s="752"/>
      <c r="U4" s="756">
        <v>3</v>
      </c>
      <c r="V4" s="757"/>
      <c r="W4" s="757"/>
      <c r="X4" s="751"/>
      <c r="Y4" s="751"/>
      <c r="Z4" s="752"/>
      <c r="AA4" s="695" t="s">
        <v>42</v>
      </c>
      <c r="AB4" s="746" t="s">
        <v>20</v>
      </c>
      <c r="AC4" s="747"/>
      <c r="AD4" s="747"/>
      <c r="AE4" s="747"/>
      <c r="AF4" s="747"/>
      <c r="AG4" s="747"/>
      <c r="AH4" s="747"/>
      <c r="AI4" s="747"/>
      <c r="AJ4" s="763"/>
      <c r="AK4" s="763"/>
      <c r="AL4" s="763"/>
      <c r="AM4" s="764"/>
      <c r="AN4" s="776" t="s">
        <v>74</v>
      </c>
      <c r="AO4" s="777"/>
      <c r="AP4" s="766"/>
      <c r="AQ4" s="766"/>
      <c r="AR4" s="766"/>
      <c r="AS4" s="767"/>
      <c r="AT4" s="782" t="s">
        <v>72</v>
      </c>
      <c r="AU4" s="752"/>
      <c r="AV4" s="695" t="s">
        <v>42</v>
      </c>
    </row>
    <row r="5" spans="1:65" ht="13.8" thickBot="1" x14ac:dyDescent="0.3">
      <c r="A5" s="748"/>
      <c r="B5" s="749"/>
      <c r="C5" s="749"/>
      <c r="D5" s="749"/>
      <c r="E5" s="749"/>
      <c r="F5" s="749"/>
      <c r="G5" s="749"/>
      <c r="H5" s="749"/>
      <c r="I5" s="749"/>
      <c r="J5" s="749"/>
      <c r="K5" s="749"/>
      <c r="L5" s="749"/>
      <c r="M5" s="765"/>
      <c r="N5" s="753"/>
      <c r="O5" s="754"/>
      <c r="P5" s="754"/>
      <c r="Q5" s="754"/>
      <c r="R5" s="754"/>
      <c r="S5" s="754"/>
      <c r="T5" s="755"/>
      <c r="U5" s="758"/>
      <c r="V5" s="759"/>
      <c r="W5" s="759"/>
      <c r="X5" s="760"/>
      <c r="Y5" s="760"/>
      <c r="Z5" s="761"/>
      <c r="AA5" s="762"/>
      <c r="AB5" s="748"/>
      <c r="AC5" s="749"/>
      <c r="AD5" s="749"/>
      <c r="AE5" s="749"/>
      <c r="AF5" s="749"/>
      <c r="AG5" s="749"/>
      <c r="AH5" s="749"/>
      <c r="AI5" s="749"/>
      <c r="AJ5" s="749"/>
      <c r="AK5" s="749"/>
      <c r="AL5" s="749"/>
      <c r="AM5" s="765"/>
      <c r="AN5" s="779"/>
      <c r="AO5" s="780"/>
      <c r="AP5" s="768"/>
      <c r="AQ5" s="768"/>
      <c r="AR5" s="768"/>
      <c r="AS5" s="769"/>
      <c r="AT5" s="783"/>
      <c r="AU5" s="761"/>
      <c r="AV5" s="696"/>
    </row>
    <row r="6" spans="1:65" ht="16.5" customHeight="1" thickBot="1" x14ac:dyDescent="0.3">
      <c r="A6" s="646" t="s">
        <v>46</v>
      </c>
      <c r="B6" s="647"/>
      <c r="C6" s="648"/>
      <c r="D6" s="652" t="s">
        <v>27</v>
      </c>
      <c r="E6" s="647"/>
      <c r="F6" s="648"/>
      <c r="G6" s="727" t="s">
        <v>16</v>
      </c>
      <c r="H6" s="728"/>
      <c r="I6" s="728"/>
      <c r="J6" s="728"/>
      <c r="K6" s="729"/>
      <c r="L6" s="737" t="s">
        <v>8</v>
      </c>
      <c r="M6" s="738"/>
      <c r="N6" s="738"/>
      <c r="O6" s="738"/>
      <c r="P6" s="738"/>
      <c r="Q6" s="738"/>
      <c r="R6" s="738"/>
      <c r="S6" s="738"/>
      <c r="T6" s="739"/>
      <c r="U6" s="703" t="s">
        <v>57</v>
      </c>
      <c r="V6" s="704"/>
      <c r="W6" s="730" t="s">
        <v>88</v>
      </c>
      <c r="X6" s="662" t="s">
        <v>21</v>
      </c>
      <c r="Y6" s="653"/>
      <c r="Z6" s="662" t="s">
        <v>22</v>
      </c>
      <c r="AA6" s="697"/>
      <c r="AB6" s="646" t="s">
        <v>46</v>
      </c>
      <c r="AC6" s="647"/>
      <c r="AD6" s="648"/>
      <c r="AE6" s="652" t="s">
        <v>94</v>
      </c>
      <c r="AF6" s="647"/>
      <c r="AG6" s="647"/>
      <c r="AH6" s="647"/>
      <c r="AI6" s="648"/>
      <c r="AJ6" s="652" t="s">
        <v>62</v>
      </c>
      <c r="AK6" s="653"/>
      <c r="AL6" s="662" t="s">
        <v>63</v>
      </c>
      <c r="AM6" s="700" t="s">
        <v>9</v>
      </c>
      <c r="AN6" s="701"/>
      <c r="AO6" s="701"/>
      <c r="AP6" s="701"/>
      <c r="AQ6" s="701"/>
      <c r="AR6" s="701"/>
      <c r="AS6" s="702"/>
      <c r="AT6" s="701" t="s">
        <v>1</v>
      </c>
      <c r="AU6" s="702"/>
      <c r="AV6" s="12" t="s">
        <v>1</v>
      </c>
      <c r="AW6" s="1002" t="s">
        <v>73</v>
      </c>
      <c r="AX6" s="83" t="s">
        <v>81</v>
      </c>
      <c r="AY6" s="84"/>
      <c r="AZ6" s="85">
        <v>1.4</v>
      </c>
    </row>
    <row r="7" spans="1:65" ht="16.2" thickBot="1" x14ac:dyDescent="0.3">
      <c r="A7" s="649"/>
      <c r="B7" s="650"/>
      <c r="C7" s="651"/>
      <c r="D7" s="654"/>
      <c r="E7" s="650"/>
      <c r="F7" s="651"/>
      <c r="G7" s="685" t="s">
        <v>47</v>
      </c>
      <c r="H7" s="685" t="s">
        <v>48</v>
      </c>
      <c r="I7" s="788" t="s">
        <v>54</v>
      </c>
      <c r="J7" s="725" t="s">
        <v>55</v>
      </c>
      <c r="K7" s="726" t="s">
        <v>56</v>
      </c>
      <c r="L7" s="686" t="s">
        <v>49</v>
      </c>
      <c r="M7" s="1003"/>
      <c r="N7" s="687"/>
      <c r="O7" s="686" t="s">
        <v>52</v>
      </c>
      <c r="P7" s="707"/>
      <c r="Q7" s="707"/>
      <c r="R7" s="707"/>
      <c r="S7" s="707"/>
      <c r="T7" s="708"/>
      <c r="U7" s="705"/>
      <c r="V7" s="706"/>
      <c r="W7" s="731"/>
      <c r="X7" s="663"/>
      <c r="Y7" s="655"/>
      <c r="Z7" s="698"/>
      <c r="AA7" s="699"/>
      <c r="AB7" s="649"/>
      <c r="AC7" s="650"/>
      <c r="AD7" s="651"/>
      <c r="AE7" s="654"/>
      <c r="AF7" s="650"/>
      <c r="AG7" s="650"/>
      <c r="AH7" s="650"/>
      <c r="AI7" s="651"/>
      <c r="AJ7" s="654"/>
      <c r="AK7" s="655"/>
      <c r="AL7" s="663"/>
      <c r="AM7" s="712" t="s">
        <v>10</v>
      </c>
      <c r="AN7" s="713"/>
      <c r="AO7" s="713"/>
      <c r="AP7" s="713"/>
      <c r="AQ7" s="713"/>
      <c r="AR7" s="713"/>
      <c r="AS7" s="714"/>
      <c r="AT7" s="642" t="s">
        <v>2</v>
      </c>
      <c r="AU7" s="643"/>
      <c r="AV7" s="11" t="s">
        <v>2</v>
      </c>
      <c r="AW7" s="1002"/>
      <c r="AX7" s="82" t="s">
        <v>80</v>
      </c>
      <c r="AY7" s="82"/>
      <c r="AZ7" s="82">
        <v>1.4</v>
      </c>
    </row>
    <row r="8" spans="1:65" ht="15.75" customHeight="1" thickBot="1" x14ac:dyDescent="0.3">
      <c r="A8" s="649"/>
      <c r="B8" s="650"/>
      <c r="C8" s="651"/>
      <c r="D8" s="654"/>
      <c r="E8" s="650"/>
      <c r="F8" s="651"/>
      <c r="G8" s="685"/>
      <c r="H8" s="685"/>
      <c r="I8" s="788"/>
      <c r="J8" s="725"/>
      <c r="K8" s="726"/>
      <c r="L8" s="656"/>
      <c r="M8" s="863"/>
      <c r="N8" s="688"/>
      <c r="O8" s="709"/>
      <c r="P8" s="710"/>
      <c r="Q8" s="710"/>
      <c r="R8" s="710"/>
      <c r="S8" s="710"/>
      <c r="T8" s="711"/>
      <c r="U8" s="705"/>
      <c r="V8" s="706"/>
      <c r="W8" s="731"/>
      <c r="X8" s="663"/>
      <c r="Y8" s="655"/>
      <c r="Z8" s="698"/>
      <c r="AA8" s="699"/>
      <c r="AB8" s="649"/>
      <c r="AC8" s="650"/>
      <c r="AD8" s="651"/>
      <c r="AE8" s="1004" t="s">
        <v>59</v>
      </c>
      <c r="AF8" s="650" t="s">
        <v>93</v>
      </c>
      <c r="AG8" s="650"/>
      <c r="AH8" s="650"/>
      <c r="AI8" s="544" t="s">
        <v>61</v>
      </c>
      <c r="AJ8" s="656"/>
      <c r="AK8" s="657"/>
      <c r="AL8" s="663"/>
      <c r="AM8" s="6" t="s">
        <v>14</v>
      </c>
      <c r="AN8" s="162" t="s">
        <v>17</v>
      </c>
      <c r="AO8" s="644" t="s">
        <v>77</v>
      </c>
      <c r="AP8" s="639" t="s">
        <v>85</v>
      </c>
      <c r="AQ8" s="639" t="s">
        <v>89</v>
      </c>
      <c r="AR8" s="639" t="s">
        <v>105</v>
      </c>
      <c r="AS8" s="639" t="s">
        <v>96</v>
      </c>
      <c r="AT8" s="642" t="s">
        <v>3</v>
      </c>
      <c r="AU8" s="643"/>
      <c r="AV8" s="11" t="s">
        <v>3</v>
      </c>
      <c r="AW8" s="1002"/>
      <c r="AX8" s="79" t="s">
        <v>79</v>
      </c>
      <c r="AY8" s="80"/>
      <c r="AZ8" s="81">
        <v>1.34</v>
      </c>
    </row>
    <row r="9" spans="1:65" ht="15.6" x14ac:dyDescent="0.25">
      <c r="A9" s="649"/>
      <c r="B9" s="650"/>
      <c r="C9" s="651"/>
      <c r="D9" s="654"/>
      <c r="E9" s="650"/>
      <c r="F9" s="651"/>
      <c r="G9" s="685"/>
      <c r="H9" s="685"/>
      <c r="I9" s="788"/>
      <c r="J9" s="725"/>
      <c r="K9" s="726"/>
      <c r="L9" s="689" t="s">
        <v>50</v>
      </c>
      <c r="M9" s="694"/>
      <c r="N9" s="690" t="s">
        <v>51</v>
      </c>
      <c r="O9" s="689" t="s">
        <v>53</v>
      </c>
      <c r="P9" s="691"/>
      <c r="Q9" s="692"/>
      <c r="R9" s="693" t="s">
        <v>39</v>
      </c>
      <c r="S9" s="691"/>
      <c r="T9" s="694"/>
      <c r="U9" s="705"/>
      <c r="V9" s="706"/>
      <c r="W9" s="731"/>
      <c r="X9" s="663"/>
      <c r="Y9" s="655"/>
      <c r="Z9" s="698"/>
      <c r="AA9" s="699"/>
      <c r="AB9" s="649"/>
      <c r="AC9" s="650"/>
      <c r="AD9" s="651"/>
      <c r="AE9" s="1004"/>
      <c r="AF9" s="650"/>
      <c r="AG9" s="650"/>
      <c r="AH9" s="650"/>
      <c r="AI9" s="545"/>
      <c r="AJ9" s="658" t="s">
        <v>50</v>
      </c>
      <c r="AK9" s="660" t="s">
        <v>51</v>
      </c>
      <c r="AL9" s="663"/>
      <c r="AM9" s="7" t="s">
        <v>13</v>
      </c>
      <c r="AN9" s="16"/>
      <c r="AO9" s="645"/>
      <c r="AP9" s="640"/>
      <c r="AQ9" s="640"/>
      <c r="AR9" s="640"/>
      <c r="AS9" s="640"/>
      <c r="AT9" s="642" t="s">
        <v>11</v>
      </c>
      <c r="AU9" s="643"/>
      <c r="AV9" s="11" t="s">
        <v>4</v>
      </c>
      <c r="AW9" s="1002"/>
      <c r="AX9" t="s">
        <v>86</v>
      </c>
      <c r="AY9">
        <f>ROUND((100/(100-10)),2)</f>
        <v>1.1100000000000001</v>
      </c>
    </row>
    <row r="10" spans="1:65" ht="15.6" x14ac:dyDescent="0.25">
      <c r="A10" s="649"/>
      <c r="B10" s="650"/>
      <c r="C10" s="651"/>
      <c r="D10" s="654"/>
      <c r="E10" s="650"/>
      <c r="F10" s="651"/>
      <c r="G10" s="685"/>
      <c r="H10" s="685"/>
      <c r="I10" s="788"/>
      <c r="J10" s="725"/>
      <c r="K10" s="726"/>
      <c r="L10" s="654"/>
      <c r="M10" s="651"/>
      <c r="N10" s="685"/>
      <c r="O10" s="654"/>
      <c r="P10" s="650"/>
      <c r="Q10" s="655"/>
      <c r="R10" s="663"/>
      <c r="S10" s="650"/>
      <c r="T10" s="651"/>
      <c r="U10" s="705"/>
      <c r="V10" s="706"/>
      <c r="W10" s="731"/>
      <c r="X10" s="660" t="s">
        <v>50</v>
      </c>
      <c r="Y10" s="692" t="s">
        <v>51</v>
      </c>
      <c r="Z10" s="698"/>
      <c r="AA10" s="699"/>
      <c r="AB10" s="649"/>
      <c r="AC10" s="650"/>
      <c r="AD10" s="651"/>
      <c r="AE10" s="1004"/>
      <c r="AF10" s="650"/>
      <c r="AG10" s="650"/>
      <c r="AH10" s="650"/>
      <c r="AI10" s="545"/>
      <c r="AJ10" s="659"/>
      <c r="AK10" s="661"/>
      <c r="AL10" s="663"/>
      <c r="AM10" s="8"/>
      <c r="AN10" s="16"/>
      <c r="AO10" s="645"/>
      <c r="AP10" s="640"/>
      <c r="AQ10" s="640"/>
      <c r="AR10" s="640"/>
      <c r="AS10" s="640"/>
      <c r="AT10" s="642" t="s">
        <v>98</v>
      </c>
      <c r="AU10" s="643"/>
      <c r="AV10" s="11" t="s">
        <v>99</v>
      </c>
      <c r="AW10" s="1002"/>
    </row>
    <row r="11" spans="1:65" ht="15.6" x14ac:dyDescent="0.25">
      <c r="A11" s="649"/>
      <c r="B11" s="650"/>
      <c r="C11" s="651"/>
      <c r="D11" s="654"/>
      <c r="E11" s="650"/>
      <c r="F11" s="651"/>
      <c r="G11" s="685"/>
      <c r="H11" s="685"/>
      <c r="I11" s="788"/>
      <c r="J11" s="725"/>
      <c r="K11" s="726"/>
      <c r="L11" s="654"/>
      <c r="M11" s="651"/>
      <c r="N11" s="685"/>
      <c r="O11" s="654"/>
      <c r="P11" s="650"/>
      <c r="Q11" s="655"/>
      <c r="R11" s="663"/>
      <c r="S11" s="650"/>
      <c r="T11" s="651"/>
      <c r="U11" s="705"/>
      <c r="V11" s="706"/>
      <c r="W11" s="731"/>
      <c r="X11" s="661"/>
      <c r="Y11" s="655"/>
      <c r="Z11" s="698"/>
      <c r="AA11" s="699"/>
      <c r="AB11" s="649"/>
      <c r="AC11" s="650"/>
      <c r="AD11" s="651"/>
      <c r="AE11" s="1004"/>
      <c r="AF11" s="650"/>
      <c r="AG11" s="650"/>
      <c r="AH11" s="650"/>
      <c r="AI11" s="545"/>
      <c r="AJ11" s="659"/>
      <c r="AK11" s="661"/>
      <c r="AL11" s="663"/>
      <c r="AM11" s="8"/>
      <c r="AN11" s="16"/>
      <c r="AO11" s="645"/>
      <c r="AP11" s="640"/>
      <c r="AQ11" s="640"/>
      <c r="AR11" s="640"/>
      <c r="AS11" s="640"/>
      <c r="AT11" s="642" t="s">
        <v>5</v>
      </c>
      <c r="AU11" s="643"/>
      <c r="AV11" s="11" t="s">
        <v>5</v>
      </c>
      <c r="AW11" s="1002"/>
    </row>
    <row r="12" spans="1:65" ht="16.2" thickBot="1" x14ac:dyDescent="0.3">
      <c r="A12" s="649"/>
      <c r="B12" s="650"/>
      <c r="C12" s="651"/>
      <c r="D12" s="654"/>
      <c r="E12" s="650"/>
      <c r="F12" s="651"/>
      <c r="G12" s="685"/>
      <c r="H12" s="685"/>
      <c r="I12" s="788"/>
      <c r="J12" s="725"/>
      <c r="K12" s="726"/>
      <c r="L12" s="654"/>
      <c r="M12" s="651"/>
      <c r="N12" s="685"/>
      <c r="O12" s="654"/>
      <c r="P12" s="650"/>
      <c r="Q12" s="655"/>
      <c r="R12" s="663"/>
      <c r="S12" s="650"/>
      <c r="T12" s="651"/>
      <c r="U12" s="705"/>
      <c r="V12" s="706"/>
      <c r="W12" s="732"/>
      <c r="X12" s="661"/>
      <c r="Y12" s="655"/>
      <c r="Z12" s="698"/>
      <c r="AA12" s="699"/>
      <c r="AB12" s="649"/>
      <c r="AC12" s="650"/>
      <c r="AD12" s="651"/>
      <c r="AE12" s="1005"/>
      <c r="AF12" s="667"/>
      <c r="AG12" s="667"/>
      <c r="AH12" s="667"/>
      <c r="AI12" s="545"/>
      <c r="AJ12" s="659"/>
      <c r="AK12" s="661"/>
      <c r="AL12" s="663"/>
      <c r="AM12" s="8"/>
      <c r="AN12" s="10"/>
      <c r="AO12" s="645"/>
      <c r="AP12" s="641"/>
      <c r="AQ12" s="640"/>
      <c r="AR12" s="641"/>
      <c r="AS12" s="640"/>
      <c r="AT12" s="642"/>
      <c r="AU12" s="643"/>
      <c r="AV12" s="11"/>
      <c r="AW12" s="1002"/>
    </row>
    <row r="13" spans="1:65" ht="13.8" thickBot="1" x14ac:dyDescent="0.3">
      <c r="A13" s="634" t="s">
        <v>101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  <c r="R13" s="635"/>
      <c r="S13" s="635"/>
      <c r="T13" s="635"/>
      <c r="U13" s="635"/>
      <c r="V13" s="635"/>
      <c r="W13" s="635"/>
      <c r="X13" s="635"/>
      <c r="Y13" s="635"/>
      <c r="Z13" s="635"/>
      <c r="AA13" s="636"/>
      <c r="AB13" s="634" t="s">
        <v>101</v>
      </c>
      <c r="AC13" s="1008"/>
      <c r="AD13" s="1008"/>
      <c r="AE13" s="1008"/>
      <c r="AF13" s="1008"/>
      <c r="AG13" s="1008"/>
      <c r="AH13" s="1008"/>
      <c r="AI13" s="1008"/>
      <c r="AJ13" s="1008"/>
      <c r="AK13" s="1008"/>
      <c r="AL13" s="1008"/>
      <c r="AM13" s="1008"/>
      <c r="AN13" s="1008"/>
      <c r="AO13" s="1008"/>
      <c r="AP13" s="1008"/>
      <c r="AQ13" s="1008"/>
      <c r="AR13" s="1008"/>
      <c r="AS13" s="1008"/>
      <c r="AT13" s="1008"/>
      <c r="AU13" s="1008"/>
      <c r="AV13" s="1008"/>
      <c r="AW13" s="177"/>
      <c r="AX13" s="177"/>
      <c r="AY13" s="177"/>
      <c r="AZ13" s="177"/>
      <c r="BA13" s="177" t="s">
        <v>117</v>
      </c>
      <c r="BB13" s="177" t="s">
        <v>118</v>
      </c>
      <c r="BC13" s="177" t="s">
        <v>112</v>
      </c>
      <c r="BD13" s="177" t="s">
        <v>114</v>
      </c>
      <c r="BE13" s="177" t="s">
        <v>121</v>
      </c>
      <c r="BF13" s="177" t="s">
        <v>115</v>
      </c>
      <c r="BG13" s="177" t="s">
        <v>119</v>
      </c>
      <c r="BK13" s="177"/>
      <c r="BL13" s="177"/>
      <c r="BM13" s="178"/>
    </row>
    <row r="14" spans="1:65" x14ac:dyDescent="0.25">
      <c r="A14" s="170">
        <v>3</v>
      </c>
      <c r="B14" s="23" t="s">
        <v>40</v>
      </c>
      <c r="C14" s="22">
        <v>35</v>
      </c>
      <c r="D14" s="170">
        <v>7</v>
      </c>
      <c r="E14" s="23" t="s">
        <v>40</v>
      </c>
      <c r="F14" s="161">
        <v>2.59</v>
      </c>
      <c r="G14" s="24">
        <v>5.9</v>
      </c>
      <c r="H14" s="14">
        <v>10.5</v>
      </c>
      <c r="I14" s="14">
        <v>2</v>
      </c>
      <c r="J14" s="14">
        <v>41.89</v>
      </c>
      <c r="K14" s="14">
        <v>25.29</v>
      </c>
      <c r="L14" s="796">
        <f t="shared" ref="L14:L21" si="0">N14-(N14*0.1+0.1)</f>
        <v>1.8800000000000001</v>
      </c>
      <c r="M14" s="796"/>
      <c r="N14" s="61">
        <f>IF(AND(C14&gt;=1.5,C14&lt;=240),2.2,IF(C14=300,2.4,IF(C14=400,2.6,IF(C14=500,2.8,IF(C14=630,2.8,IF(C14=800,2.8,"ошибка"))))))</f>
        <v>2.2000000000000002</v>
      </c>
      <c r="O14" s="160">
        <f t="shared" ref="O14:O21" si="1">G14+2*L14</f>
        <v>9.66</v>
      </c>
      <c r="P14" s="23" t="s">
        <v>40</v>
      </c>
      <c r="Q14" s="23">
        <f t="shared" ref="Q14:Q21" si="2">H14+2*L14</f>
        <v>14.26</v>
      </c>
      <c r="R14" s="160">
        <f t="shared" ref="R14:R21" si="3">G14+2*N14</f>
        <v>10.3</v>
      </c>
      <c r="S14" s="23" t="s">
        <v>40</v>
      </c>
      <c r="T14" s="161">
        <f t="shared" ref="T14:T21" si="4">H14+2*N14</f>
        <v>14.9</v>
      </c>
      <c r="U14" s="796">
        <f t="shared" ref="U14:U21" si="5">2*(R14+(I14+N14)*(1/COS(PI()*(A14-2)/(2*A14))-1))</f>
        <v>21.899484522385713</v>
      </c>
      <c r="V14" s="796"/>
      <c r="W14" s="147">
        <v>1</v>
      </c>
      <c r="X14" s="169">
        <f t="shared" ref="X14:X21" si="6">IF(U14&lt;=60,0.9,1)</f>
        <v>0.9</v>
      </c>
      <c r="Y14" s="169">
        <f t="shared" ref="Y14:Y21" si="7">IF(U14&lt;=25,1.7,IF(AND(U14&gt;25,U14&lt;=35),2,IF(AND(U14&gt;35,U14&lt;=45),2.2,IF(AND(U14&gt;45,U14&lt;=60),2.4,IF(AND(U14&gt;60,U14&lt;=80),2.5,2.7)))))</f>
        <v>1.7</v>
      </c>
      <c r="Z14" s="1006">
        <f t="shared" ref="Z14:Z21" si="8">U14+2*Y14</f>
        <v>25.299484522385711</v>
      </c>
      <c r="AA14" s="1007"/>
      <c r="AB14" s="67">
        <f t="shared" ref="AB14:AB21" si="9">A14</f>
        <v>3</v>
      </c>
      <c r="AC14" s="23" t="s">
        <v>40</v>
      </c>
      <c r="AD14" s="74">
        <f t="shared" ref="AD14:AD21" si="10">C14</f>
        <v>35</v>
      </c>
      <c r="AE14" s="174">
        <v>2</v>
      </c>
      <c r="AF14" s="61">
        <f t="shared" ref="AF14:AF21" si="11">IF(Z14&lt;=30,0.3,0.5)</f>
        <v>0.3</v>
      </c>
      <c r="AG14" s="139" t="s">
        <v>40</v>
      </c>
      <c r="AH14" s="176">
        <f t="shared" ref="AH14:AH21" si="12">IF(AND(Z14&gt;8,Z14&lt;=13),20,IF(AND(Z14&gt;13,Z14&lt;=17),25,IF(AND(Z14&gt;17,Z14&lt;=21),30,IF(AND(Z14&gt;21,Z14&lt;=26),35,IF(AND(Z14&gt;26,Z14&lt;=31),40,IF(AND(Z14&gt;31,Z14&lt;=40),45,IF(AND(Z14&gt;40,Z14&lt;=50),50,55)))))))</f>
        <v>35</v>
      </c>
      <c r="AI14" s="92">
        <f t="shared" ref="AI14:AI21" si="13">Z14+2*AE14*AF14</f>
        <v>26.499484522385711</v>
      </c>
      <c r="AJ14" s="159">
        <f t="shared" ref="AJ14:AJ21" si="14">AK14-(AK14*0.15+0.1)</f>
        <v>1.6</v>
      </c>
      <c r="AK14" s="152">
        <f t="shared" ref="AK14:AK21" si="15">IF(AI14&lt;=20,1.8,IF(AND(AI14&gt;20,AI14&lt;=30),2,IF(AND(AI14&gt;30,AI14&lt;=40),2.2,IF(AND(AI14&gt;40,AI14&lt;=50),2.4,IF(AND(AI14&gt;50,AI14&lt;=60),2.6,3.1)))))</f>
        <v>2</v>
      </c>
      <c r="AL14" s="166">
        <f t="shared" ref="AL14:AL21" si="16">AI14+2*AK14</f>
        <v>30.499484522385711</v>
      </c>
      <c r="AM14" s="15" t="s">
        <v>18</v>
      </c>
      <c r="AN14" s="146">
        <f t="shared" ref="AN14:AN21" si="17">AW14*AB14*1.007*8.89</f>
        <v>930.58430849999979</v>
      </c>
      <c r="AO14" s="165">
        <f t="shared" ref="AO14:AO21" si="18">PI()*(K14/PI()+N14)*N14*$AZ$8*1.13*A14*1.007</f>
        <v>324.06550262541759</v>
      </c>
      <c r="AP14" s="96">
        <f t="shared" ref="AP14:AP21" si="19">SQRT(POWER(1+U14*PI()/50,2))*0.347</f>
        <v>0.8244668622689364</v>
      </c>
      <c r="AQ14" s="96">
        <f t="shared" ref="AQ14:AQ21" si="20">(PI()*Z14*Z14/4-A14*(J14+PI()*(K14/PI()+N14)*N14)-((POWER((I14+N14),2)*(A14*TAN(PI()*((A14-2)/(2*A14)))-(PI()*(A14-2)/2)))))*$AZ$6</f>
        <v>226.32479880515379</v>
      </c>
      <c r="AR14" s="96">
        <f t="shared" ref="AR14:AR21" si="21">PI()*(Z14+AE14*AF14)*AE14*AF14*0.73*7.8</f>
        <v>277.97753938182387</v>
      </c>
      <c r="AS14" s="165">
        <f t="shared" ref="AS14:AS21" si="22">PI()*(AI14+AK14)*AK14*$AZ$7*1.1</f>
        <v>275.76401531639868</v>
      </c>
      <c r="AT14" s="631">
        <f>AN14+AO14+AP14+AQ14+AR14+AS14</f>
        <v>2035.5406314910624</v>
      </c>
      <c r="AU14" s="632"/>
      <c r="AV14" s="42" t="s">
        <v>18</v>
      </c>
      <c r="AW14" s="71">
        <v>34.65</v>
      </c>
      <c r="BA14" s="179" t="e">
        <v>#VALUE!</v>
      </c>
      <c r="BB14" s="182">
        <v>944.54</v>
      </c>
      <c r="BC14" s="182">
        <v>334.44</v>
      </c>
      <c r="BD14" s="182">
        <v>233.57</v>
      </c>
      <c r="BE14" s="182">
        <v>284.58999999999997</v>
      </c>
      <c r="BF14" s="182">
        <v>286.32</v>
      </c>
      <c r="BG14" s="182">
        <v>0.87</v>
      </c>
      <c r="BK14" s="179"/>
      <c r="BL14" s="179"/>
    </row>
    <row r="15" spans="1:65" x14ac:dyDescent="0.25">
      <c r="A15" s="170">
        <v>3</v>
      </c>
      <c r="B15" s="23" t="s">
        <v>40</v>
      </c>
      <c r="C15" s="22">
        <v>50</v>
      </c>
      <c r="D15" s="170">
        <v>7</v>
      </c>
      <c r="E15" s="23" t="s">
        <v>40</v>
      </c>
      <c r="F15" s="161">
        <v>3</v>
      </c>
      <c r="G15" s="24">
        <v>6.8</v>
      </c>
      <c r="H15" s="14">
        <v>10.9</v>
      </c>
      <c r="I15" s="14">
        <v>2</v>
      </c>
      <c r="J15" s="14">
        <v>52.82</v>
      </c>
      <c r="K15" s="14">
        <v>27.54</v>
      </c>
      <c r="L15" s="796">
        <f t="shared" si="0"/>
        <v>1.8800000000000001</v>
      </c>
      <c r="M15" s="796"/>
      <c r="N15" s="61">
        <f t="shared" ref="N15:N21" si="23">IF(AND(C15&gt;=1.5,C15&lt;=240),2.2,IF(C15=300,2.4,IF(C15=400,2.6,IF(C15=500,2.8,IF(C15=630,2.8,IF(C15=800,2.8,"ошибка"))))))</f>
        <v>2.2000000000000002</v>
      </c>
      <c r="O15" s="160">
        <f t="shared" si="1"/>
        <v>10.56</v>
      </c>
      <c r="P15" s="23" t="s">
        <v>40</v>
      </c>
      <c r="Q15" s="23">
        <f t="shared" si="2"/>
        <v>14.66</v>
      </c>
      <c r="R15" s="160">
        <f t="shared" si="3"/>
        <v>11.2</v>
      </c>
      <c r="S15" s="23" t="s">
        <v>40</v>
      </c>
      <c r="T15" s="161">
        <f t="shared" si="4"/>
        <v>15.3</v>
      </c>
      <c r="U15" s="796">
        <f t="shared" si="5"/>
        <v>23.69948452238571</v>
      </c>
      <c r="V15" s="796"/>
      <c r="W15" s="147">
        <v>1</v>
      </c>
      <c r="X15" s="169">
        <f t="shared" si="6"/>
        <v>0.9</v>
      </c>
      <c r="Y15" s="169">
        <f t="shared" si="7"/>
        <v>1.7</v>
      </c>
      <c r="Z15" s="1006">
        <f t="shared" si="8"/>
        <v>27.099484522385708</v>
      </c>
      <c r="AA15" s="1007"/>
      <c r="AB15" s="67">
        <f t="shared" si="9"/>
        <v>3</v>
      </c>
      <c r="AC15" s="23" t="s">
        <v>40</v>
      </c>
      <c r="AD15" s="74">
        <f t="shared" si="10"/>
        <v>50</v>
      </c>
      <c r="AE15" s="174">
        <v>2</v>
      </c>
      <c r="AF15" s="61">
        <f t="shared" si="11"/>
        <v>0.3</v>
      </c>
      <c r="AG15" s="139" t="s">
        <v>40</v>
      </c>
      <c r="AH15" s="176">
        <f t="shared" si="12"/>
        <v>40</v>
      </c>
      <c r="AI15" s="92">
        <f t="shared" si="13"/>
        <v>28.299484522385708</v>
      </c>
      <c r="AJ15" s="159">
        <f t="shared" si="14"/>
        <v>1.6</v>
      </c>
      <c r="AK15" s="152">
        <f t="shared" si="15"/>
        <v>2</v>
      </c>
      <c r="AL15" s="166">
        <f t="shared" si="16"/>
        <v>32.299484522385711</v>
      </c>
      <c r="AM15" s="15" t="s">
        <v>18</v>
      </c>
      <c r="AN15" s="146">
        <f t="shared" si="17"/>
        <v>1232.7220709999999</v>
      </c>
      <c r="AO15" s="165">
        <f t="shared" si="18"/>
        <v>346.70877371541752</v>
      </c>
      <c r="AP15" s="96">
        <f t="shared" si="19"/>
        <v>0.86371163769758008</v>
      </c>
      <c r="AQ15" s="96">
        <f t="shared" si="20"/>
        <v>263.33701501539554</v>
      </c>
      <c r="AR15" s="96">
        <f t="shared" si="21"/>
        <v>297.29682623692736</v>
      </c>
      <c r="AS15" s="165">
        <f t="shared" si="22"/>
        <v>293.18100498790051</v>
      </c>
      <c r="AT15" s="631">
        <f t="shared" ref="AT15:AT21" si="24">AN15+AO15+AP15+AQ15+AR15+AS15</f>
        <v>2434.1094025933385</v>
      </c>
      <c r="AU15" s="632"/>
      <c r="AV15" s="42" t="s">
        <v>18</v>
      </c>
      <c r="AW15" s="71">
        <v>45.9</v>
      </c>
      <c r="BA15" s="179" t="e">
        <v>#VALUE!</v>
      </c>
      <c r="BB15" s="182">
        <v>1251.21</v>
      </c>
      <c r="BC15" s="182">
        <v>357.8</v>
      </c>
      <c r="BD15" s="182">
        <v>271.76</v>
      </c>
      <c r="BE15" s="182">
        <v>302.56</v>
      </c>
      <c r="BF15" s="182">
        <v>306.22000000000003</v>
      </c>
      <c r="BG15" s="182">
        <v>0.91</v>
      </c>
    </row>
    <row r="16" spans="1:65" x14ac:dyDescent="0.25">
      <c r="A16" s="66">
        <v>3</v>
      </c>
      <c r="B16" s="62" t="s">
        <v>40</v>
      </c>
      <c r="C16" s="168">
        <v>70</v>
      </c>
      <c r="D16" s="170">
        <v>19</v>
      </c>
      <c r="E16" s="23" t="s">
        <v>40</v>
      </c>
      <c r="F16" s="161">
        <v>2.19</v>
      </c>
      <c r="G16" s="69">
        <v>8.1999999999999993</v>
      </c>
      <c r="H16" s="69">
        <v>13.1</v>
      </c>
      <c r="I16" s="69">
        <v>2</v>
      </c>
      <c r="J16" s="69">
        <v>75.84</v>
      </c>
      <c r="K16" s="69">
        <v>33.06</v>
      </c>
      <c r="L16" s="1009">
        <f t="shared" si="0"/>
        <v>1.8800000000000001</v>
      </c>
      <c r="M16" s="1010"/>
      <c r="N16" s="61">
        <f t="shared" si="23"/>
        <v>2.2000000000000002</v>
      </c>
      <c r="O16" s="167">
        <f t="shared" si="1"/>
        <v>11.959999999999999</v>
      </c>
      <c r="P16" s="62" t="s">
        <v>40</v>
      </c>
      <c r="Q16" s="64">
        <f t="shared" si="2"/>
        <v>16.86</v>
      </c>
      <c r="R16" s="167">
        <f t="shared" si="3"/>
        <v>12.6</v>
      </c>
      <c r="S16" s="62" t="s">
        <v>40</v>
      </c>
      <c r="T16" s="168">
        <f t="shared" si="4"/>
        <v>17.5</v>
      </c>
      <c r="U16" s="1009">
        <f t="shared" si="5"/>
        <v>26.499484522385711</v>
      </c>
      <c r="V16" s="1010"/>
      <c r="W16" s="147">
        <v>1</v>
      </c>
      <c r="X16" s="169">
        <f t="shared" si="6"/>
        <v>0.9</v>
      </c>
      <c r="Y16" s="169">
        <f t="shared" si="7"/>
        <v>2</v>
      </c>
      <c r="Z16" s="1006">
        <f t="shared" si="8"/>
        <v>30.499484522385711</v>
      </c>
      <c r="AA16" s="1007"/>
      <c r="AB16" s="65">
        <f t="shared" si="9"/>
        <v>3</v>
      </c>
      <c r="AC16" s="62" t="s">
        <v>40</v>
      </c>
      <c r="AD16" s="168">
        <f t="shared" si="10"/>
        <v>70</v>
      </c>
      <c r="AE16" s="174">
        <v>2</v>
      </c>
      <c r="AF16" s="61">
        <f t="shared" si="11"/>
        <v>0.5</v>
      </c>
      <c r="AG16" s="139" t="s">
        <v>40</v>
      </c>
      <c r="AH16" s="176">
        <f t="shared" si="12"/>
        <v>40</v>
      </c>
      <c r="AI16" s="92">
        <f t="shared" si="13"/>
        <v>32.499484522385714</v>
      </c>
      <c r="AJ16" s="59">
        <f t="shared" si="14"/>
        <v>1.77</v>
      </c>
      <c r="AK16" s="152">
        <f t="shared" si="15"/>
        <v>2.2000000000000002</v>
      </c>
      <c r="AL16" s="166">
        <f t="shared" si="16"/>
        <v>36.899484522385713</v>
      </c>
      <c r="AM16" s="15" t="s">
        <v>18</v>
      </c>
      <c r="AN16" s="88">
        <f t="shared" si="17"/>
        <v>1780.5985469999996</v>
      </c>
      <c r="AO16" s="165">
        <f t="shared" si="18"/>
        <v>402.26026545621755</v>
      </c>
      <c r="AP16" s="96">
        <f t="shared" si="19"/>
        <v>0.92475906614213688</v>
      </c>
      <c r="AQ16" s="96">
        <f t="shared" si="20"/>
        <v>330.9816876418214</v>
      </c>
      <c r="AR16" s="96">
        <f t="shared" si="21"/>
        <v>563.46997895913194</v>
      </c>
      <c r="AS16" s="165">
        <f t="shared" si="22"/>
        <v>369.33145549228448</v>
      </c>
      <c r="AT16" s="631">
        <f t="shared" si="24"/>
        <v>3447.5666936155967</v>
      </c>
      <c r="AU16" s="632"/>
      <c r="AV16" s="42" t="s">
        <v>18</v>
      </c>
      <c r="AW16" s="72">
        <v>66.3</v>
      </c>
      <c r="BA16" s="179" t="e">
        <v>#VALUE!</v>
      </c>
      <c r="BB16" s="182">
        <v>1807.31</v>
      </c>
      <c r="BC16" s="182">
        <v>415.13</v>
      </c>
      <c r="BD16" s="182">
        <v>341.57</v>
      </c>
      <c r="BE16" s="182">
        <v>381.15</v>
      </c>
      <c r="BF16" s="182">
        <v>580.37</v>
      </c>
      <c r="BG16" s="182">
        <v>0.97</v>
      </c>
    </row>
    <row r="17" spans="1:59" x14ac:dyDescent="0.25">
      <c r="A17" s="66">
        <v>3</v>
      </c>
      <c r="B17" s="62" t="s">
        <v>40</v>
      </c>
      <c r="C17" s="168">
        <v>95</v>
      </c>
      <c r="D17" s="170">
        <v>19</v>
      </c>
      <c r="E17" s="23" t="s">
        <v>40</v>
      </c>
      <c r="F17" s="161">
        <v>2.5499999999999998</v>
      </c>
      <c r="G17" s="69">
        <v>9.6</v>
      </c>
      <c r="H17" s="69">
        <v>15.6</v>
      </c>
      <c r="I17" s="69">
        <v>2</v>
      </c>
      <c r="J17" s="69">
        <v>104.05</v>
      </c>
      <c r="K17" s="69">
        <v>38.99</v>
      </c>
      <c r="L17" s="1009">
        <f t="shared" si="0"/>
        <v>1.8800000000000001</v>
      </c>
      <c r="M17" s="1010"/>
      <c r="N17" s="61">
        <f t="shared" si="23"/>
        <v>2.2000000000000002</v>
      </c>
      <c r="O17" s="167">
        <f t="shared" si="1"/>
        <v>13.36</v>
      </c>
      <c r="P17" s="62" t="s">
        <v>40</v>
      </c>
      <c r="Q17" s="64">
        <f t="shared" si="2"/>
        <v>19.36</v>
      </c>
      <c r="R17" s="167">
        <f t="shared" si="3"/>
        <v>14</v>
      </c>
      <c r="S17" s="62" t="s">
        <v>40</v>
      </c>
      <c r="T17" s="168">
        <f t="shared" si="4"/>
        <v>20</v>
      </c>
      <c r="U17" s="1009">
        <f t="shared" si="5"/>
        <v>29.299484522385711</v>
      </c>
      <c r="V17" s="1010"/>
      <c r="W17" s="147">
        <v>1</v>
      </c>
      <c r="X17" s="169">
        <f t="shared" si="6"/>
        <v>0.9</v>
      </c>
      <c r="Y17" s="169">
        <f t="shared" si="7"/>
        <v>2</v>
      </c>
      <c r="Z17" s="1006">
        <f t="shared" si="8"/>
        <v>33.299484522385711</v>
      </c>
      <c r="AA17" s="1007"/>
      <c r="AB17" s="65">
        <f t="shared" si="9"/>
        <v>3</v>
      </c>
      <c r="AC17" s="62" t="s">
        <v>40</v>
      </c>
      <c r="AD17" s="168">
        <f t="shared" si="10"/>
        <v>95</v>
      </c>
      <c r="AE17" s="174">
        <v>2</v>
      </c>
      <c r="AF17" s="61">
        <f t="shared" si="11"/>
        <v>0.5</v>
      </c>
      <c r="AG17" s="139" t="s">
        <v>40</v>
      </c>
      <c r="AH17" s="176">
        <f t="shared" si="12"/>
        <v>45</v>
      </c>
      <c r="AI17" s="92">
        <f t="shared" si="13"/>
        <v>35.299484522385711</v>
      </c>
      <c r="AJ17" s="59">
        <f t="shared" si="14"/>
        <v>1.77</v>
      </c>
      <c r="AK17" s="152">
        <f t="shared" si="15"/>
        <v>2.2000000000000002</v>
      </c>
      <c r="AL17" s="166">
        <f t="shared" si="16"/>
        <v>39.69948452238571</v>
      </c>
      <c r="AM17" s="15" t="s">
        <v>18</v>
      </c>
      <c r="AN17" s="88">
        <f t="shared" si="17"/>
        <v>2499.2835713999998</v>
      </c>
      <c r="AO17" s="165">
        <f t="shared" si="18"/>
        <v>461.9378643734176</v>
      </c>
      <c r="AP17" s="96">
        <f t="shared" si="19"/>
        <v>0.98580649458669378</v>
      </c>
      <c r="AQ17" s="96">
        <f t="shared" si="20"/>
        <v>354.12825265032473</v>
      </c>
      <c r="AR17" s="96">
        <f t="shared" si="21"/>
        <v>613.55701895384482</v>
      </c>
      <c r="AS17" s="165">
        <f t="shared" si="22"/>
        <v>399.1338600412987</v>
      </c>
      <c r="AT17" s="631">
        <f t="shared" si="24"/>
        <v>4329.0263739134716</v>
      </c>
      <c r="AU17" s="632"/>
      <c r="AV17" s="42" t="s">
        <v>18</v>
      </c>
      <c r="AW17" s="72">
        <v>93.06</v>
      </c>
      <c r="BA17" s="179" t="e">
        <v>#VALUE!</v>
      </c>
      <c r="BB17" s="182">
        <v>2536.77</v>
      </c>
      <c r="BC17" s="182">
        <v>476.72</v>
      </c>
      <c r="BD17" s="182">
        <v>365.46</v>
      </c>
      <c r="BE17" s="182">
        <v>411.91</v>
      </c>
      <c r="BF17" s="182">
        <v>631.96</v>
      </c>
      <c r="BG17" s="182">
        <v>1.04</v>
      </c>
    </row>
    <row r="18" spans="1:59" x14ac:dyDescent="0.25">
      <c r="A18" s="170">
        <v>3</v>
      </c>
      <c r="B18" s="23" t="s">
        <v>40</v>
      </c>
      <c r="C18" s="22">
        <v>120</v>
      </c>
      <c r="D18" s="170">
        <v>19</v>
      </c>
      <c r="E18" s="23" t="s">
        <v>40</v>
      </c>
      <c r="F18" s="161">
        <v>2.86</v>
      </c>
      <c r="G18" s="24">
        <v>10.8</v>
      </c>
      <c r="H18" s="14">
        <v>17.7</v>
      </c>
      <c r="I18" s="14">
        <v>2</v>
      </c>
      <c r="J18" s="14">
        <v>130.93</v>
      </c>
      <c r="K18" s="14">
        <v>43.93</v>
      </c>
      <c r="L18" s="796">
        <f t="shared" si="0"/>
        <v>1.8800000000000001</v>
      </c>
      <c r="M18" s="796"/>
      <c r="N18" s="61">
        <f t="shared" si="23"/>
        <v>2.2000000000000002</v>
      </c>
      <c r="O18" s="160">
        <f t="shared" si="1"/>
        <v>14.56</v>
      </c>
      <c r="P18" s="23" t="s">
        <v>40</v>
      </c>
      <c r="Q18" s="23">
        <f t="shared" si="2"/>
        <v>21.46</v>
      </c>
      <c r="R18" s="160">
        <f t="shared" si="3"/>
        <v>15.200000000000001</v>
      </c>
      <c r="S18" s="23" t="s">
        <v>40</v>
      </c>
      <c r="T18" s="161">
        <f t="shared" si="4"/>
        <v>22.1</v>
      </c>
      <c r="U18" s="796">
        <f t="shared" si="5"/>
        <v>31.699484522385713</v>
      </c>
      <c r="V18" s="796"/>
      <c r="W18" s="147">
        <v>1</v>
      </c>
      <c r="X18" s="169">
        <f t="shared" si="6"/>
        <v>0.9</v>
      </c>
      <c r="Y18" s="169">
        <f t="shared" si="7"/>
        <v>2</v>
      </c>
      <c r="Z18" s="1006">
        <f t="shared" si="8"/>
        <v>35.699484522385717</v>
      </c>
      <c r="AA18" s="1007"/>
      <c r="AB18" s="67">
        <f t="shared" si="9"/>
        <v>3</v>
      </c>
      <c r="AC18" s="23" t="s">
        <v>40</v>
      </c>
      <c r="AD18" s="74">
        <f t="shared" si="10"/>
        <v>120</v>
      </c>
      <c r="AE18" s="174">
        <v>2</v>
      </c>
      <c r="AF18" s="61">
        <f t="shared" si="11"/>
        <v>0.5</v>
      </c>
      <c r="AG18" s="139" t="s">
        <v>40</v>
      </c>
      <c r="AH18" s="176">
        <f t="shared" si="12"/>
        <v>45</v>
      </c>
      <c r="AI18" s="92">
        <f t="shared" si="13"/>
        <v>37.699484522385717</v>
      </c>
      <c r="AJ18" s="159">
        <f t="shared" si="14"/>
        <v>1.77</v>
      </c>
      <c r="AK18" s="152">
        <f t="shared" si="15"/>
        <v>2.2000000000000002</v>
      </c>
      <c r="AL18" s="166">
        <f t="shared" si="16"/>
        <v>42.099484522385715</v>
      </c>
      <c r="AM18" s="15" t="s">
        <v>18</v>
      </c>
      <c r="AN18" s="146">
        <f t="shared" si="17"/>
        <v>3157.0039094999993</v>
      </c>
      <c r="AO18" s="165">
        <f t="shared" si="18"/>
        <v>511.65242401101756</v>
      </c>
      <c r="AP18" s="96">
        <f t="shared" si="19"/>
        <v>1.0381328618248855</v>
      </c>
      <c r="AQ18" s="96">
        <f t="shared" si="20"/>
        <v>377.67064222563715</v>
      </c>
      <c r="AR18" s="96">
        <f t="shared" si="21"/>
        <v>656.48876752074148</v>
      </c>
      <c r="AS18" s="165">
        <f t="shared" si="22"/>
        <v>424.67877822616805</v>
      </c>
      <c r="AT18" s="631">
        <f t="shared" si="24"/>
        <v>5128.5326543453884</v>
      </c>
      <c r="AU18" s="632"/>
      <c r="AV18" s="42" t="s">
        <v>18</v>
      </c>
      <c r="AW18" s="71">
        <v>117.55</v>
      </c>
      <c r="BA18" s="179" t="e">
        <v>#VALUE!</v>
      </c>
      <c r="BB18" s="182">
        <v>3204.36</v>
      </c>
      <c r="BC18" s="182">
        <v>528.03</v>
      </c>
      <c r="BD18" s="182">
        <v>389.76</v>
      </c>
      <c r="BE18" s="182">
        <v>438.27</v>
      </c>
      <c r="BF18" s="182">
        <v>676.18</v>
      </c>
      <c r="BG18" s="182">
        <v>1.0900000000000001</v>
      </c>
    </row>
    <row r="19" spans="1:59" x14ac:dyDescent="0.25">
      <c r="A19" s="66">
        <v>3</v>
      </c>
      <c r="B19" s="62" t="s">
        <v>40</v>
      </c>
      <c r="C19" s="168">
        <v>150</v>
      </c>
      <c r="D19" s="170">
        <v>37</v>
      </c>
      <c r="E19" s="23" t="s">
        <v>40</v>
      </c>
      <c r="F19" s="161">
        <v>2.29</v>
      </c>
      <c r="G19" s="69">
        <v>12.2</v>
      </c>
      <c r="H19" s="69">
        <v>20.3</v>
      </c>
      <c r="I19" s="69">
        <v>2</v>
      </c>
      <c r="J19" s="69">
        <v>167.23</v>
      </c>
      <c r="K19" s="69">
        <v>49.96</v>
      </c>
      <c r="L19" s="1009">
        <f t="shared" si="0"/>
        <v>1.8800000000000001</v>
      </c>
      <c r="M19" s="1010"/>
      <c r="N19" s="61">
        <f t="shared" si="23"/>
        <v>2.2000000000000002</v>
      </c>
      <c r="O19" s="167">
        <f t="shared" si="1"/>
        <v>15.959999999999999</v>
      </c>
      <c r="P19" s="62" t="s">
        <v>40</v>
      </c>
      <c r="Q19" s="64">
        <f t="shared" si="2"/>
        <v>24.060000000000002</v>
      </c>
      <c r="R19" s="167">
        <f t="shared" si="3"/>
        <v>16.600000000000001</v>
      </c>
      <c r="S19" s="62" t="s">
        <v>40</v>
      </c>
      <c r="T19" s="168">
        <f t="shared" si="4"/>
        <v>24.700000000000003</v>
      </c>
      <c r="U19" s="1009">
        <f t="shared" si="5"/>
        <v>34.499484522385714</v>
      </c>
      <c r="V19" s="1010"/>
      <c r="W19" s="147">
        <v>1</v>
      </c>
      <c r="X19" s="169">
        <f t="shared" si="6"/>
        <v>0.9</v>
      </c>
      <c r="Y19" s="169">
        <f t="shared" si="7"/>
        <v>2</v>
      </c>
      <c r="Z19" s="1006">
        <f t="shared" si="8"/>
        <v>38.499484522385714</v>
      </c>
      <c r="AA19" s="1007"/>
      <c r="AB19" s="65">
        <f t="shared" si="9"/>
        <v>3</v>
      </c>
      <c r="AC19" s="62" t="s">
        <v>40</v>
      </c>
      <c r="AD19" s="168">
        <f t="shared" si="10"/>
        <v>150</v>
      </c>
      <c r="AE19" s="174">
        <v>2</v>
      </c>
      <c r="AF19" s="61">
        <f t="shared" si="11"/>
        <v>0.5</v>
      </c>
      <c r="AG19" s="139" t="s">
        <v>40</v>
      </c>
      <c r="AH19" s="176">
        <f t="shared" si="12"/>
        <v>45</v>
      </c>
      <c r="AI19" s="92">
        <f t="shared" si="13"/>
        <v>40.499484522385714</v>
      </c>
      <c r="AJ19" s="59">
        <f t="shared" si="14"/>
        <v>1.94</v>
      </c>
      <c r="AK19" s="152">
        <f t="shared" si="15"/>
        <v>2.4</v>
      </c>
      <c r="AL19" s="166">
        <f t="shared" si="16"/>
        <v>45.299484522385711</v>
      </c>
      <c r="AM19" s="15" t="s">
        <v>18</v>
      </c>
      <c r="AN19" s="88">
        <f t="shared" si="17"/>
        <v>3946.3220285999996</v>
      </c>
      <c r="AO19" s="165">
        <f t="shared" si="18"/>
        <v>572.33639053221748</v>
      </c>
      <c r="AP19" s="96">
        <f t="shared" si="19"/>
        <v>1.0991802902694425</v>
      </c>
      <c r="AQ19" s="96">
        <f t="shared" si="20"/>
        <v>397.93431955952747</v>
      </c>
      <c r="AR19" s="96">
        <f t="shared" si="21"/>
        <v>706.57580751545436</v>
      </c>
      <c r="AS19" s="165">
        <f t="shared" si="22"/>
        <v>498.11991922609587</v>
      </c>
      <c r="AT19" s="631">
        <f t="shared" si="24"/>
        <v>6122.3876457235638</v>
      </c>
      <c r="AU19" s="632"/>
      <c r="AV19" s="42" t="s">
        <v>18</v>
      </c>
      <c r="AW19" s="72">
        <v>146.94</v>
      </c>
      <c r="BA19" s="179" t="e">
        <v>#VALUE!</v>
      </c>
      <c r="BB19" s="182">
        <v>4005.52</v>
      </c>
      <c r="BC19" s="182">
        <v>590.65</v>
      </c>
      <c r="BD19" s="182">
        <v>410.67</v>
      </c>
      <c r="BE19" s="182">
        <v>514.05999999999995</v>
      </c>
      <c r="BF19" s="182">
        <v>727.77</v>
      </c>
      <c r="BG19" s="182">
        <v>1.1499999999999999</v>
      </c>
    </row>
    <row r="20" spans="1:59" x14ac:dyDescent="0.25">
      <c r="A20" s="170">
        <v>3</v>
      </c>
      <c r="B20" s="23" t="s">
        <v>40</v>
      </c>
      <c r="C20" s="22">
        <v>185</v>
      </c>
      <c r="D20" s="170">
        <v>37</v>
      </c>
      <c r="E20" s="23" t="s">
        <v>40</v>
      </c>
      <c r="F20" s="161">
        <v>2.52</v>
      </c>
      <c r="G20" s="24">
        <v>13.6</v>
      </c>
      <c r="H20" s="14">
        <v>23.1</v>
      </c>
      <c r="I20" s="14">
        <v>2</v>
      </c>
      <c r="J20" s="14">
        <v>207.99</v>
      </c>
      <c r="K20" s="14">
        <v>56.19</v>
      </c>
      <c r="L20" s="796">
        <f t="shared" si="0"/>
        <v>1.8800000000000001</v>
      </c>
      <c r="M20" s="796"/>
      <c r="N20" s="61">
        <f t="shared" si="23"/>
        <v>2.2000000000000002</v>
      </c>
      <c r="O20" s="160">
        <f t="shared" si="1"/>
        <v>17.36</v>
      </c>
      <c r="P20" s="23" t="s">
        <v>40</v>
      </c>
      <c r="Q20" s="23">
        <f t="shared" si="2"/>
        <v>26.860000000000003</v>
      </c>
      <c r="R20" s="160">
        <f t="shared" si="3"/>
        <v>18</v>
      </c>
      <c r="S20" s="23" t="s">
        <v>40</v>
      </c>
      <c r="T20" s="161">
        <f t="shared" si="4"/>
        <v>27.5</v>
      </c>
      <c r="U20" s="796">
        <f t="shared" si="5"/>
        <v>37.299484522385711</v>
      </c>
      <c r="V20" s="796"/>
      <c r="W20" s="147">
        <v>1</v>
      </c>
      <c r="X20" s="169">
        <f t="shared" si="6"/>
        <v>0.9</v>
      </c>
      <c r="Y20" s="169">
        <f t="shared" si="7"/>
        <v>2.2000000000000002</v>
      </c>
      <c r="Z20" s="1006">
        <f t="shared" si="8"/>
        <v>41.69948452238571</v>
      </c>
      <c r="AA20" s="1007"/>
      <c r="AB20" s="67">
        <f t="shared" si="9"/>
        <v>3</v>
      </c>
      <c r="AC20" s="23" t="s">
        <v>40</v>
      </c>
      <c r="AD20" s="74">
        <f t="shared" si="10"/>
        <v>185</v>
      </c>
      <c r="AE20" s="174">
        <v>2</v>
      </c>
      <c r="AF20" s="61">
        <f t="shared" si="11"/>
        <v>0.5</v>
      </c>
      <c r="AG20" s="139" t="s">
        <v>40</v>
      </c>
      <c r="AH20" s="176">
        <f t="shared" si="12"/>
        <v>50</v>
      </c>
      <c r="AI20" s="92">
        <f t="shared" si="13"/>
        <v>43.69948452238571</v>
      </c>
      <c r="AJ20" s="159">
        <f t="shared" si="14"/>
        <v>1.94</v>
      </c>
      <c r="AK20" s="152">
        <f t="shared" si="15"/>
        <v>2.4</v>
      </c>
      <c r="AL20" s="166">
        <f t="shared" si="16"/>
        <v>48.499484522385707</v>
      </c>
      <c r="AM20" s="15" t="s">
        <v>18</v>
      </c>
      <c r="AN20" s="146">
        <f t="shared" si="17"/>
        <v>4866.9693618000001</v>
      </c>
      <c r="AO20" s="165">
        <f t="shared" si="18"/>
        <v>635.03309226141744</v>
      </c>
      <c r="AP20" s="96">
        <f t="shared" si="19"/>
        <v>1.1602277187139991</v>
      </c>
      <c r="AQ20" s="96">
        <f t="shared" si="20"/>
        <v>451.36391057323971</v>
      </c>
      <c r="AR20" s="96">
        <f t="shared" si="21"/>
        <v>763.81813893798312</v>
      </c>
      <c r="AS20" s="165">
        <f t="shared" si="22"/>
        <v>535.27616385863303</v>
      </c>
      <c r="AT20" s="631">
        <f t="shared" si="24"/>
        <v>7253.6208951499884</v>
      </c>
      <c r="AU20" s="632"/>
      <c r="AV20" s="42" t="s">
        <v>18</v>
      </c>
      <c r="AW20" s="71">
        <v>181.22</v>
      </c>
      <c r="BA20" s="179" t="e">
        <v>#VALUE!</v>
      </c>
      <c r="BB20" s="182">
        <v>4939.97</v>
      </c>
      <c r="BC20" s="182">
        <v>655.35</v>
      </c>
      <c r="BD20" s="182">
        <v>465.81</v>
      </c>
      <c r="BE20" s="182">
        <v>552.41</v>
      </c>
      <c r="BF20" s="182">
        <v>786.73</v>
      </c>
      <c r="BG20" s="182">
        <v>1.22</v>
      </c>
    </row>
    <row r="21" spans="1:59" ht="13.8" thickBot="1" x14ac:dyDescent="0.3">
      <c r="A21" s="170">
        <v>3</v>
      </c>
      <c r="B21" s="23" t="s">
        <v>40</v>
      </c>
      <c r="C21" s="22">
        <v>240</v>
      </c>
      <c r="D21" s="170">
        <v>37</v>
      </c>
      <c r="E21" s="23" t="s">
        <v>40</v>
      </c>
      <c r="F21" s="161">
        <v>2.88</v>
      </c>
      <c r="G21" s="24">
        <v>15.6</v>
      </c>
      <c r="H21" s="14">
        <v>26.7</v>
      </c>
      <c r="I21" s="14">
        <v>2</v>
      </c>
      <c r="J21" s="14">
        <v>272.77</v>
      </c>
      <c r="K21" s="14">
        <v>64.62</v>
      </c>
      <c r="L21" s="796">
        <f t="shared" si="0"/>
        <v>1.8800000000000001</v>
      </c>
      <c r="M21" s="796"/>
      <c r="N21" s="61">
        <f t="shared" si="23"/>
        <v>2.2000000000000002</v>
      </c>
      <c r="O21" s="160">
        <f t="shared" si="1"/>
        <v>19.36</v>
      </c>
      <c r="P21" s="23" t="s">
        <v>40</v>
      </c>
      <c r="Q21" s="23">
        <f t="shared" si="2"/>
        <v>30.46</v>
      </c>
      <c r="R21" s="160">
        <f t="shared" si="3"/>
        <v>20</v>
      </c>
      <c r="S21" s="23" t="s">
        <v>40</v>
      </c>
      <c r="T21" s="161">
        <f t="shared" si="4"/>
        <v>31.1</v>
      </c>
      <c r="U21" s="796">
        <f t="shared" si="5"/>
        <v>41.299484522385711</v>
      </c>
      <c r="V21" s="796"/>
      <c r="W21" s="147">
        <v>1</v>
      </c>
      <c r="X21" s="169">
        <f t="shared" si="6"/>
        <v>0.9</v>
      </c>
      <c r="Y21" s="169">
        <f t="shared" si="7"/>
        <v>2.2000000000000002</v>
      </c>
      <c r="Z21" s="1006">
        <f t="shared" si="8"/>
        <v>45.69948452238571</v>
      </c>
      <c r="AA21" s="1007"/>
      <c r="AB21" s="67">
        <f t="shared" si="9"/>
        <v>3</v>
      </c>
      <c r="AC21" s="23" t="s">
        <v>40</v>
      </c>
      <c r="AD21" s="74">
        <f t="shared" si="10"/>
        <v>240</v>
      </c>
      <c r="AE21" s="174">
        <v>2</v>
      </c>
      <c r="AF21" s="61">
        <f t="shared" si="11"/>
        <v>0.5</v>
      </c>
      <c r="AG21" s="139" t="s">
        <v>40</v>
      </c>
      <c r="AH21" s="176">
        <f t="shared" si="12"/>
        <v>50</v>
      </c>
      <c r="AI21" s="92">
        <f t="shared" si="13"/>
        <v>47.69948452238571</v>
      </c>
      <c r="AJ21" s="159">
        <f t="shared" si="14"/>
        <v>1.94</v>
      </c>
      <c r="AK21" s="152">
        <f t="shared" si="15"/>
        <v>2.4</v>
      </c>
      <c r="AL21" s="166">
        <f t="shared" si="16"/>
        <v>52.499484522385707</v>
      </c>
      <c r="AM21" s="15" t="s">
        <v>18</v>
      </c>
      <c r="AN21" s="146">
        <f t="shared" si="17"/>
        <v>6314.0078189999986</v>
      </c>
      <c r="AO21" s="165">
        <f t="shared" si="18"/>
        <v>719.86988127861753</v>
      </c>
      <c r="AP21" s="96">
        <f t="shared" si="19"/>
        <v>1.2474383307776518</v>
      </c>
      <c r="AQ21" s="96">
        <f t="shared" si="20"/>
        <v>485.7954532885654</v>
      </c>
      <c r="AR21" s="96">
        <f t="shared" si="21"/>
        <v>835.37105321614433</v>
      </c>
      <c r="AS21" s="165">
        <f t="shared" si="22"/>
        <v>581.72146964930448</v>
      </c>
      <c r="AT21" s="631">
        <f t="shared" si="24"/>
        <v>8938.0131147634092</v>
      </c>
      <c r="AU21" s="632"/>
      <c r="AV21" s="42" t="s">
        <v>18</v>
      </c>
      <c r="AW21" s="71">
        <v>235.1</v>
      </c>
      <c r="BA21" s="179" t="e">
        <v>#VALUE!</v>
      </c>
      <c r="BB21" s="182">
        <v>6408.72</v>
      </c>
      <c r="BC21" s="182">
        <v>742.91</v>
      </c>
      <c r="BD21" s="182">
        <v>501.34</v>
      </c>
      <c r="BE21" s="182">
        <v>600.34</v>
      </c>
      <c r="BF21" s="182">
        <v>860.43</v>
      </c>
      <c r="BG21" s="182">
        <v>1.31</v>
      </c>
    </row>
    <row r="22" spans="1:59" ht="13.8" thickBot="1" x14ac:dyDescent="0.3">
      <c r="A22" s="634" t="s">
        <v>102</v>
      </c>
      <c r="B22" s="635"/>
      <c r="C22" s="635"/>
      <c r="D22" s="635"/>
      <c r="E22" s="635"/>
      <c r="F22" s="635"/>
      <c r="G22" s="635"/>
      <c r="H22" s="635"/>
      <c r="I22" s="635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5"/>
      <c r="W22" s="635"/>
      <c r="X22" s="635"/>
      <c r="Y22" s="635"/>
      <c r="Z22" s="635"/>
      <c r="AA22" s="636"/>
      <c r="AB22" s="634" t="s">
        <v>102</v>
      </c>
      <c r="AC22" s="635"/>
      <c r="AD22" s="635"/>
      <c r="AE22" s="635"/>
      <c r="AF22" s="635"/>
      <c r="AG22" s="635"/>
      <c r="AH22" s="635"/>
      <c r="AI22" s="635"/>
      <c r="AJ22" s="635"/>
      <c r="AK22" s="635"/>
      <c r="AL22" s="635"/>
      <c r="AM22" s="635"/>
      <c r="AN22" s="635"/>
      <c r="AO22" s="635"/>
      <c r="AP22" s="635"/>
      <c r="AQ22" s="635"/>
      <c r="AR22" s="635"/>
      <c r="AS22" s="635"/>
      <c r="AT22" s="635"/>
      <c r="AU22" s="635"/>
      <c r="AV22" s="636"/>
      <c r="AW22" s="54"/>
      <c r="BA22" s="177" t="s">
        <v>117</v>
      </c>
      <c r="BB22" s="177" t="s">
        <v>118</v>
      </c>
      <c r="BC22" s="177" t="s">
        <v>112</v>
      </c>
      <c r="BD22" s="177" t="s">
        <v>114</v>
      </c>
      <c r="BE22" s="177" t="s">
        <v>121</v>
      </c>
      <c r="BF22" s="177" t="s">
        <v>115</v>
      </c>
      <c r="BG22" s="177" t="s">
        <v>119</v>
      </c>
    </row>
    <row r="23" spans="1:59" x14ac:dyDescent="0.25">
      <c r="A23" s="170">
        <v>3</v>
      </c>
      <c r="B23" s="23" t="s">
        <v>40</v>
      </c>
      <c r="C23" s="22">
        <v>35</v>
      </c>
      <c r="D23" s="170">
        <v>7</v>
      </c>
      <c r="E23" s="23" t="s">
        <v>40</v>
      </c>
      <c r="F23" s="161">
        <v>2.59</v>
      </c>
      <c r="G23" s="24">
        <v>5.9</v>
      </c>
      <c r="H23" s="14">
        <v>10.5</v>
      </c>
      <c r="I23" s="14">
        <v>2</v>
      </c>
      <c r="J23" s="14">
        <v>41.89</v>
      </c>
      <c r="K23" s="14">
        <v>25.29</v>
      </c>
      <c r="L23" s="796">
        <f t="shared" ref="L23:L30" si="25">N23-(N23*0.1+0.1)</f>
        <v>1.8800000000000001</v>
      </c>
      <c r="M23" s="796"/>
      <c r="N23" s="61">
        <f t="shared" ref="N23:N30" si="26">IF(AND(C23&gt;=1.5,C23&lt;=240),2.2,IF(C23=300,2.4,IF(C23=400,2.6,IF(C23=500,2.8,IF(C23=630,2.8,IF(C23=800,2.8,"ошибка"))))))</f>
        <v>2.2000000000000002</v>
      </c>
      <c r="O23" s="160">
        <f t="shared" ref="O23:O30" si="27">G23+2*L23</f>
        <v>9.66</v>
      </c>
      <c r="P23" s="23" t="s">
        <v>40</v>
      </c>
      <c r="Q23" s="23">
        <f t="shared" ref="Q23:Q30" si="28">H23+2*L23</f>
        <v>14.26</v>
      </c>
      <c r="R23" s="160">
        <f t="shared" ref="R23:R30" si="29">G23+2*N23</f>
        <v>10.3</v>
      </c>
      <c r="S23" s="23" t="s">
        <v>40</v>
      </c>
      <c r="T23" s="161">
        <f t="shared" ref="T23:T30" si="30">H23+2*N23</f>
        <v>14.9</v>
      </c>
      <c r="U23" s="796">
        <f t="shared" ref="U23:U30" si="31">2*(R23+(I23+N23)*(1/COS(PI()*(A23-2)/(2*A23))-1))</f>
        <v>21.899484522385713</v>
      </c>
      <c r="V23" s="796"/>
      <c r="W23" s="148">
        <v>1</v>
      </c>
      <c r="X23" s="169">
        <f t="shared" ref="X23:X30" si="32">IF(U23&lt;=60,0.9,1)</f>
        <v>0.9</v>
      </c>
      <c r="Y23" s="169">
        <f t="shared" ref="Y23:Y30" si="33">IF(U23&lt;=25,1.7,IF(AND(U23&gt;25,U23&lt;=35),2,IF(AND(U23&gt;35,U23&lt;=45),2.2,IF(AND(U23&gt;45,U23&lt;=60),2.4,IF(AND(U23&gt;60,U23&lt;=80),2.5,2.7)))))</f>
        <v>1.7</v>
      </c>
      <c r="Z23" s="1006">
        <f t="shared" ref="Z23:Z30" si="34">U23+2*Y23</f>
        <v>25.299484522385711</v>
      </c>
      <c r="AA23" s="1007"/>
      <c r="AB23" s="67">
        <f t="shared" ref="AB23:AB30" si="35">A23</f>
        <v>3</v>
      </c>
      <c r="AC23" s="23" t="s">
        <v>40</v>
      </c>
      <c r="AD23" s="74">
        <f t="shared" ref="AD23:AD30" si="36">C23</f>
        <v>35</v>
      </c>
      <c r="AE23" s="174">
        <v>2</v>
      </c>
      <c r="AF23" s="61">
        <f t="shared" ref="AF23:AF30" si="37">IF(Z23&lt;=30,0.3,0.5)</f>
        <v>0.3</v>
      </c>
      <c r="AG23" s="139" t="s">
        <v>40</v>
      </c>
      <c r="AH23" s="176">
        <f t="shared" ref="AH23:AH30" si="38">IF(AND(Z23&gt;8,Z23&lt;=13),20,IF(AND(Z23&gt;13,Z23&lt;=17),25,IF(AND(Z23&gt;17,Z23&lt;=21),30,IF(AND(Z23&gt;21,Z23&lt;=26),35,IF(AND(Z23&gt;26,Z23&lt;=31),40,IF(AND(Z23&gt;31,Z23&lt;=40),45,IF(AND(Z23&gt;40,Z23&lt;=50),50,55)))))))</f>
        <v>35</v>
      </c>
      <c r="AI23" s="92">
        <f t="shared" ref="AI23:AI30" si="39">Z23+2*AE23*AF23</f>
        <v>26.499484522385711</v>
      </c>
      <c r="AJ23" s="159">
        <f t="shared" ref="AJ23:AJ30" si="40">AK23-(AK23*0.15+0.1)</f>
        <v>1.6</v>
      </c>
      <c r="AK23" s="152">
        <f t="shared" ref="AK23:AK30" si="41">IF(AI23&lt;=20,1.8,IF(AND(AI23&gt;20,AI23&lt;=30),2,IF(AND(AI23&gt;30,AI23&lt;=40),2.2,IF(AND(AI23&gt;40,AI23&lt;=50),2.4,IF(AND(AI23&gt;50,AI23&lt;=60),2.6,3.1)))))</f>
        <v>2</v>
      </c>
      <c r="AL23" s="166">
        <f t="shared" ref="AL23:AL30" si="42">AI23+2*AK23</f>
        <v>30.499484522385711</v>
      </c>
      <c r="AM23" s="15">
        <f t="shared" ref="AM23:AM30" si="43">AW23*AB23*1.007*2.7</f>
        <v>282.62965499999996</v>
      </c>
      <c r="AN23" s="68" t="s">
        <v>18</v>
      </c>
      <c r="AO23" s="165">
        <f t="shared" ref="AO23:AO30" si="44">PI()*(K23/PI()+N23)*N23*$AZ$8*1.13*A23*1.007</f>
        <v>324.06550262541759</v>
      </c>
      <c r="AP23" s="96">
        <f t="shared" ref="AP23:AP30" si="45">SQRT(POWER(1+U23*PI()/50,2))*0.347</f>
        <v>0.8244668622689364</v>
      </c>
      <c r="AQ23" s="96">
        <f t="shared" ref="AQ23:AQ30" si="46">(PI()*Z23*Z23/4-A23*(J23+PI()*(K23/PI()+N23)*N23)-((POWER((I23+N23),2)*(A23*TAN(PI()*((A23-2)/(2*A23)))-(PI()*(A23-2)/2)))))*$AZ$6</f>
        <v>226.32479880515379</v>
      </c>
      <c r="AR23" s="96">
        <f t="shared" ref="AR23:AR30" si="47">PI()*(Z23+AE23*AF23)*AE23*AF23*0.73*7.8</f>
        <v>277.97753938182387</v>
      </c>
      <c r="AS23" s="165">
        <f t="shared" ref="AS23:AS30" si="48">PI()*(AI23+AK23)*AK23*$AZ$7*1.1</f>
        <v>275.76401531639868</v>
      </c>
      <c r="AT23" s="796" t="s">
        <v>18</v>
      </c>
      <c r="AU23" s="797"/>
      <c r="AV23" s="96">
        <f>AM23+AO23+AP23+AQ23+AR23+AS23</f>
        <v>1387.5859779910629</v>
      </c>
      <c r="AW23" s="71">
        <v>34.65</v>
      </c>
      <c r="BA23" s="182">
        <v>286.87</v>
      </c>
      <c r="BB23" s="179" t="e">
        <v>#VALUE!</v>
      </c>
      <c r="BC23" s="182">
        <v>334.44</v>
      </c>
      <c r="BD23" s="182">
        <v>233.57</v>
      </c>
      <c r="BE23" s="182">
        <v>284.58999999999997</v>
      </c>
      <c r="BF23" s="182">
        <v>286.32</v>
      </c>
      <c r="BG23" s="182">
        <v>0.87</v>
      </c>
    </row>
    <row r="24" spans="1:59" x14ac:dyDescent="0.25">
      <c r="A24" s="170">
        <v>3</v>
      </c>
      <c r="B24" s="23" t="s">
        <v>40</v>
      </c>
      <c r="C24" s="22">
        <v>50</v>
      </c>
      <c r="D24" s="170">
        <v>7</v>
      </c>
      <c r="E24" s="23" t="s">
        <v>40</v>
      </c>
      <c r="F24" s="161">
        <v>3</v>
      </c>
      <c r="G24" s="24">
        <v>6.8</v>
      </c>
      <c r="H24" s="14">
        <v>10.9</v>
      </c>
      <c r="I24" s="14">
        <v>2</v>
      </c>
      <c r="J24" s="14">
        <v>52.82</v>
      </c>
      <c r="K24" s="14">
        <v>27.54</v>
      </c>
      <c r="L24" s="796">
        <f t="shared" si="25"/>
        <v>1.8800000000000001</v>
      </c>
      <c r="M24" s="796"/>
      <c r="N24" s="61">
        <f t="shared" si="26"/>
        <v>2.2000000000000002</v>
      </c>
      <c r="O24" s="160">
        <f t="shared" si="27"/>
        <v>10.56</v>
      </c>
      <c r="P24" s="23" t="s">
        <v>40</v>
      </c>
      <c r="Q24" s="23">
        <f t="shared" si="28"/>
        <v>14.66</v>
      </c>
      <c r="R24" s="160">
        <f t="shared" si="29"/>
        <v>11.2</v>
      </c>
      <c r="S24" s="23" t="s">
        <v>40</v>
      </c>
      <c r="T24" s="161">
        <f t="shared" si="30"/>
        <v>15.3</v>
      </c>
      <c r="U24" s="796">
        <f t="shared" si="31"/>
        <v>23.69948452238571</v>
      </c>
      <c r="V24" s="796"/>
      <c r="W24" s="148">
        <v>1</v>
      </c>
      <c r="X24" s="169">
        <f t="shared" si="32"/>
        <v>0.9</v>
      </c>
      <c r="Y24" s="169">
        <f t="shared" si="33"/>
        <v>1.7</v>
      </c>
      <c r="Z24" s="1006">
        <f t="shared" si="34"/>
        <v>27.099484522385708</v>
      </c>
      <c r="AA24" s="1007"/>
      <c r="AB24" s="67">
        <f t="shared" si="35"/>
        <v>3</v>
      </c>
      <c r="AC24" s="23" t="s">
        <v>40</v>
      </c>
      <c r="AD24" s="74">
        <f t="shared" si="36"/>
        <v>50</v>
      </c>
      <c r="AE24" s="174">
        <v>2</v>
      </c>
      <c r="AF24" s="61">
        <f t="shared" si="37"/>
        <v>0.3</v>
      </c>
      <c r="AG24" s="139" t="s">
        <v>40</v>
      </c>
      <c r="AH24" s="176">
        <f t="shared" si="38"/>
        <v>40</v>
      </c>
      <c r="AI24" s="92">
        <f t="shared" si="39"/>
        <v>28.299484522385708</v>
      </c>
      <c r="AJ24" s="159">
        <f t="shared" si="40"/>
        <v>1.6</v>
      </c>
      <c r="AK24" s="152">
        <f t="shared" si="41"/>
        <v>2</v>
      </c>
      <c r="AL24" s="166">
        <f t="shared" si="42"/>
        <v>32.299484522385711</v>
      </c>
      <c r="AM24" s="15">
        <f t="shared" si="43"/>
        <v>374.39252999999997</v>
      </c>
      <c r="AN24" s="68" t="s">
        <v>18</v>
      </c>
      <c r="AO24" s="165">
        <f t="shared" si="44"/>
        <v>346.70877371541752</v>
      </c>
      <c r="AP24" s="96">
        <f t="shared" si="45"/>
        <v>0.86371163769758008</v>
      </c>
      <c r="AQ24" s="96">
        <f t="shared" si="46"/>
        <v>263.33701501539554</v>
      </c>
      <c r="AR24" s="96">
        <f t="shared" si="47"/>
        <v>297.29682623692736</v>
      </c>
      <c r="AS24" s="165">
        <f t="shared" si="48"/>
        <v>293.18100498790051</v>
      </c>
      <c r="AT24" s="796" t="s">
        <v>18</v>
      </c>
      <c r="AU24" s="797"/>
      <c r="AV24" s="96">
        <f t="shared" ref="AV24:AV40" si="49">AM24+AO24+AP24+AQ24+AR24+AS24</f>
        <v>1575.7798615933384</v>
      </c>
      <c r="AW24" s="71">
        <v>45.9</v>
      </c>
      <c r="BA24" s="182">
        <v>380.01</v>
      </c>
      <c r="BB24" s="179" t="e">
        <v>#VALUE!</v>
      </c>
      <c r="BC24" s="182">
        <v>357.8</v>
      </c>
      <c r="BD24" s="182">
        <v>271.76</v>
      </c>
      <c r="BE24" s="182">
        <v>302.56</v>
      </c>
      <c r="BF24" s="182">
        <v>306.22000000000003</v>
      </c>
      <c r="BG24" s="182">
        <v>0.91</v>
      </c>
    </row>
    <row r="25" spans="1:59" x14ac:dyDescent="0.25">
      <c r="A25" s="66">
        <v>3</v>
      </c>
      <c r="B25" s="62" t="s">
        <v>40</v>
      </c>
      <c r="C25" s="168">
        <v>70</v>
      </c>
      <c r="D25" s="170">
        <v>7</v>
      </c>
      <c r="E25" s="23" t="s">
        <v>40</v>
      </c>
      <c r="F25" s="161">
        <v>3.57</v>
      </c>
      <c r="G25" s="69">
        <v>8.1999999999999993</v>
      </c>
      <c r="H25" s="69">
        <v>13.1</v>
      </c>
      <c r="I25" s="69">
        <v>2</v>
      </c>
      <c r="J25" s="69">
        <v>75.84</v>
      </c>
      <c r="K25" s="69">
        <v>33.06</v>
      </c>
      <c r="L25" s="1009">
        <f t="shared" si="25"/>
        <v>1.8800000000000001</v>
      </c>
      <c r="M25" s="1010"/>
      <c r="N25" s="61">
        <f t="shared" si="26"/>
        <v>2.2000000000000002</v>
      </c>
      <c r="O25" s="167">
        <f t="shared" si="27"/>
        <v>11.959999999999999</v>
      </c>
      <c r="P25" s="62" t="s">
        <v>40</v>
      </c>
      <c r="Q25" s="64">
        <f t="shared" si="28"/>
        <v>16.86</v>
      </c>
      <c r="R25" s="167">
        <f t="shared" si="29"/>
        <v>12.6</v>
      </c>
      <c r="S25" s="62" t="s">
        <v>40</v>
      </c>
      <c r="T25" s="168">
        <f t="shared" si="30"/>
        <v>17.5</v>
      </c>
      <c r="U25" s="1009">
        <f t="shared" si="31"/>
        <v>26.499484522385711</v>
      </c>
      <c r="V25" s="1010"/>
      <c r="W25" s="148">
        <v>1</v>
      </c>
      <c r="X25" s="169">
        <f t="shared" si="32"/>
        <v>0.9</v>
      </c>
      <c r="Y25" s="169">
        <f t="shared" si="33"/>
        <v>2</v>
      </c>
      <c r="Z25" s="1006">
        <f t="shared" si="34"/>
        <v>30.499484522385711</v>
      </c>
      <c r="AA25" s="1007"/>
      <c r="AB25" s="65">
        <f t="shared" si="35"/>
        <v>3</v>
      </c>
      <c r="AC25" s="62" t="s">
        <v>40</v>
      </c>
      <c r="AD25" s="168">
        <f t="shared" si="36"/>
        <v>70</v>
      </c>
      <c r="AE25" s="174">
        <v>2</v>
      </c>
      <c r="AF25" s="61">
        <f t="shared" si="37"/>
        <v>0.5</v>
      </c>
      <c r="AG25" s="139" t="s">
        <v>40</v>
      </c>
      <c r="AH25" s="176">
        <f t="shared" si="38"/>
        <v>40</v>
      </c>
      <c r="AI25" s="92">
        <f t="shared" si="39"/>
        <v>32.499484522385714</v>
      </c>
      <c r="AJ25" s="59">
        <f t="shared" si="40"/>
        <v>1.77</v>
      </c>
      <c r="AK25" s="152">
        <f t="shared" si="41"/>
        <v>2.2000000000000002</v>
      </c>
      <c r="AL25" s="166">
        <f t="shared" si="42"/>
        <v>36.899484522385713</v>
      </c>
      <c r="AM25" s="68">
        <f t="shared" si="43"/>
        <v>540.78920999999991</v>
      </c>
      <c r="AN25" s="68" t="s">
        <v>18</v>
      </c>
      <c r="AO25" s="165">
        <f t="shared" si="44"/>
        <v>402.26026545621755</v>
      </c>
      <c r="AP25" s="96">
        <f t="shared" si="45"/>
        <v>0.92475906614213688</v>
      </c>
      <c r="AQ25" s="96">
        <f t="shared" si="46"/>
        <v>330.9816876418214</v>
      </c>
      <c r="AR25" s="96">
        <f t="shared" si="47"/>
        <v>563.46997895913194</v>
      </c>
      <c r="AS25" s="165">
        <f t="shared" si="48"/>
        <v>369.33145549228448</v>
      </c>
      <c r="AT25" s="796" t="s">
        <v>18</v>
      </c>
      <c r="AU25" s="797"/>
      <c r="AV25" s="96">
        <f t="shared" si="49"/>
        <v>2207.7573566155975</v>
      </c>
      <c r="AW25" s="72">
        <v>66.3</v>
      </c>
      <c r="BA25" s="182">
        <v>548.9</v>
      </c>
      <c r="BB25" s="179" t="e">
        <v>#VALUE!</v>
      </c>
      <c r="BC25" s="182">
        <v>415.13</v>
      </c>
      <c r="BD25" s="182">
        <v>341.57</v>
      </c>
      <c r="BE25" s="182">
        <v>381.15</v>
      </c>
      <c r="BF25" s="182">
        <v>580.37</v>
      </c>
      <c r="BG25" s="182">
        <v>0.97</v>
      </c>
    </row>
    <row r="26" spans="1:59" x14ac:dyDescent="0.25">
      <c r="A26" s="66">
        <v>3</v>
      </c>
      <c r="B26" s="62" t="s">
        <v>40</v>
      </c>
      <c r="C26" s="168">
        <v>95</v>
      </c>
      <c r="D26" s="170">
        <v>7</v>
      </c>
      <c r="E26" s="23" t="s">
        <v>40</v>
      </c>
      <c r="F26" s="161">
        <v>4.26</v>
      </c>
      <c r="G26" s="69">
        <v>9.6</v>
      </c>
      <c r="H26" s="69">
        <v>15.6</v>
      </c>
      <c r="I26" s="69">
        <v>2</v>
      </c>
      <c r="J26" s="69">
        <v>104.05</v>
      </c>
      <c r="K26" s="69">
        <v>38.99</v>
      </c>
      <c r="L26" s="1009">
        <f t="shared" si="25"/>
        <v>1.8800000000000001</v>
      </c>
      <c r="M26" s="1010"/>
      <c r="N26" s="61">
        <f t="shared" si="26"/>
        <v>2.2000000000000002</v>
      </c>
      <c r="O26" s="167">
        <f t="shared" si="27"/>
        <v>13.36</v>
      </c>
      <c r="P26" s="62" t="s">
        <v>40</v>
      </c>
      <c r="Q26" s="64">
        <f t="shared" si="28"/>
        <v>19.36</v>
      </c>
      <c r="R26" s="167">
        <f t="shared" si="29"/>
        <v>14</v>
      </c>
      <c r="S26" s="62" t="s">
        <v>40</v>
      </c>
      <c r="T26" s="168">
        <f t="shared" si="30"/>
        <v>20</v>
      </c>
      <c r="U26" s="1009">
        <f t="shared" si="31"/>
        <v>29.299484522385711</v>
      </c>
      <c r="V26" s="1010"/>
      <c r="W26" s="148">
        <v>1</v>
      </c>
      <c r="X26" s="169">
        <f t="shared" si="32"/>
        <v>0.9</v>
      </c>
      <c r="Y26" s="169">
        <f t="shared" si="33"/>
        <v>2</v>
      </c>
      <c r="Z26" s="1006">
        <f t="shared" si="34"/>
        <v>33.299484522385711</v>
      </c>
      <c r="AA26" s="1007"/>
      <c r="AB26" s="65">
        <f t="shared" si="35"/>
        <v>3</v>
      </c>
      <c r="AC26" s="62" t="s">
        <v>40</v>
      </c>
      <c r="AD26" s="168">
        <f t="shared" si="36"/>
        <v>95</v>
      </c>
      <c r="AE26" s="174">
        <v>2</v>
      </c>
      <c r="AF26" s="61">
        <f t="shared" si="37"/>
        <v>0.5</v>
      </c>
      <c r="AG26" s="139" t="s">
        <v>40</v>
      </c>
      <c r="AH26" s="176">
        <f t="shared" si="38"/>
        <v>45</v>
      </c>
      <c r="AI26" s="92">
        <f t="shared" si="39"/>
        <v>35.299484522385711</v>
      </c>
      <c r="AJ26" s="59">
        <f t="shared" si="40"/>
        <v>1.77</v>
      </c>
      <c r="AK26" s="152">
        <f t="shared" si="41"/>
        <v>2.2000000000000002</v>
      </c>
      <c r="AL26" s="166">
        <f t="shared" si="42"/>
        <v>39.69948452238571</v>
      </c>
      <c r="AM26" s="68">
        <f t="shared" si="43"/>
        <v>759.06250199999999</v>
      </c>
      <c r="AN26" s="68" t="s">
        <v>18</v>
      </c>
      <c r="AO26" s="165">
        <f t="shared" si="44"/>
        <v>461.9378643734176</v>
      </c>
      <c r="AP26" s="96">
        <f t="shared" si="45"/>
        <v>0.98580649458669378</v>
      </c>
      <c r="AQ26" s="96">
        <f t="shared" si="46"/>
        <v>354.12825265032473</v>
      </c>
      <c r="AR26" s="96">
        <f t="shared" si="47"/>
        <v>613.55701895384482</v>
      </c>
      <c r="AS26" s="165">
        <f t="shared" si="48"/>
        <v>399.1338600412987</v>
      </c>
      <c r="AT26" s="796" t="s">
        <v>18</v>
      </c>
      <c r="AU26" s="797"/>
      <c r="AV26" s="96">
        <f t="shared" si="49"/>
        <v>2588.8053045134725</v>
      </c>
      <c r="AW26" s="72">
        <v>93.06</v>
      </c>
      <c r="BA26" s="182">
        <v>770.45</v>
      </c>
      <c r="BB26" s="179" t="e">
        <v>#VALUE!</v>
      </c>
      <c r="BC26" s="182">
        <v>476.72</v>
      </c>
      <c r="BD26" s="182">
        <v>365.46</v>
      </c>
      <c r="BE26" s="182">
        <v>411.91</v>
      </c>
      <c r="BF26" s="182">
        <v>631.96</v>
      </c>
      <c r="BG26" s="182">
        <v>1.04</v>
      </c>
    </row>
    <row r="27" spans="1:59" x14ac:dyDescent="0.25">
      <c r="A27" s="170">
        <v>3</v>
      </c>
      <c r="B27" s="23" t="s">
        <v>40</v>
      </c>
      <c r="C27" s="22">
        <v>120</v>
      </c>
      <c r="D27" s="170">
        <v>19</v>
      </c>
      <c r="E27" s="23" t="s">
        <v>40</v>
      </c>
      <c r="F27" s="161">
        <v>2.86</v>
      </c>
      <c r="G27" s="24">
        <v>10.8</v>
      </c>
      <c r="H27" s="14">
        <v>17.7</v>
      </c>
      <c r="I27" s="14">
        <v>2</v>
      </c>
      <c r="J27" s="14">
        <v>130.93</v>
      </c>
      <c r="K27" s="14">
        <v>43.93</v>
      </c>
      <c r="L27" s="796">
        <f t="shared" si="25"/>
        <v>1.8800000000000001</v>
      </c>
      <c r="M27" s="796"/>
      <c r="N27" s="61">
        <f t="shared" si="26"/>
        <v>2.2000000000000002</v>
      </c>
      <c r="O27" s="160">
        <f t="shared" si="27"/>
        <v>14.56</v>
      </c>
      <c r="P27" s="23" t="s">
        <v>40</v>
      </c>
      <c r="Q27" s="23">
        <f t="shared" si="28"/>
        <v>21.46</v>
      </c>
      <c r="R27" s="160">
        <f t="shared" si="29"/>
        <v>15.200000000000001</v>
      </c>
      <c r="S27" s="23" t="s">
        <v>40</v>
      </c>
      <c r="T27" s="161">
        <f t="shared" si="30"/>
        <v>22.1</v>
      </c>
      <c r="U27" s="796">
        <f t="shared" si="31"/>
        <v>31.699484522385713</v>
      </c>
      <c r="V27" s="796"/>
      <c r="W27" s="148">
        <v>1</v>
      </c>
      <c r="X27" s="169">
        <f t="shared" si="32"/>
        <v>0.9</v>
      </c>
      <c r="Y27" s="169">
        <f t="shared" si="33"/>
        <v>2</v>
      </c>
      <c r="Z27" s="1006">
        <f t="shared" si="34"/>
        <v>35.699484522385717</v>
      </c>
      <c r="AA27" s="1007"/>
      <c r="AB27" s="67">
        <f t="shared" si="35"/>
        <v>3</v>
      </c>
      <c r="AC27" s="23" t="s">
        <v>40</v>
      </c>
      <c r="AD27" s="74">
        <f t="shared" si="36"/>
        <v>120</v>
      </c>
      <c r="AE27" s="174">
        <v>2</v>
      </c>
      <c r="AF27" s="61">
        <f t="shared" si="37"/>
        <v>0.5</v>
      </c>
      <c r="AG27" s="139" t="s">
        <v>40</v>
      </c>
      <c r="AH27" s="176">
        <f t="shared" si="38"/>
        <v>45</v>
      </c>
      <c r="AI27" s="92">
        <f t="shared" si="39"/>
        <v>37.699484522385717</v>
      </c>
      <c r="AJ27" s="159">
        <f t="shared" si="40"/>
        <v>1.77</v>
      </c>
      <c r="AK27" s="152">
        <f t="shared" si="41"/>
        <v>2.2000000000000002</v>
      </c>
      <c r="AL27" s="166">
        <f t="shared" si="42"/>
        <v>42.099484522385715</v>
      </c>
      <c r="AM27" s="15">
        <f t="shared" si="43"/>
        <v>958.82008499999984</v>
      </c>
      <c r="AN27" s="68" t="s">
        <v>18</v>
      </c>
      <c r="AO27" s="165">
        <f t="shared" si="44"/>
        <v>511.65242401101756</v>
      </c>
      <c r="AP27" s="96">
        <f t="shared" si="45"/>
        <v>1.0381328618248855</v>
      </c>
      <c r="AQ27" s="96">
        <f t="shared" si="46"/>
        <v>377.67064222563715</v>
      </c>
      <c r="AR27" s="96">
        <f t="shared" si="47"/>
        <v>656.48876752074148</v>
      </c>
      <c r="AS27" s="165">
        <f t="shared" si="48"/>
        <v>424.67877822616805</v>
      </c>
      <c r="AT27" s="796" t="s">
        <v>18</v>
      </c>
      <c r="AU27" s="797"/>
      <c r="AV27" s="96">
        <f t="shared" si="49"/>
        <v>2930.348829845389</v>
      </c>
      <c r="AW27" s="71">
        <v>117.55</v>
      </c>
      <c r="BA27" s="182">
        <v>973.2</v>
      </c>
      <c r="BB27" s="179" t="e">
        <v>#VALUE!</v>
      </c>
      <c r="BC27" s="182">
        <v>528.03</v>
      </c>
      <c r="BD27" s="182">
        <v>389.76</v>
      </c>
      <c r="BE27" s="182">
        <v>438.27</v>
      </c>
      <c r="BF27" s="182">
        <v>676.18</v>
      </c>
      <c r="BG27" s="182">
        <v>1.0900000000000001</v>
      </c>
    </row>
    <row r="28" spans="1:59" x14ac:dyDescent="0.25">
      <c r="A28" s="66">
        <v>3</v>
      </c>
      <c r="B28" s="62" t="s">
        <v>40</v>
      </c>
      <c r="C28" s="168">
        <v>150</v>
      </c>
      <c r="D28" s="170">
        <v>19</v>
      </c>
      <c r="E28" s="23" t="s">
        <v>40</v>
      </c>
      <c r="F28" s="161">
        <v>3.22</v>
      </c>
      <c r="G28" s="69">
        <v>12.2</v>
      </c>
      <c r="H28" s="69">
        <v>20.3</v>
      </c>
      <c r="I28" s="69">
        <v>2</v>
      </c>
      <c r="J28" s="69">
        <v>167.23</v>
      </c>
      <c r="K28" s="69">
        <v>49.96</v>
      </c>
      <c r="L28" s="1009">
        <f t="shared" si="25"/>
        <v>1.8800000000000001</v>
      </c>
      <c r="M28" s="1010"/>
      <c r="N28" s="61">
        <f t="shared" si="26"/>
        <v>2.2000000000000002</v>
      </c>
      <c r="O28" s="167">
        <f t="shared" si="27"/>
        <v>15.959999999999999</v>
      </c>
      <c r="P28" s="62" t="s">
        <v>40</v>
      </c>
      <c r="Q28" s="64">
        <f t="shared" si="28"/>
        <v>24.060000000000002</v>
      </c>
      <c r="R28" s="167">
        <f t="shared" si="29"/>
        <v>16.600000000000001</v>
      </c>
      <c r="S28" s="62" t="s">
        <v>40</v>
      </c>
      <c r="T28" s="168">
        <f t="shared" si="30"/>
        <v>24.700000000000003</v>
      </c>
      <c r="U28" s="1009">
        <f t="shared" si="31"/>
        <v>34.499484522385714</v>
      </c>
      <c r="V28" s="1010"/>
      <c r="W28" s="148">
        <v>1</v>
      </c>
      <c r="X28" s="169">
        <f t="shared" si="32"/>
        <v>0.9</v>
      </c>
      <c r="Y28" s="169">
        <f t="shared" si="33"/>
        <v>2</v>
      </c>
      <c r="Z28" s="1006">
        <f t="shared" si="34"/>
        <v>38.499484522385714</v>
      </c>
      <c r="AA28" s="1007"/>
      <c r="AB28" s="65">
        <f t="shared" si="35"/>
        <v>3</v>
      </c>
      <c r="AC28" s="62" t="s">
        <v>40</v>
      </c>
      <c r="AD28" s="168">
        <f t="shared" si="36"/>
        <v>150</v>
      </c>
      <c r="AE28" s="174">
        <v>2</v>
      </c>
      <c r="AF28" s="61">
        <f t="shared" si="37"/>
        <v>0.5</v>
      </c>
      <c r="AG28" s="139" t="s">
        <v>40</v>
      </c>
      <c r="AH28" s="176">
        <f t="shared" si="38"/>
        <v>45</v>
      </c>
      <c r="AI28" s="92">
        <f t="shared" si="39"/>
        <v>40.499484522385714</v>
      </c>
      <c r="AJ28" s="59">
        <f t="shared" si="40"/>
        <v>1.94</v>
      </c>
      <c r="AK28" s="152">
        <f t="shared" si="41"/>
        <v>2.4</v>
      </c>
      <c r="AL28" s="166">
        <f t="shared" si="42"/>
        <v>45.299484522385711</v>
      </c>
      <c r="AM28" s="68">
        <f t="shared" si="43"/>
        <v>1198.545498</v>
      </c>
      <c r="AN28" s="68" t="s">
        <v>18</v>
      </c>
      <c r="AO28" s="165">
        <f t="shared" si="44"/>
        <v>572.33639053221748</v>
      </c>
      <c r="AP28" s="96">
        <f t="shared" si="45"/>
        <v>1.0991802902694425</v>
      </c>
      <c r="AQ28" s="96">
        <f t="shared" si="46"/>
        <v>397.93431955952747</v>
      </c>
      <c r="AR28" s="96">
        <f t="shared" si="47"/>
        <v>706.57580751545436</v>
      </c>
      <c r="AS28" s="165">
        <f t="shared" si="48"/>
        <v>498.11991922609587</v>
      </c>
      <c r="AT28" s="796" t="s">
        <v>18</v>
      </c>
      <c r="AU28" s="797"/>
      <c r="AV28" s="96">
        <f t="shared" si="49"/>
        <v>3374.611115123565</v>
      </c>
      <c r="AW28" s="72">
        <v>146.94</v>
      </c>
      <c r="BA28" s="182">
        <v>1216.52</v>
      </c>
      <c r="BB28" s="179" t="e">
        <v>#VALUE!</v>
      </c>
      <c r="BC28" s="182">
        <v>590.65</v>
      </c>
      <c r="BD28" s="182">
        <v>410.67</v>
      </c>
      <c r="BE28" s="182">
        <v>514.05999999999995</v>
      </c>
      <c r="BF28" s="182">
        <v>727.77</v>
      </c>
      <c r="BG28" s="182">
        <v>1.1499999999999999</v>
      </c>
    </row>
    <row r="29" spans="1:59" x14ac:dyDescent="0.25">
      <c r="A29" s="170">
        <v>3</v>
      </c>
      <c r="B29" s="23" t="s">
        <v>40</v>
      </c>
      <c r="C29" s="22">
        <v>185</v>
      </c>
      <c r="D29" s="170">
        <v>37</v>
      </c>
      <c r="E29" s="23" t="s">
        <v>40</v>
      </c>
      <c r="F29" s="161">
        <v>2.52</v>
      </c>
      <c r="G29" s="24">
        <v>13.6</v>
      </c>
      <c r="H29" s="14">
        <v>23.1</v>
      </c>
      <c r="I29" s="14">
        <v>2</v>
      </c>
      <c r="J29" s="14">
        <v>207.99</v>
      </c>
      <c r="K29" s="14">
        <v>56.19</v>
      </c>
      <c r="L29" s="796">
        <f t="shared" si="25"/>
        <v>1.8800000000000001</v>
      </c>
      <c r="M29" s="796"/>
      <c r="N29" s="61">
        <f t="shared" si="26"/>
        <v>2.2000000000000002</v>
      </c>
      <c r="O29" s="160">
        <f t="shared" si="27"/>
        <v>17.36</v>
      </c>
      <c r="P29" s="23" t="s">
        <v>40</v>
      </c>
      <c r="Q29" s="23">
        <f t="shared" si="28"/>
        <v>26.860000000000003</v>
      </c>
      <c r="R29" s="160">
        <f t="shared" si="29"/>
        <v>18</v>
      </c>
      <c r="S29" s="23" t="s">
        <v>40</v>
      </c>
      <c r="T29" s="161">
        <f t="shared" si="30"/>
        <v>27.5</v>
      </c>
      <c r="U29" s="796">
        <f t="shared" si="31"/>
        <v>37.299484522385711</v>
      </c>
      <c r="V29" s="796"/>
      <c r="W29" s="148">
        <v>1</v>
      </c>
      <c r="X29" s="169">
        <f t="shared" si="32"/>
        <v>0.9</v>
      </c>
      <c r="Y29" s="169">
        <f t="shared" si="33"/>
        <v>2.2000000000000002</v>
      </c>
      <c r="Z29" s="1006">
        <f t="shared" si="34"/>
        <v>41.69948452238571</v>
      </c>
      <c r="AA29" s="1007"/>
      <c r="AB29" s="67">
        <f t="shared" si="35"/>
        <v>3</v>
      </c>
      <c r="AC29" s="23" t="s">
        <v>40</v>
      </c>
      <c r="AD29" s="74">
        <f t="shared" si="36"/>
        <v>185</v>
      </c>
      <c r="AE29" s="174">
        <v>2</v>
      </c>
      <c r="AF29" s="61">
        <f t="shared" si="37"/>
        <v>0.5</v>
      </c>
      <c r="AG29" s="139" t="s">
        <v>40</v>
      </c>
      <c r="AH29" s="176">
        <f t="shared" si="38"/>
        <v>50</v>
      </c>
      <c r="AI29" s="92">
        <f t="shared" si="39"/>
        <v>43.69948452238571</v>
      </c>
      <c r="AJ29" s="159">
        <f t="shared" si="40"/>
        <v>1.94</v>
      </c>
      <c r="AK29" s="152">
        <f t="shared" si="41"/>
        <v>2.4</v>
      </c>
      <c r="AL29" s="166">
        <f t="shared" si="42"/>
        <v>48.499484522385707</v>
      </c>
      <c r="AM29" s="15">
        <f t="shared" si="43"/>
        <v>1478.1571739999999</v>
      </c>
      <c r="AN29" s="68" t="s">
        <v>18</v>
      </c>
      <c r="AO29" s="165">
        <f t="shared" si="44"/>
        <v>635.03309226141744</v>
      </c>
      <c r="AP29" s="96">
        <f t="shared" si="45"/>
        <v>1.1602277187139991</v>
      </c>
      <c r="AQ29" s="96">
        <f t="shared" si="46"/>
        <v>451.36391057323971</v>
      </c>
      <c r="AR29" s="96">
        <f t="shared" si="47"/>
        <v>763.81813893798312</v>
      </c>
      <c r="AS29" s="165">
        <f t="shared" si="48"/>
        <v>535.27616385863303</v>
      </c>
      <c r="AT29" s="796" t="s">
        <v>18</v>
      </c>
      <c r="AU29" s="797"/>
      <c r="AV29" s="96">
        <f t="shared" si="49"/>
        <v>3864.8087073499869</v>
      </c>
      <c r="AW29" s="71">
        <v>181.22</v>
      </c>
      <c r="BA29" s="182">
        <v>1500.33</v>
      </c>
      <c r="BB29" s="179" t="e">
        <v>#VALUE!</v>
      </c>
      <c r="BC29" s="182">
        <v>655.35</v>
      </c>
      <c r="BD29" s="182">
        <v>465.81</v>
      </c>
      <c r="BE29" s="182">
        <v>552.41</v>
      </c>
      <c r="BF29" s="182">
        <v>786.73</v>
      </c>
      <c r="BG29" s="182">
        <v>1.22</v>
      </c>
    </row>
    <row r="30" spans="1:59" ht="13.8" thickBot="1" x14ac:dyDescent="0.3">
      <c r="A30" s="170">
        <v>3</v>
      </c>
      <c r="B30" s="23" t="s">
        <v>40</v>
      </c>
      <c r="C30" s="22">
        <v>240</v>
      </c>
      <c r="D30" s="170">
        <v>37</v>
      </c>
      <c r="E30" s="23" t="s">
        <v>40</v>
      </c>
      <c r="F30" s="161">
        <v>2.88</v>
      </c>
      <c r="G30" s="24">
        <v>15.6</v>
      </c>
      <c r="H30" s="14">
        <v>26.7</v>
      </c>
      <c r="I30" s="14">
        <v>2</v>
      </c>
      <c r="J30" s="14">
        <v>272.77</v>
      </c>
      <c r="K30" s="14">
        <v>64.62</v>
      </c>
      <c r="L30" s="796">
        <f t="shared" si="25"/>
        <v>1.8800000000000001</v>
      </c>
      <c r="M30" s="796"/>
      <c r="N30" s="61">
        <f t="shared" si="26"/>
        <v>2.2000000000000002</v>
      </c>
      <c r="O30" s="160">
        <f t="shared" si="27"/>
        <v>19.36</v>
      </c>
      <c r="P30" s="23" t="s">
        <v>40</v>
      </c>
      <c r="Q30" s="23">
        <f t="shared" si="28"/>
        <v>30.46</v>
      </c>
      <c r="R30" s="160">
        <f t="shared" si="29"/>
        <v>20</v>
      </c>
      <c r="S30" s="23" t="s">
        <v>40</v>
      </c>
      <c r="T30" s="161">
        <f t="shared" si="30"/>
        <v>31.1</v>
      </c>
      <c r="U30" s="796">
        <f t="shared" si="31"/>
        <v>41.299484522385711</v>
      </c>
      <c r="V30" s="796"/>
      <c r="W30" s="148">
        <v>1</v>
      </c>
      <c r="X30" s="169">
        <f t="shared" si="32"/>
        <v>0.9</v>
      </c>
      <c r="Y30" s="169">
        <f t="shared" si="33"/>
        <v>2.2000000000000002</v>
      </c>
      <c r="Z30" s="1006">
        <f t="shared" si="34"/>
        <v>45.69948452238571</v>
      </c>
      <c r="AA30" s="1007"/>
      <c r="AB30" s="67">
        <f t="shared" si="35"/>
        <v>3</v>
      </c>
      <c r="AC30" s="23" t="s">
        <v>40</v>
      </c>
      <c r="AD30" s="74">
        <f t="shared" si="36"/>
        <v>240</v>
      </c>
      <c r="AE30" s="174">
        <v>2</v>
      </c>
      <c r="AF30" s="61">
        <f t="shared" si="37"/>
        <v>0.5</v>
      </c>
      <c r="AG30" s="139" t="s">
        <v>40</v>
      </c>
      <c r="AH30" s="176">
        <f t="shared" si="38"/>
        <v>50</v>
      </c>
      <c r="AI30" s="92">
        <f t="shared" si="39"/>
        <v>47.69948452238571</v>
      </c>
      <c r="AJ30" s="159">
        <f t="shared" si="40"/>
        <v>1.94</v>
      </c>
      <c r="AK30" s="152">
        <f t="shared" si="41"/>
        <v>2.4</v>
      </c>
      <c r="AL30" s="166">
        <f t="shared" si="42"/>
        <v>52.499484522385707</v>
      </c>
      <c r="AM30" s="15">
        <f t="shared" si="43"/>
        <v>1917.6401699999997</v>
      </c>
      <c r="AN30" s="68" t="s">
        <v>18</v>
      </c>
      <c r="AO30" s="165">
        <f t="shared" si="44"/>
        <v>719.86988127861753</v>
      </c>
      <c r="AP30" s="96">
        <f t="shared" si="45"/>
        <v>1.2474383307776518</v>
      </c>
      <c r="AQ30" s="96">
        <f t="shared" si="46"/>
        <v>485.7954532885654</v>
      </c>
      <c r="AR30" s="96">
        <f t="shared" si="47"/>
        <v>835.37105321614433</v>
      </c>
      <c r="AS30" s="165">
        <f t="shared" si="48"/>
        <v>581.72146964930448</v>
      </c>
      <c r="AT30" s="796" t="s">
        <v>18</v>
      </c>
      <c r="AU30" s="797"/>
      <c r="AV30" s="96">
        <f t="shared" si="49"/>
        <v>4541.6454657634094</v>
      </c>
      <c r="AW30" s="71">
        <v>235.1</v>
      </c>
      <c r="BA30" s="182">
        <v>1946.4</v>
      </c>
      <c r="BB30" s="179" t="e">
        <v>#VALUE!</v>
      </c>
      <c r="BC30" s="182">
        <v>742.91</v>
      </c>
      <c r="BD30" s="182">
        <v>501.34</v>
      </c>
      <c r="BE30" s="182">
        <v>600.34</v>
      </c>
      <c r="BF30" s="182">
        <v>860.43</v>
      </c>
      <c r="BG30" s="182">
        <v>1.31</v>
      </c>
    </row>
    <row r="31" spans="1:59" ht="13.8" thickBot="1" x14ac:dyDescent="0.3">
      <c r="A31" s="1011" t="s">
        <v>103</v>
      </c>
      <c r="B31" s="1012"/>
      <c r="C31" s="1012"/>
      <c r="D31" s="1012"/>
      <c r="E31" s="1012"/>
      <c r="F31" s="1012"/>
      <c r="G31" s="1013"/>
      <c r="H31" s="1013"/>
      <c r="I31" s="1013"/>
      <c r="J31" s="1013"/>
      <c r="K31" s="1013"/>
      <c r="L31" s="1012"/>
      <c r="M31" s="1012"/>
      <c r="N31" s="1012"/>
      <c r="O31" s="1012"/>
      <c r="P31" s="1012"/>
      <c r="Q31" s="1012"/>
      <c r="R31" s="1012"/>
      <c r="S31" s="1012"/>
      <c r="T31" s="1012"/>
      <c r="U31" s="1012"/>
      <c r="V31" s="1012"/>
      <c r="W31" s="1012"/>
      <c r="X31" s="1012"/>
      <c r="Y31" s="1012"/>
      <c r="Z31" s="1012"/>
      <c r="AA31" s="1014"/>
      <c r="AB31" s="677" t="s">
        <v>103</v>
      </c>
      <c r="AC31" s="678"/>
      <c r="AD31" s="678"/>
      <c r="AE31" s="678"/>
      <c r="AF31" s="678"/>
      <c r="AG31" s="678"/>
      <c r="AH31" s="678"/>
      <c r="AI31" s="678"/>
      <c r="AJ31" s="678"/>
      <c r="AK31" s="678"/>
      <c r="AL31" s="678"/>
      <c r="AM31" s="678"/>
      <c r="AN31" s="678"/>
      <c r="AO31" s="678"/>
      <c r="AP31" s="678"/>
      <c r="AQ31" s="678"/>
      <c r="AR31" s="678"/>
      <c r="AS31" s="678"/>
      <c r="AT31" s="678"/>
      <c r="AU31" s="678"/>
      <c r="AV31" s="679"/>
      <c r="BA31" s="177" t="s">
        <v>117</v>
      </c>
      <c r="BB31" s="177" t="s">
        <v>118</v>
      </c>
      <c r="BC31" s="177" t="s">
        <v>112</v>
      </c>
      <c r="BD31" s="177" t="s">
        <v>114</v>
      </c>
      <c r="BE31" s="177" t="s">
        <v>121</v>
      </c>
      <c r="BF31" s="177" t="s">
        <v>115</v>
      </c>
      <c r="BG31" s="177" t="s">
        <v>119</v>
      </c>
    </row>
    <row r="32" spans="1:59" x14ac:dyDescent="0.25">
      <c r="A32" s="44">
        <v>3</v>
      </c>
      <c r="B32" s="45" t="s">
        <v>40</v>
      </c>
      <c r="C32" s="46">
        <v>25</v>
      </c>
      <c r="D32" s="1015" t="s">
        <v>18</v>
      </c>
      <c r="E32" s="1016"/>
      <c r="F32" s="1017"/>
      <c r="G32" s="47">
        <v>4.79</v>
      </c>
      <c r="H32" s="47">
        <v>7.56</v>
      </c>
      <c r="I32" s="47">
        <v>1.39</v>
      </c>
      <c r="J32" s="48">
        <v>26</v>
      </c>
      <c r="K32" s="47">
        <v>19.25</v>
      </c>
      <c r="L32" s="796">
        <f t="shared" ref="L32:L40" si="50">N32-(N32*0.1+0.1)</f>
        <v>1.8800000000000001</v>
      </c>
      <c r="M32" s="796"/>
      <c r="N32" s="61">
        <f t="shared" ref="N32:N40" si="51">IF(AND(C32&gt;=1.5,C32&lt;=240),2.2,IF(C32=300,2.4,IF(C32=400,2.6,IF(C32=500,2.8,IF(C32=630,2.8,IF(C32=800,2.8,"ошибка"))))))</f>
        <v>2.2000000000000002</v>
      </c>
      <c r="O32" s="160">
        <f t="shared" ref="O32:O40" si="52">G32+2*L32</f>
        <v>8.5500000000000007</v>
      </c>
      <c r="P32" s="23" t="s">
        <v>40</v>
      </c>
      <c r="Q32" s="23">
        <f>H32+2*L32</f>
        <v>11.32</v>
      </c>
      <c r="R32" s="160">
        <f t="shared" ref="R32:R40" si="53">G32+2*N32</f>
        <v>9.1900000000000013</v>
      </c>
      <c r="S32" s="23" t="s">
        <v>40</v>
      </c>
      <c r="T32" s="161">
        <f t="shared" ref="T32:T40" si="54">H32+2*N32</f>
        <v>11.96</v>
      </c>
      <c r="U32" s="796">
        <f t="shared" ref="U32:U40" si="55">2*(R32+(I32+N32)*(1/COS(PI()*(A32-2)/(2*A32))-1))</f>
        <v>19.490749865563028</v>
      </c>
      <c r="V32" s="796"/>
      <c r="W32" s="148">
        <v>1</v>
      </c>
      <c r="X32" s="169">
        <f t="shared" ref="X32:X40" si="56">IF(U32&lt;=60,0.9,1)</f>
        <v>0.9</v>
      </c>
      <c r="Y32" s="169">
        <f t="shared" ref="Y32:Y40" si="57">IF(U32&lt;=25,1.7,IF(AND(U32&gt;25,U32&lt;=35),2,IF(AND(U32&gt;35,U32&lt;=45),2.2,IF(AND(U32&gt;45,U32&lt;=60),2.4,IF(AND(U32&gt;60,U32&lt;=80),2.5,2.7)))))</f>
        <v>1.7</v>
      </c>
      <c r="Z32" s="1006">
        <f t="shared" ref="Z32:Z40" si="58">U32+2*Y32</f>
        <v>22.890749865563027</v>
      </c>
      <c r="AA32" s="1007"/>
      <c r="AB32" s="28">
        <f t="shared" ref="AB32:AB40" si="59">A32</f>
        <v>3</v>
      </c>
      <c r="AC32" s="49" t="s">
        <v>40</v>
      </c>
      <c r="AD32" s="50">
        <f t="shared" ref="AD32:AD40" si="60">C32</f>
        <v>25</v>
      </c>
      <c r="AE32" s="174">
        <v>2</v>
      </c>
      <c r="AF32" s="61">
        <f t="shared" ref="AF32:AF40" si="61">IF(Z32&lt;=30,0.3,0.5)</f>
        <v>0.3</v>
      </c>
      <c r="AG32" s="139" t="s">
        <v>40</v>
      </c>
      <c r="AH32" s="176">
        <f t="shared" ref="AH32:AH40" si="62">IF(AND(Z32&gt;8,Z32&lt;=13),20,IF(AND(Z32&gt;13,Z32&lt;=17),25,IF(AND(Z32&gt;17,Z32&lt;=21),30,IF(AND(Z32&gt;21,Z32&lt;=26),35,IF(AND(Z32&gt;26,Z32&lt;=31),40,IF(AND(Z32&gt;31,Z32&lt;=40),45,IF(AND(Z32&gt;40,Z32&lt;=50),50,55)))))))</f>
        <v>35</v>
      </c>
      <c r="AI32" s="92">
        <f t="shared" ref="AI32:AI40" si="63">Z32+2*AE32*AF32</f>
        <v>24.090749865563026</v>
      </c>
      <c r="AJ32" s="29">
        <f t="shared" ref="AJ32:AJ40" si="64">AK32-(AK32*0.15+0.1)</f>
        <v>1.6</v>
      </c>
      <c r="AK32" s="152">
        <f t="shared" ref="AK32:AK40" si="65">IF(AI32&lt;=20,1.8,IF(AND(AI32&gt;20,AI32&lt;=30),2,IF(AND(AI32&gt;30,AI32&lt;=40),2.2,IF(AND(AI32&gt;40,AI32&lt;=50),2.4,IF(AND(AI32&gt;50,AI32&lt;=60),2.6,3.1)))))</f>
        <v>2</v>
      </c>
      <c r="AL32" s="166">
        <f t="shared" ref="AL32:AL40" si="66">AI32+2*AK32</f>
        <v>28.090749865563026</v>
      </c>
      <c r="AM32" s="29">
        <f>AD32*AB32*2.7*1.007</f>
        <v>203.91749999999999</v>
      </c>
      <c r="AN32" s="51" t="s">
        <v>18</v>
      </c>
      <c r="AO32" s="165">
        <f t="shared" ref="AO32:AO40" si="67">PI()*(K32/PI()+N32)*N32*$AZ$8*1.07*A32*1.007</f>
        <v>249.30138256449985</v>
      </c>
      <c r="AP32" s="96">
        <f t="shared" ref="AP32:AP40" si="68">SQRT(POWER(1+U32*PI()/50,2))*0.347</f>
        <v>0.77195005633882674</v>
      </c>
      <c r="AQ32" s="96">
        <f t="shared" ref="AQ32:AQ40" si="69">(PI()*Z32*Z32/4-A32*(J32+PI()*(K32/PI()+N32)*N32)-((POWER((I32+N32),2)*(A32*TAN(PI()*((A32-2)/(2*A32)))-(PI()*(A32-2)/2)))))*$AZ$6</f>
        <v>222.31130613757125</v>
      </c>
      <c r="AR32" s="96">
        <f t="shared" ref="AR32:AR40" si="70">PI()*(Z32+AE32*AF32)*AE32*AF32*0.73*7.8</f>
        <v>252.12474171905339</v>
      </c>
      <c r="AS32" s="165">
        <f t="shared" ref="AS32:AS40" si="71">PI()*(AI32+AK32)*AK32*$AZ$7*1.1</f>
        <v>252.4568449612492</v>
      </c>
      <c r="AT32" s="796" t="s">
        <v>18</v>
      </c>
      <c r="AU32" s="797"/>
      <c r="AV32" s="96">
        <f t="shared" si="49"/>
        <v>1180.8837254387126</v>
      </c>
      <c r="BA32" s="182">
        <v>206.98</v>
      </c>
      <c r="BB32" s="179" t="e">
        <v>#VALUE!</v>
      </c>
      <c r="BC32" s="182">
        <v>257.27999999999997</v>
      </c>
      <c r="BD32" s="182">
        <v>229.43</v>
      </c>
      <c r="BE32" s="182">
        <v>260.54000000000002</v>
      </c>
      <c r="BF32" s="182">
        <v>259.69</v>
      </c>
      <c r="BG32" s="182">
        <v>0.81</v>
      </c>
    </row>
    <row r="33" spans="1:59" x14ac:dyDescent="0.25">
      <c r="A33" s="27">
        <v>3</v>
      </c>
      <c r="B33" s="23" t="s">
        <v>40</v>
      </c>
      <c r="C33" s="22">
        <v>35</v>
      </c>
      <c r="D33" s="1015" t="s">
        <v>18</v>
      </c>
      <c r="E33" s="1016"/>
      <c r="F33" s="1017"/>
      <c r="G33" s="24">
        <v>5.63</v>
      </c>
      <c r="H33" s="14">
        <v>8.9</v>
      </c>
      <c r="I33" s="14">
        <v>1.63</v>
      </c>
      <c r="J33" s="14">
        <v>36</v>
      </c>
      <c r="K33" s="14">
        <v>22.65</v>
      </c>
      <c r="L33" s="796">
        <f t="shared" si="50"/>
        <v>1.8800000000000001</v>
      </c>
      <c r="M33" s="796"/>
      <c r="N33" s="61">
        <f t="shared" si="51"/>
        <v>2.2000000000000002</v>
      </c>
      <c r="O33" s="22">
        <f t="shared" si="52"/>
        <v>9.39</v>
      </c>
      <c r="P33" s="23" t="s">
        <v>40</v>
      </c>
      <c r="Q33" s="23">
        <f t="shared" ref="Q33:Q40" si="72">H33+2*L33</f>
        <v>12.66</v>
      </c>
      <c r="R33" s="160">
        <f t="shared" si="53"/>
        <v>10.030000000000001</v>
      </c>
      <c r="S33" s="23" t="s">
        <v>40</v>
      </c>
      <c r="T33" s="161">
        <f t="shared" si="54"/>
        <v>13.3</v>
      </c>
      <c r="U33" s="796">
        <f t="shared" si="55"/>
        <v>21.245006123985068</v>
      </c>
      <c r="V33" s="796"/>
      <c r="W33" s="148">
        <v>1</v>
      </c>
      <c r="X33" s="169">
        <f t="shared" si="56"/>
        <v>0.9</v>
      </c>
      <c r="Y33" s="169">
        <f t="shared" si="57"/>
        <v>1.7</v>
      </c>
      <c r="Z33" s="1006">
        <f t="shared" si="58"/>
        <v>24.645006123985066</v>
      </c>
      <c r="AA33" s="1007"/>
      <c r="AB33" s="52">
        <f t="shared" si="59"/>
        <v>3</v>
      </c>
      <c r="AC33" s="23" t="s">
        <v>40</v>
      </c>
      <c r="AD33" s="161">
        <f t="shared" si="60"/>
        <v>35</v>
      </c>
      <c r="AE33" s="174">
        <v>2</v>
      </c>
      <c r="AF33" s="61">
        <f t="shared" si="61"/>
        <v>0.3</v>
      </c>
      <c r="AG33" s="139" t="s">
        <v>40</v>
      </c>
      <c r="AH33" s="176">
        <f t="shared" si="62"/>
        <v>35</v>
      </c>
      <c r="AI33" s="92">
        <f t="shared" si="63"/>
        <v>25.845006123985065</v>
      </c>
      <c r="AJ33" s="159">
        <f t="shared" si="64"/>
        <v>1.6</v>
      </c>
      <c r="AK33" s="152">
        <f t="shared" si="65"/>
        <v>2</v>
      </c>
      <c r="AL33" s="166">
        <f t="shared" si="66"/>
        <v>29.845006123985065</v>
      </c>
      <c r="AM33" s="159">
        <f>AD33*AB33*2.7*1.007</f>
        <v>285.48449999999997</v>
      </c>
      <c r="AN33" s="159" t="s">
        <v>18</v>
      </c>
      <c r="AO33" s="165">
        <f t="shared" si="67"/>
        <v>281.7010758684998</v>
      </c>
      <c r="AP33" s="96">
        <f t="shared" si="68"/>
        <v>0.81019749684219655</v>
      </c>
      <c r="AQ33" s="96">
        <f t="shared" si="69"/>
        <v>240.18526058368766</v>
      </c>
      <c r="AR33" s="96">
        <f t="shared" si="70"/>
        <v>270.95306387117341</v>
      </c>
      <c r="AS33" s="165">
        <f t="shared" si="71"/>
        <v>269.43121336908473</v>
      </c>
      <c r="AT33" s="796" t="s">
        <v>18</v>
      </c>
      <c r="AU33" s="797"/>
      <c r="AV33" s="96">
        <f t="shared" si="49"/>
        <v>1348.5653111892875</v>
      </c>
      <c r="BA33" s="182">
        <v>289.77</v>
      </c>
      <c r="BB33" s="179" t="e">
        <v>#VALUE!</v>
      </c>
      <c r="BC33" s="182">
        <v>290.72000000000003</v>
      </c>
      <c r="BD33" s="182">
        <v>247.87</v>
      </c>
      <c r="BE33" s="182">
        <v>278.05</v>
      </c>
      <c r="BF33" s="182">
        <v>279.08</v>
      </c>
      <c r="BG33" s="182">
        <v>0.85</v>
      </c>
    </row>
    <row r="34" spans="1:59" x14ac:dyDescent="0.25">
      <c r="A34" s="27">
        <v>3</v>
      </c>
      <c r="B34" s="23" t="s">
        <v>40</v>
      </c>
      <c r="C34" s="22">
        <v>50</v>
      </c>
      <c r="D34" s="1015" t="s">
        <v>18</v>
      </c>
      <c r="E34" s="1016"/>
      <c r="F34" s="1017"/>
      <c r="G34" s="24">
        <v>6.64</v>
      </c>
      <c r="H34" s="14">
        <v>10.49</v>
      </c>
      <c r="I34" s="14">
        <v>1.92</v>
      </c>
      <c r="J34" s="14">
        <v>50</v>
      </c>
      <c r="K34" s="14">
        <v>26.7</v>
      </c>
      <c r="L34" s="796">
        <f t="shared" si="50"/>
        <v>1.8800000000000001</v>
      </c>
      <c r="M34" s="796"/>
      <c r="N34" s="61">
        <f t="shared" si="51"/>
        <v>2.2000000000000002</v>
      </c>
      <c r="O34" s="22">
        <f t="shared" si="52"/>
        <v>10.4</v>
      </c>
      <c r="P34" s="23" t="s">
        <v>40</v>
      </c>
      <c r="Q34" s="23">
        <f t="shared" si="72"/>
        <v>14.25</v>
      </c>
      <c r="R34" s="160">
        <f t="shared" si="53"/>
        <v>11.04</v>
      </c>
      <c r="S34" s="23" t="s">
        <v>40</v>
      </c>
      <c r="T34" s="161">
        <f t="shared" si="54"/>
        <v>14.89</v>
      </c>
      <c r="U34" s="796">
        <f t="shared" si="55"/>
        <v>23.35473243624503</v>
      </c>
      <c r="V34" s="796"/>
      <c r="W34" s="148">
        <v>1</v>
      </c>
      <c r="X34" s="169">
        <f t="shared" si="56"/>
        <v>0.9</v>
      </c>
      <c r="Y34" s="169">
        <f t="shared" si="57"/>
        <v>1.7</v>
      </c>
      <c r="Z34" s="1006">
        <f t="shared" si="58"/>
        <v>26.754732436245028</v>
      </c>
      <c r="AA34" s="1007"/>
      <c r="AB34" s="53">
        <f t="shared" si="59"/>
        <v>3</v>
      </c>
      <c r="AC34" s="63" t="s">
        <v>40</v>
      </c>
      <c r="AD34" s="161">
        <f t="shared" si="60"/>
        <v>50</v>
      </c>
      <c r="AE34" s="174">
        <v>2</v>
      </c>
      <c r="AF34" s="61">
        <f t="shared" si="61"/>
        <v>0.3</v>
      </c>
      <c r="AG34" s="139" t="s">
        <v>40</v>
      </c>
      <c r="AH34" s="176">
        <f t="shared" si="62"/>
        <v>40</v>
      </c>
      <c r="AI34" s="92">
        <f t="shared" si="63"/>
        <v>27.954732436245028</v>
      </c>
      <c r="AJ34" s="159">
        <f t="shared" si="64"/>
        <v>1.6</v>
      </c>
      <c r="AK34" s="152">
        <f t="shared" si="65"/>
        <v>2</v>
      </c>
      <c r="AL34" s="166">
        <f t="shared" si="66"/>
        <v>31.954732436245028</v>
      </c>
      <c r="AM34" s="159">
        <f>AD34*AB34*2.7*1.007</f>
        <v>407.83499999999998</v>
      </c>
      <c r="AN34" s="159" t="s">
        <v>18</v>
      </c>
      <c r="AO34" s="165">
        <f t="shared" si="67"/>
        <v>320.29482818649979</v>
      </c>
      <c r="AP34" s="96">
        <f t="shared" si="68"/>
        <v>0.85619512758694272</v>
      </c>
      <c r="AQ34" s="96">
        <f t="shared" si="69"/>
        <v>262.67810631662388</v>
      </c>
      <c r="AR34" s="96">
        <f t="shared" si="70"/>
        <v>293.59662376690113</v>
      </c>
      <c r="AS34" s="165">
        <f t="shared" si="71"/>
        <v>289.84514747482223</v>
      </c>
      <c r="AT34" s="796" t="s">
        <v>18</v>
      </c>
      <c r="AU34" s="797"/>
      <c r="AV34" s="96">
        <f t="shared" si="49"/>
        <v>1575.1059008724337</v>
      </c>
      <c r="BA34" s="182">
        <v>413.95</v>
      </c>
      <c r="BB34" s="179" t="e">
        <v>#VALUE!</v>
      </c>
      <c r="BC34" s="182">
        <v>330.54</v>
      </c>
      <c r="BD34" s="182">
        <v>271.08</v>
      </c>
      <c r="BE34" s="182">
        <v>299.12</v>
      </c>
      <c r="BF34" s="182">
        <v>302.39999999999998</v>
      </c>
      <c r="BG34" s="182">
        <v>0.9</v>
      </c>
    </row>
    <row r="35" spans="1:59" x14ac:dyDescent="0.25">
      <c r="A35" s="27">
        <v>3</v>
      </c>
      <c r="B35" s="23" t="s">
        <v>40</v>
      </c>
      <c r="C35" s="161">
        <v>70</v>
      </c>
      <c r="D35" s="1015" t="s">
        <v>18</v>
      </c>
      <c r="E35" s="1016"/>
      <c r="F35" s="1017"/>
      <c r="G35" s="24">
        <v>7.8</v>
      </c>
      <c r="H35" s="14">
        <v>12.32</v>
      </c>
      <c r="I35" s="14">
        <v>2.2599999999999998</v>
      </c>
      <c r="J35" s="14">
        <v>69</v>
      </c>
      <c r="K35" s="14">
        <v>31.36</v>
      </c>
      <c r="L35" s="796">
        <f t="shared" si="50"/>
        <v>1.8800000000000001</v>
      </c>
      <c r="M35" s="796"/>
      <c r="N35" s="61">
        <f t="shared" si="51"/>
        <v>2.2000000000000002</v>
      </c>
      <c r="O35" s="22">
        <f t="shared" si="52"/>
        <v>11.56</v>
      </c>
      <c r="P35" s="23" t="s">
        <v>40</v>
      </c>
      <c r="Q35" s="23">
        <f t="shared" si="72"/>
        <v>16.080000000000002</v>
      </c>
      <c r="R35" s="160">
        <f t="shared" si="53"/>
        <v>12.2</v>
      </c>
      <c r="S35" s="23" t="s">
        <v>40</v>
      </c>
      <c r="T35" s="161">
        <f t="shared" si="54"/>
        <v>16.72</v>
      </c>
      <c r="U35" s="796">
        <f t="shared" si="55"/>
        <v>25.779928802342923</v>
      </c>
      <c r="V35" s="796"/>
      <c r="W35" s="148">
        <v>1</v>
      </c>
      <c r="X35" s="169">
        <f t="shared" si="56"/>
        <v>0.9</v>
      </c>
      <c r="Y35" s="169">
        <f t="shared" si="57"/>
        <v>2</v>
      </c>
      <c r="Z35" s="1006">
        <f t="shared" si="58"/>
        <v>29.779928802342923</v>
      </c>
      <c r="AA35" s="1007"/>
      <c r="AB35" s="53">
        <f t="shared" si="59"/>
        <v>3</v>
      </c>
      <c r="AC35" s="23" t="s">
        <v>40</v>
      </c>
      <c r="AD35" s="161">
        <f t="shared" si="60"/>
        <v>70</v>
      </c>
      <c r="AE35" s="174">
        <v>2</v>
      </c>
      <c r="AF35" s="61">
        <f t="shared" si="61"/>
        <v>0.3</v>
      </c>
      <c r="AG35" s="139" t="s">
        <v>40</v>
      </c>
      <c r="AH35" s="176">
        <f t="shared" si="62"/>
        <v>40</v>
      </c>
      <c r="AI35" s="92">
        <f t="shared" si="63"/>
        <v>30.979928802342922</v>
      </c>
      <c r="AJ35" s="159">
        <f t="shared" si="64"/>
        <v>1.77</v>
      </c>
      <c r="AK35" s="152">
        <f t="shared" si="65"/>
        <v>2.2000000000000002</v>
      </c>
      <c r="AL35" s="166">
        <f t="shared" si="66"/>
        <v>35.379928802342924</v>
      </c>
      <c r="AM35" s="159">
        <f t="shared" ref="AM35:AM40" si="73">AD35*AB35*2.7*1.007</f>
        <v>570.96899999999994</v>
      </c>
      <c r="AN35" s="159" t="s">
        <v>18</v>
      </c>
      <c r="AO35" s="165">
        <f t="shared" si="67"/>
        <v>364.70146665609985</v>
      </c>
      <c r="AP35" s="96">
        <f t="shared" si="68"/>
        <v>0.90907084245242842</v>
      </c>
      <c r="AQ35" s="96">
        <f t="shared" si="69"/>
        <v>327.21673475351957</v>
      </c>
      <c r="AR35" s="96">
        <f t="shared" si="70"/>
        <v>326.06586620560222</v>
      </c>
      <c r="AS35" s="165">
        <f t="shared" si="71"/>
        <v>353.15773609818302</v>
      </c>
      <c r="AT35" s="796" t="s">
        <v>18</v>
      </c>
      <c r="AU35" s="797"/>
      <c r="AV35" s="96">
        <f t="shared" si="49"/>
        <v>1943.0198745558571</v>
      </c>
      <c r="BA35" s="182">
        <v>579.53</v>
      </c>
      <c r="BB35" s="179" t="e">
        <v>#VALUE!</v>
      </c>
      <c r="BC35" s="182">
        <v>376.37</v>
      </c>
      <c r="BD35" s="182">
        <v>337.69</v>
      </c>
      <c r="BE35" s="182">
        <v>364.46</v>
      </c>
      <c r="BF35" s="182">
        <v>335.85</v>
      </c>
      <c r="BG35" s="182">
        <v>0.95</v>
      </c>
    </row>
    <row r="36" spans="1:59" x14ac:dyDescent="0.25">
      <c r="A36" s="27">
        <v>3</v>
      </c>
      <c r="B36" s="23" t="s">
        <v>40</v>
      </c>
      <c r="C36" s="161">
        <v>95</v>
      </c>
      <c r="D36" s="1015" t="s">
        <v>18</v>
      </c>
      <c r="E36" s="1016"/>
      <c r="F36" s="1017"/>
      <c r="G36" s="24">
        <v>9.25</v>
      </c>
      <c r="H36" s="14">
        <v>14.04</v>
      </c>
      <c r="I36" s="14">
        <v>2.94</v>
      </c>
      <c r="J36" s="14">
        <v>95</v>
      </c>
      <c r="K36" s="14">
        <v>36.39</v>
      </c>
      <c r="L36" s="796">
        <f t="shared" si="50"/>
        <v>1.8800000000000001</v>
      </c>
      <c r="M36" s="796"/>
      <c r="N36" s="61">
        <f t="shared" si="51"/>
        <v>2.2000000000000002</v>
      </c>
      <c r="O36" s="22">
        <f t="shared" si="52"/>
        <v>13.01</v>
      </c>
      <c r="P36" s="23" t="s">
        <v>40</v>
      </c>
      <c r="Q36" s="23">
        <f t="shared" si="72"/>
        <v>17.8</v>
      </c>
      <c r="R36" s="160">
        <f t="shared" si="53"/>
        <v>13.65</v>
      </c>
      <c r="S36" s="23" t="s">
        <v>40</v>
      </c>
      <c r="T36" s="161">
        <f t="shared" si="54"/>
        <v>18.439999999999998</v>
      </c>
      <c r="U36" s="796">
        <f t="shared" si="55"/>
        <v>28.890321534538707</v>
      </c>
      <c r="V36" s="796"/>
      <c r="W36" s="148">
        <v>1</v>
      </c>
      <c r="X36" s="169">
        <f t="shared" si="56"/>
        <v>0.9</v>
      </c>
      <c r="Y36" s="169">
        <f t="shared" si="57"/>
        <v>2</v>
      </c>
      <c r="Z36" s="1006">
        <f t="shared" si="58"/>
        <v>32.890321534538707</v>
      </c>
      <c r="AA36" s="1007"/>
      <c r="AB36" s="53">
        <f t="shared" si="59"/>
        <v>3</v>
      </c>
      <c r="AC36" s="23" t="s">
        <v>40</v>
      </c>
      <c r="AD36" s="161">
        <f t="shared" si="60"/>
        <v>95</v>
      </c>
      <c r="AE36" s="174">
        <v>2</v>
      </c>
      <c r="AF36" s="61">
        <f t="shared" si="61"/>
        <v>0.5</v>
      </c>
      <c r="AG36" s="139" t="s">
        <v>40</v>
      </c>
      <c r="AH36" s="176">
        <f t="shared" si="62"/>
        <v>45</v>
      </c>
      <c r="AI36" s="92">
        <f t="shared" si="63"/>
        <v>34.890321534538707</v>
      </c>
      <c r="AJ36" s="159">
        <f t="shared" si="64"/>
        <v>1.77</v>
      </c>
      <c r="AK36" s="152">
        <f t="shared" si="65"/>
        <v>2.2000000000000002</v>
      </c>
      <c r="AL36" s="166">
        <f t="shared" si="66"/>
        <v>39.290321534538705</v>
      </c>
      <c r="AM36" s="159">
        <f t="shared" si="73"/>
        <v>774.88649999999996</v>
      </c>
      <c r="AN36" s="159" t="s">
        <v>18</v>
      </c>
      <c r="AO36" s="165">
        <f t="shared" si="67"/>
        <v>412.63395410289991</v>
      </c>
      <c r="AP36" s="96">
        <f t="shared" si="68"/>
        <v>0.97688565593571119</v>
      </c>
      <c r="AQ36" s="96">
        <f t="shared" si="69"/>
        <v>384.40152808254095</v>
      </c>
      <c r="AR36" s="96">
        <f t="shared" si="70"/>
        <v>606.23781790504154</v>
      </c>
      <c r="AS36" s="165">
        <f t="shared" si="71"/>
        <v>394.77884543762008</v>
      </c>
      <c r="AT36" s="796" t="s">
        <v>18</v>
      </c>
      <c r="AU36" s="797"/>
      <c r="AV36" s="96">
        <f t="shared" si="49"/>
        <v>2573.9155311840382</v>
      </c>
      <c r="BA36" s="182">
        <v>786.51</v>
      </c>
      <c r="BB36" s="179" t="e">
        <v>#VALUE!</v>
      </c>
      <c r="BC36" s="182">
        <v>425.84</v>
      </c>
      <c r="BD36" s="182">
        <v>396.7</v>
      </c>
      <c r="BE36" s="182">
        <v>407.41</v>
      </c>
      <c r="BF36" s="182">
        <v>624.41999999999996</v>
      </c>
      <c r="BG36" s="182">
        <v>1.03</v>
      </c>
    </row>
    <row r="37" spans="1:59" x14ac:dyDescent="0.25">
      <c r="A37" s="27">
        <v>3</v>
      </c>
      <c r="B37" s="23" t="s">
        <v>40</v>
      </c>
      <c r="C37" s="161">
        <v>120</v>
      </c>
      <c r="D37" s="1015" t="s">
        <v>18</v>
      </c>
      <c r="E37" s="1016"/>
      <c r="F37" s="1017"/>
      <c r="G37" s="24">
        <v>10.4</v>
      </c>
      <c r="H37" s="14">
        <v>16.12</v>
      </c>
      <c r="I37" s="14">
        <v>3.12</v>
      </c>
      <c r="J37" s="14">
        <v>121</v>
      </c>
      <c r="K37" s="14">
        <v>41.3</v>
      </c>
      <c r="L37" s="796">
        <f t="shared" si="50"/>
        <v>1.8800000000000001</v>
      </c>
      <c r="M37" s="796"/>
      <c r="N37" s="61">
        <f t="shared" si="51"/>
        <v>2.2000000000000002</v>
      </c>
      <c r="O37" s="22">
        <f t="shared" si="52"/>
        <v>14.16</v>
      </c>
      <c r="P37" s="23" t="s">
        <v>40</v>
      </c>
      <c r="Q37" s="23">
        <f t="shared" si="72"/>
        <v>19.880000000000003</v>
      </c>
      <c r="R37" s="160">
        <f t="shared" si="53"/>
        <v>14.8</v>
      </c>
      <c r="S37" s="23" t="s">
        <v>40</v>
      </c>
      <c r="T37" s="161">
        <f t="shared" si="54"/>
        <v>20.520000000000003</v>
      </c>
      <c r="U37" s="796">
        <f t="shared" si="55"/>
        <v>31.246013728355237</v>
      </c>
      <c r="V37" s="796"/>
      <c r="W37" s="148">
        <v>1</v>
      </c>
      <c r="X37" s="169">
        <f t="shared" si="56"/>
        <v>0.9</v>
      </c>
      <c r="Y37" s="169">
        <f t="shared" si="57"/>
        <v>2</v>
      </c>
      <c r="Z37" s="1006">
        <f t="shared" si="58"/>
        <v>35.246013728355237</v>
      </c>
      <c r="AA37" s="1007"/>
      <c r="AB37" s="53">
        <f t="shared" si="59"/>
        <v>3</v>
      </c>
      <c r="AC37" s="23" t="s">
        <v>40</v>
      </c>
      <c r="AD37" s="161">
        <f t="shared" si="60"/>
        <v>120</v>
      </c>
      <c r="AE37" s="174">
        <v>2</v>
      </c>
      <c r="AF37" s="61">
        <f t="shared" si="61"/>
        <v>0.5</v>
      </c>
      <c r="AG37" s="139" t="s">
        <v>40</v>
      </c>
      <c r="AH37" s="176">
        <f t="shared" si="62"/>
        <v>45</v>
      </c>
      <c r="AI37" s="92">
        <f t="shared" si="63"/>
        <v>37.246013728355237</v>
      </c>
      <c r="AJ37" s="159">
        <f t="shared" si="64"/>
        <v>1.77</v>
      </c>
      <c r="AK37" s="152">
        <f t="shared" si="65"/>
        <v>2.2000000000000002</v>
      </c>
      <c r="AL37" s="166">
        <f t="shared" si="66"/>
        <v>41.646013728355236</v>
      </c>
      <c r="AM37" s="159">
        <f t="shared" si="73"/>
        <v>978.80399999999997</v>
      </c>
      <c r="AN37" s="159" t="s">
        <v>18</v>
      </c>
      <c r="AO37" s="165">
        <f t="shared" si="67"/>
        <v>459.42292296249985</v>
      </c>
      <c r="AP37" s="96">
        <f t="shared" si="68"/>
        <v>1.0282459954497882</v>
      </c>
      <c r="AQ37" s="96">
        <f t="shared" si="69"/>
        <v>405.89609424672699</v>
      </c>
      <c r="AR37" s="96">
        <f t="shared" si="70"/>
        <v>648.37697830751335</v>
      </c>
      <c r="AS37" s="165">
        <f t="shared" si="71"/>
        <v>419.85216392086124</v>
      </c>
      <c r="AT37" s="796" t="s">
        <v>18</v>
      </c>
      <c r="AU37" s="797"/>
      <c r="AV37" s="96">
        <f t="shared" si="49"/>
        <v>2913.3804054330512</v>
      </c>
      <c r="AW37" s="21"/>
      <c r="BA37" s="182">
        <v>993.49</v>
      </c>
      <c r="BB37" s="179" t="e">
        <v>#VALUE!</v>
      </c>
      <c r="BC37" s="182">
        <v>474.12</v>
      </c>
      <c r="BD37" s="182">
        <v>418.88</v>
      </c>
      <c r="BE37" s="182">
        <v>433.29</v>
      </c>
      <c r="BF37" s="182">
        <v>667.83</v>
      </c>
      <c r="BG37" s="182">
        <v>1.08</v>
      </c>
    </row>
    <row r="38" spans="1:59" x14ac:dyDescent="0.25">
      <c r="A38" s="27">
        <v>3</v>
      </c>
      <c r="B38" s="23" t="s">
        <v>40</v>
      </c>
      <c r="C38" s="161">
        <v>150</v>
      </c>
      <c r="D38" s="1015" t="s">
        <v>18</v>
      </c>
      <c r="E38" s="1016"/>
      <c r="F38" s="1017"/>
      <c r="G38" s="24">
        <v>11.49</v>
      </c>
      <c r="H38" s="14">
        <v>18.27</v>
      </c>
      <c r="I38" s="14">
        <v>3.13</v>
      </c>
      <c r="J38" s="14">
        <v>149</v>
      </c>
      <c r="K38" s="14">
        <v>46.22</v>
      </c>
      <c r="L38" s="796">
        <f t="shared" si="50"/>
        <v>1.8800000000000001</v>
      </c>
      <c r="M38" s="796"/>
      <c r="N38" s="61">
        <f t="shared" si="51"/>
        <v>2.2000000000000002</v>
      </c>
      <c r="O38" s="22">
        <f t="shared" si="52"/>
        <v>15.25</v>
      </c>
      <c r="P38" s="23" t="s">
        <v>40</v>
      </c>
      <c r="Q38" s="23">
        <f t="shared" si="72"/>
        <v>22.03</v>
      </c>
      <c r="R38" s="160">
        <f t="shared" si="53"/>
        <v>15.89</v>
      </c>
      <c r="S38" s="23" t="s">
        <v>40</v>
      </c>
      <c r="T38" s="161">
        <f t="shared" si="54"/>
        <v>22.67</v>
      </c>
      <c r="U38" s="796">
        <f t="shared" si="55"/>
        <v>33.42910773912282</v>
      </c>
      <c r="V38" s="796"/>
      <c r="W38" s="148">
        <v>1</v>
      </c>
      <c r="X38" s="169">
        <f t="shared" si="56"/>
        <v>0.9</v>
      </c>
      <c r="Y38" s="169">
        <f t="shared" si="57"/>
        <v>2</v>
      </c>
      <c r="Z38" s="1006">
        <f t="shared" si="58"/>
        <v>37.42910773912282</v>
      </c>
      <c r="AA38" s="1007"/>
      <c r="AB38" s="53">
        <f t="shared" si="59"/>
        <v>3</v>
      </c>
      <c r="AC38" s="23" t="s">
        <v>40</v>
      </c>
      <c r="AD38" s="161">
        <f t="shared" si="60"/>
        <v>150</v>
      </c>
      <c r="AE38" s="174">
        <v>2</v>
      </c>
      <c r="AF38" s="61">
        <f t="shared" si="61"/>
        <v>0.5</v>
      </c>
      <c r="AG38" s="139" t="s">
        <v>40</v>
      </c>
      <c r="AH38" s="176">
        <f t="shared" si="62"/>
        <v>45</v>
      </c>
      <c r="AI38" s="92">
        <f t="shared" si="63"/>
        <v>39.42910773912282</v>
      </c>
      <c r="AJ38" s="159">
        <f t="shared" si="64"/>
        <v>1.77</v>
      </c>
      <c r="AK38" s="152">
        <f t="shared" si="65"/>
        <v>2.2000000000000002</v>
      </c>
      <c r="AL38" s="166">
        <f t="shared" si="66"/>
        <v>43.829107739122819</v>
      </c>
      <c r="AM38" s="159">
        <f t="shared" si="73"/>
        <v>1223.5049999999999</v>
      </c>
      <c r="AN38" s="159" t="s">
        <v>18</v>
      </c>
      <c r="AO38" s="165">
        <f t="shared" si="67"/>
        <v>506.30718503769975</v>
      </c>
      <c r="AP38" s="96">
        <f t="shared" si="68"/>
        <v>1.0758432366676722</v>
      </c>
      <c r="AQ38" s="96">
        <f t="shared" si="69"/>
        <v>417.26331899316739</v>
      </c>
      <c r="AR38" s="96">
        <f t="shared" si="70"/>
        <v>687.42866296091836</v>
      </c>
      <c r="AS38" s="165">
        <f t="shared" si="71"/>
        <v>443.08839637708473</v>
      </c>
      <c r="AT38" s="796" t="s">
        <v>18</v>
      </c>
      <c r="AU38" s="797"/>
      <c r="AV38" s="96">
        <f t="shared" si="49"/>
        <v>3278.6684066055377</v>
      </c>
      <c r="BA38" s="182">
        <v>1241.8599999999999</v>
      </c>
      <c r="BB38" s="179" t="e">
        <v>#VALUE!</v>
      </c>
      <c r="BC38" s="182">
        <v>522.51</v>
      </c>
      <c r="BD38" s="182">
        <v>430.62</v>
      </c>
      <c r="BE38" s="182">
        <v>457.27</v>
      </c>
      <c r="BF38" s="182">
        <v>708.05</v>
      </c>
      <c r="BG38" s="182">
        <v>1.1299999999999999</v>
      </c>
    </row>
    <row r="39" spans="1:59" x14ac:dyDescent="0.25">
      <c r="A39" s="27">
        <v>3</v>
      </c>
      <c r="B39" s="23" t="s">
        <v>40</v>
      </c>
      <c r="C39" s="161">
        <v>185</v>
      </c>
      <c r="D39" s="1015" t="s">
        <v>18</v>
      </c>
      <c r="E39" s="1016"/>
      <c r="F39" s="1017"/>
      <c r="G39" s="24">
        <v>12.89</v>
      </c>
      <c r="H39" s="14">
        <v>21.07</v>
      </c>
      <c r="I39" s="14">
        <v>3.14</v>
      </c>
      <c r="J39" s="14">
        <v>189</v>
      </c>
      <c r="K39" s="14">
        <v>52.53</v>
      </c>
      <c r="L39" s="796">
        <f t="shared" si="50"/>
        <v>1.8800000000000001</v>
      </c>
      <c r="M39" s="796"/>
      <c r="N39" s="61">
        <f t="shared" si="51"/>
        <v>2.2000000000000002</v>
      </c>
      <c r="O39" s="22">
        <f t="shared" si="52"/>
        <v>16.650000000000002</v>
      </c>
      <c r="P39" s="23" t="s">
        <v>40</v>
      </c>
      <c r="Q39" s="23">
        <f t="shared" si="72"/>
        <v>24.830000000000002</v>
      </c>
      <c r="R39" s="160">
        <f t="shared" si="53"/>
        <v>17.29</v>
      </c>
      <c r="S39" s="23" t="s">
        <v>40</v>
      </c>
      <c r="T39" s="161">
        <f t="shared" si="54"/>
        <v>25.47</v>
      </c>
      <c r="U39" s="796">
        <f t="shared" si="55"/>
        <v>36.232201749890407</v>
      </c>
      <c r="V39" s="796"/>
      <c r="W39" s="148">
        <v>1</v>
      </c>
      <c r="X39" s="169">
        <f t="shared" si="56"/>
        <v>0.9</v>
      </c>
      <c r="Y39" s="169">
        <f t="shared" si="57"/>
        <v>2.2000000000000002</v>
      </c>
      <c r="Z39" s="1006">
        <f t="shared" si="58"/>
        <v>40.632201749890406</v>
      </c>
      <c r="AA39" s="1007"/>
      <c r="AB39" s="53">
        <f t="shared" si="59"/>
        <v>3</v>
      </c>
      <c r="AC39" s="23" t="s">
        <v>40</v>
      </c>
      <c r="AD39" s="161">
        <f t="shared" si="60"/>
        <v>185</v>
      </c>
      <c r="AE39" s="174">
        <v>2</v>
      </c>
      <c r="AF39" s="61">
        <f t="shared" si="61"/>
        <v>0.5</v>
      </c>
      <c r="AG39" s="139" t="s">
        <v>40</v>
      </c>
      <c r="AH39" s="176">
        <f t="shared" si="62"/>
        <v>50</v>
      </c>
      <c r="AI39" s="92">
        <f t="shared" si="63"/>
        <v>42.632201749890406</v>
      </c>
      <c r="AJ39" s="159">
        <f t="shared" si="64"/>
        <v>1.94</v>
      </c>
      <c r="AK39" s="152">
        <f t="shared" si="65"/>
        <v>2.4</v>
      </c>
      <c r="AL39" s="166">
        <f t="shared" si="66"/>
        <v>47.432201749890403</v>
      </c>
      <c r="AM39" s="159">
        <f t="shared" si="73"/>
        <v>1508.9894999999999</v>
      </c>
      <c r="AN39" s="159" t="s">
        <v>18</v>
      </c>
      <c r="AO39" s="165">
        <f t="shared" si="67"/>
        <v>566.43720408129991</v>
      </c>
      <c r="AP39" s="96">
        <f t="shared" si="68"/>
        <v>1.1369581227554224</v>
      </c>
      <c r="AQ39" s="96">
        <f t="shared" si="69"/>
        <v>465.86565548391928</v>
      </c>
      <c r="AR39" s="96">
        <f t="shared" si="70"/>
        <v>744.72634075525445</v>
      </c>
      <c r="AS39" s="165">
        <f t="shared" si="71"/>
        <v>522.88359517521803</v>
      </c>
      <c r="AT39" s="796" t="s">
        <v>18</v>
      </c>
      <c r="AU39" s="797"/>
      <c r="AV39" s="96">
        <f t="shared" si="49"/>
        <v>3810.0392536184472</v>
      </c>
      <c r="AW39" s="21"/>
      <c r="BA39" s="182">
        <v>1531.62</v>
      </c>
      <c r="BB39" s="179" t="e">
        <v>#VALUE!</v>
      </c>
      <c r="BC39" s="182">
        <v>584.55999999999995</v>
      </c>
      <c r="BD39" s="182">
        <v>480.77</v>
      </c>
      <c r="BE39" s="182">
        <v>539.62</v>
      </c>
      <c r="BF39" s="182">
        <v>767.07</v>
      </c>
      <c r="BG39" s="182">
        <v>1.19</v>
      </c>
    </row>
    <row r="40" spans="1:59" x14ac:dyDescent="0.25">
      <c r="A40" s="27">
        <v>3</v>
      </c>
      <c r="B40" s="23" t="s">
        <v>40</v>
      </c>
      <c r="C40" s="161">
        <v>240</v>
      </c>
      <c r="D40" s="1015" t="s">
        <v>18</v>
      </c>
      <c r="E40" s="1016"/>
      <c r="F40" s="1017"/>
      <c r="G40" s="24">
        <v>14.69</v>
      </c>
      <c r="H40" s="14">
        <v>24.56</v>
      </c>
      <c r="I40" s="14">
        <v>3.15</v>
      </c>
      <c r="J40" s="14">
        <v>246</v>
      </c>
      <c r="K40" s="14">
        <v>60.48</v>
      </c>
      <c r="L40" s="796">
        <f t="shared" si="50"/>
        <v>1.8800000000000001</v>
      </c>
      <c r="M40" s="796"/>
      <c r="N40" s="61">
        <f t="shared" si="51"/>
        <v>2.2000000000000002</v>
      </c>
      <c r="O40" s="22">
        <f t="shared" si="52"/>
        <v>18.45</v>
      </c>
      <c r="P40" s="23" t="s">
        <v>40</v>
      </c>
      <c r="Q40" s="23">
        <f t="shared" si="72"/>
        <v>28.32</v>
      </c>
      <c r="R40" s="160">
        <f t="shared" si="53"/>
        <v>19.09</v>
      </c>
      <c r="S40" s="23" t="s">
        <v>40</v>
      </c>
      <c r="T40" s="161">
        <f t="shared" si="54"/>
        <v>28.96</v>
      </c>
      <c r="U40" s="796">
        <f t="shared" si="55"/>
        <v>39.835295760657992</v>
      </c>
      <c r="V40" s="796"/>
      <c r="W40" s="148">
        <v>1</v>
      </c>
      <c r="X40" s="169">
        <f t="shared" si="56"/>
        <v>0.9</v>
      </c>
      <c r="Y40" s="169">
        <f t="shared" si="57"/>
        <v>2.2000000000000002</v>
      </c>
      <c r="Z40" s="1006">
        <f t="shared" si="58"/>
        <v>44.235295760657991</v>
      </c>
      <c r="AA40" s="1007"/>
      <c r="AB40" s="53">
        <f t="shared" si="59"/>
        <v>3</v>
      </c>
      <c r="AC40" s="23" t="s">
        <v>40</v>
      </c>
      <c r="AD40" s="161">
        <f t="shared" si="60"/>
        <v>240</v>
      </c>
      <c r="AE40" s="174">
        <v>2</v>
      </c>
      <c r="AF40" s="61">
        <f t="shared" si="61"/>
        <v>0.5</v>
      </c>
      <c r="AG40" s="139" t="s">
        <v>40</v>
      </c>
      <c r="AH40" s="176">
        <f t="shared" si="62"/>
        <v>50</v>
      </c>
      <c r="AI40" s="92">
        <f t="shared" si="63"/>
        <v>46.235295760657991</v>
      </c>
      <c r="AJ40" s="159">
        <f t="shared" si="64"/>
        <v>1.94</v>
      </c>
      <c r="AK40" s="152">
        <f t="shared" si="65"/>
        <v>2.4</v>
      </c>
      <c r="AL40" s="166">
        <f t="shared" si="66"/>
        <v>51.035295760657988</v>
      </c>
      <c r="AM40" s="159">
        <f t="shared" si="73"/>
        <v>1957.6079999999999</v>
      </c>
      <c r="AN40" s="159" t="s">
        <v>18</v>
      </c>
      <c r="AO40" s="165">
        <f t="shared" si="67"/>
        <v>642.19531048329975</v>
      </c>
      <c r="AP40" s="96">
        <f t="shared" si="68"/>
        <v>1.2155151312559027</v>
      </c>
      <c r="AQ40" s="96">
        <f t="shared" si="69"/>
        <v>489.2123194254637</v>
      </c>
      <c r="AR40" s="96">
        <f t="shared" si="70"/>
        <v>809.17930997740666</v>
      </c>
      <c r="AS40" s="165">
        <f t="shared" si="71"/>
        <v>564.72029595587753</v>
      </c>
      <c r="AT40" s="796" t="s">
        <v>18</v>
      </c>
      <c r="AU40" s="797"/>
      <c r="AV40" s="96">
        <f t="shared" si="49"/>
        <v>4464.1307509733033</v>
      </c>
      <c r="AW40" s="21"/>
      <c r="BA40" s="182">
        <v>1986.97</v>
      </c>
      <c r="BB40" s="179" t="e">
        <v>#VALUE!</v>
      </c>
      <c r="BC40" s="182">
        <v>662.75</v>
      </c>
      <c r="BD40" s="182">
        <v>504.87</v>
      </c>
      <c r="BE40" s="182">
        <v>582.79</v>
      </c>
      <c r="BF40" s="182">
        <v>833.45</v>
      </c>
      <c r="BG40" s="182">
        <v>1.28</v>
      </c>
    </row>
    <row r="42" spans="1:59" ht="13.8" x14ac:dyDescent="0.25">
      <c r="C42" s="55"/>
    </row>
  </sheetData>
  <mergeCells count="184">
    <mergeCell ref="D39:F39"/>
    <mergeCell ref="L39:M39"/>
    <mergeCell ref="U39:V39"/>
    <mergeCell ref="Z39:AA39"/>
    <mergeCell ref="AT39:AU39"/>
    <mergeCell ref="D40:F40"/>
    <mergeCell ref="L40:M40"/>
    <mergeCell ref="U40:V40"/>
    <mergeCell ref="Z40:AA40"/>
    <mergeCell ref="AT40:AU40"/>
    <mergeCell ref="D37:F37"/>
    <mergeCell ref="L37:M37"/>
    <mergeCell ref="U37:V37"/>
    <mergeCell ref="Z37:AA37"/>
    <mergeCell ref="AT37:AU37"/>
    <mergeCell ref="D38:F38"/>
    <mergeCell ref="L38:M38"/>
    <mergeCell ref="U38:V38"/>
    <mergeCell ref="Z38:AA38"/>
    <mergeCell ref="AT38:AU38"/>
    <mergeCell ref="D35:F35"/>
    <mergeCell ref="L35:M35"/>
    <mergeCell ref="U35:V35"/>
    <mergeCell ref="Z35:AA35"/>
    <mergeCell ref="AT35:AU35"/>
    <mergeCell ref="D36:F36"/>
    <mergeCell ref="L36:M36"/>
    <mergeCell ref="U36:V36"/>
    <mergeCell ref="Z36:AA36"/>
    <mergeCell ref="AT36:AU36"/>
    <mergeCell ref="D33:F33"/>
    <mergeCell ref="L33:M33"/>
    <mergeCell ref="U33:V33"/>
    <mergeCell ref="Z33:AA33"/>
    <mergeCell ref="AT33:AU33"/>
    <mergeCell ref="D34:F34"/>
    <mergeCell ref="L34:M34"/>
    <mergeCell ref="U34:V34"/>
    <mergeCell ref="Z34:AA34"/>
    <mergeCell ref="AT34:AU34"/>
    <mergeCell ref="A31:AA31"/>
    <mergeCell ref="AB31:AV31"/>
    <mergeCell ref="D32:F32"/>
    <mergeCell ref="L32:M32"/>
    <mergeCell ref="U32:V32"/>
    <mergeCell ref="Z32:AA32"/>
    <mergeCell ref="AT32:AU32"/>
    <mergeCell ref="L30:M30"/>
    <mergeCell ref="U30:V30"/>
    <mergeCell ref="Z30:AA30"/>
    <mergeCell ref="AT30:AU30"/>
    <mergeCell ref="L28:M28"/>
    <mergeCell ref="U28:V28"/>
    <mergeCell ref="Z28:AA28"/>
    <mergeCell ref="AT28:AU28"/>
    <mergeCell ref="L29:M29"/>
    <mergeCell ref="U29:V29"/>
    <mergeCell ref="Z29:AA29"/>
    <mergeCell ref="AT29:AU29"/>
    <mergeCell ref="L26:M26"/>
    <mergeCell ref="U26:V26"/>
    <mergeCell ref="Z26:AA26"/>
    <mergeCell ref="AT26:AU26"/>
    <mergeCell ref="L27:M27"/>
    <mergeCell ref="U27:V27"/>
    <mergeCell ref="Z27:AA27"/>
    <mergeCell ref="AT27:AU27"/>
    <mergeCell ref="L24:M24"/>
    <mergeCell ref="U24:V24"/>
    <mergeCell ref="Z24:AA24"/>
    <mergeCell ref="AT24:AU24"/>
    <mergeCell ref="L25:M25"/>
    <mergeCell ref="U25:V25"/>
    <mergeCell ref="Z25:AA25"/>
    <mergeCell ref="AT25:AU25"/>
    <mergeCell ref="L23:M23"/>
    <mergeCell ref="U23:V23"/>
    <mergeCell ref="Z23:AA23"/>
    <mergeCell ref="AT23:AU23"/>
    <mergeCell ref="A22:AA22"/>
    <mergeCell ref="AB22:AV22"/>
    <mergeCell ref="L20:M20"/>
    <mergeCell ref="U20:V20"/>
    <mergeCell ref="Z20:AA20"/>
    <mergeCell ref="AT20:AU20"/>
    <mergeCell ref="L21:M21"/>
    <mergeCell ref="U21:V21"/>
    <mergeCell ref="Z21:AA21"/>
    <mergeCell ref="AT21:AU21"/>
    <mergeCell ref="L18:M18"/>
    <mergeCell ref="U18:V18"/>
    <mergeCell ref="Z18:AA18"/>
    <mergeCell ref="AT18:AU18"/>
    <mergeCell ref="L19:M19"/>
    <mergeCell ref="U19:V19"/>
    <mergeCell ref="Z19:AA19"/>
    <mergeCell ref="AT19:AU19"/>
    <mergeCell ref="L16:M16"/>
    <mergeCell ref="U16:V16"/>
    <mergeCell ref="Z16:AA16"/>
    <mergeCell ref="AT16:AU16"/>
    <mergeCell ref="L17:M17"/>
    <mergeCell ref="U17:V17"/>
    <mergeCell ref="Z17:AA17"/>
    <mergeCell ref="AT17:AU17"/>
    <mergeCell ref="L14:M14"/>
    <mergeCell ref="U14:V14"/>
    <mergeCell ref="Z14:AA14"/>
    <mergeCell ref="AT14:AU14"/>
    <mergeCell ref="L15:M15"/>
    <mergeCell ref="U15:V15"/>
    <mergeCell ref="Z15:AA15"/>
    <mergeCell ref="AT15:AU15"/>
    <mergeCell ref="A13:AA13"/>
    <mergeCell ref="AB13:AV13"/>
    <mergeCell ref="L9:M12"/>
    <mergeCell ref="N9:N12"/>
    <mergeCell ref="O9:Q12"/>
    <mergeCell ref="R9:T12"/>
    <mergeCell ref="AJ9:AJ12"/>
    <mergeCell ref="AK9:AK12"/>
    <mergeCell ref="X10:X12"/>
    <mergeCell ref="Y10:Y12"/>
    <mergeCell ref="AP8:AP12"/>
    <mergeCell ref="AE8:AE12"/>
    <mergeCell ref="AF8:AH12"/>
    <mergeCell ref="AI8:AI12"/>
    <mergeCell ref="AS8:AS12"/>
    <mergeCell ref="AT8:AU8"/>
    <mergeCell ref="AT9:AU9"/>
    <mergeCell ref="AT10:AU10"/>
    <mergeCell ref="AT11:AU11"/>
    <mergeCell ref="AT12:AU12"/>
    <mergeCell ref="AM7:AS7"/>
    <mergeCell ref="AT7:AU7"/>
    <mergeCell ref="AO8:AO12"/>
    <mergeCell ref="A3:M3"/>
    <mergeCell ref="N3:T3"/>
    <mergeCell ref="U3:W3"/>
    <mergeCell ref="X3:Z3"/>
    <mergeCell ref="AB3:AM3"/>
    <mergeCell ref="AN3:AO3"/>
    <mergeCell ref="AM6:AS6"/>
    <mergeCell ref="AT6:AU6"/>
    <mergeCell ref="AW6:AW12"/>
    <mergeCell ref="G7:G12"/>
    <mergeCell ref="H7:H12"/>
    <mergeCell ref="I7:I12"/>
    <mergeCell ref="J7:J12"/>
    <mergeCell ref="K7:K12"/>
    <mergeCell ref="L7:N8"/>
    <mergeCell ref="O7:T8"/>
    <mergeCell ref="X6:Y9"/>
    <mergeCell ref="Z6:AA12"/>
    <mergeCell ref="AB6:AD12"/>
    <mergeCell ref="AE6:AI7"/>
    <mergeCell ref="AJ6:AK8"/>
    <mergeCell ref="AL6:AL12"/>
    <mergeCell ref="AQ8:AQ12"/>
    <mergeCell ref="AR8:AR12"/>
    <mergeCell ref="I1:X2"/>
    <mergeCell ref="Y1:AA1"/>
    <mergeCell ref="AL1:AT2"/>
    <mergeCell ref="AU1:AV1"/>
    <mergeCell ref="Y2:AA2"/>
    <mergeCell ref="AU2:AV2"/>
    <mergeCell ref="AT4:AU5"/>
    <mergeCell ref="AV4:AV5"/>
    <mergeCell ref="A6:C12"/>
    <mergeCell ref="D6:F12"/>
    <mergeCell ref="G6:K6"/>
    <mergeCell ref="L6:T6"/>
    <mergeCell ref="U6:V12"/>
    <mergeCell ref="W6:W12"/>
    <mergeCell ref="AP3:AS3"/>
    <mergeCell ref="AT3:AU3"/>
    <mergeCell ref="A4:M5"/>
    <mergeCell ref="N4:T5"/>
    <mergeCell ref="U4:W5"/>
    <mergeCell ref="X4:Z5"/>
    <mergeCell ref="AA4:AA5"/>
    <mergeCell ref="AB4:AM5"/>
    <mergeCell ref="AN4:AO5"/>
    <mergeCell ref="AP4:AS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topLeftCell="H1" workbookViewId="0">
      <pane ySplit="7" topLeftCell="A8" activePane="bottomLeft" state="frozen"/>
      <selection pane="bottomLeft" activeCell="X8" sqref="X8:Y15"/>
    </sheetView>
  </sheetViews>
  <sheetFormatPr defaultColWidth="9.109375" defaultRowHeight="13.8" x14ac:dyDescent="0.25"/>
  <cols>
    <col min="1" max="4" width="9.109375" style="420"/>
    <col min="5" max="5" width="15.6640625" style="420" customWidth="1"/>
    <col min="6" max="9" width="9.109375" style="420"/>
    <col min="10" max="10" width="10.21875" style="420" customWidth="1"/>
    <col min="11" max="12" width="9.109375" style="420"/>
    <col min="13" max="14" width="10" style="420" customWidth="1"/>
    <col min="15" max="16384" width="9.109375" style="420"/>
  </cols>
  <sheetData>
    <row r="1" spans="1:29" ht="12.75" customHeight="1" x14ac:dyDescent="0.25">
      <c r="A1" s="1019" t="s">
        <v>0</v>
      </c>
      <c r="B1" s="1019" t="s">
        <v>165</v>
      </c>
      <c r="C1" s="1019" t="s">
        <v>166</v>
      </c>
      <c r="D1" s="506"/>
      <c r="E1" s="506"/>
      <c r="F1" s="506"/>
      <c r="G1" s="506"/>
      <c r="H1" s="506"/>
      <c r="I1" s="506"/>
      <c r="K1" s="1019" t="s">
        <v>169</v>
      </c>
      <c r="L1" s="1019"/>
      <c r="M1" s="1019" t="s">
        <v>170</v>
      </c>
      <c r="N1" s="1019"/>
      <c r="P1" s="1019" t="s">
        <v>0</v>
      </c>
      <c r="Q1" s="1019" t="s">
        <v>165</v>
      </c>
      <c r="R1" s="1030" t="s">
        <v>166</v>
      </c>
      <c r="S1" s="1031"/>
      <c r="T1" s="420" t="s">
        <v>167</v>
      </c>
      <c r="U1" s="1030" t="s">
        <v>169</v>
      </c>
      <c r="V1" s="1031"/>
      <c r="W1" s="1019" t="s">
        <v>170</v>
      </c>
      <c r="X1" s="1019"/>
      <c r="Y1" s="1019"/>
      <c r="Z1" s="1019"/>
      <c r="AA1" s="1019"/>
      <c r="AB1" s="420" t="s">
        <v>180</v>
      </c>
    </row>
    <row r="2" spans="1:29" ht="12.75" customHeight="1" x14ac:dyDescent="0.25">
      <c r="A2" s="1019"/>
      <c r="B2" s="1019"/>
      <c r="C2" s="1019"/>
      <c r="D2" s="506"/>
      <c r="E2" s="506"/>
      <c r="F2" s="506"/>
      <c r="G2" s="506"/>
      <c r="H2" s="506"/>
      <c r="I2" s="506"/>
      <c r="K2" s="1019"/>
      <c r="L2" s="1019"/>
      <c r="M2" s="1019"/>
      <c r="N2" s="1019"/>
      <c r="P2" s="1019"/>
      <c r="Q2" s="1019"/>
      <c r="R2" s="1032"/>
      <c r="S2" s="1033"/>
      <c r="T2" s="420" t="s">
        <v>168</v>
      </c>
      <c r="U2" s="1032"/>
      <c r="V2" s="1033"/>
      <c r="W2" s="1019"/>
      <c r="X2" s="1019"/>
      <c r="Y2" s="1019"/>
      <c r="Z2" s="1019"/>
      <c r="AA2" s="1019"/>
      <c r="AB2" s="420" t="s">
        <v>176</v>
      </c>
    </row>
    <row r="3" spans="1:29" ht="12.75" customHeight="1" x14ac:dyDescent="0.25">
      <c r="A3" s="1019"/>
      <c r="B3" s="1019"/>
      <c r="C3" s="1019"/>
      <c r="D3" s="506"/>
      <c r="E3" s="506" t="s">
        <v>225</v>
      </c>
      <c r="F3" s="506"/>
      <c r="G3" s="506"/>
      <c r="H3" s="506"/>
      <c r="I3" s="506"/>
      <c r="K3" s="1019"/>
      <c r="L3" s="1019"/>
      <c r="M3" s="1019"/>
      <c r="N3" s="1019"/>
      <c r="P3" s="1019"/>
      <c r="Q3" s="1019"/>
      <c r="R3" s="1032"/>
      <c r="S3" s="1033"/>
      <c r="U3" s="1032"/>
      <c r="V3" s="1033"/>
      <c r="W3" s="1019"/>
      <c r="X3" s="1019"/>
      <c r="Y3" s="1019"/>
      <c r="Z3" s="1019"/>
      <c r="AA3" s="1019"/>
      <c r="AB3" s="420" t="s">
        <v>177</v>
      </c>
    </row>
    <row r="4" spans="1:29" ht="12.75" customHeight="1" x14ac:dyDescent="0.25">
      <c r="A4" s="1019"/>
      <c r="B4" s="1019"/>
      <c r="C4" s="1019"/>
      <c r="D4" s="506"/>
      <c r="E4" s="506"/>
      <c r="F4" s="506"/>
      <c r="G4" s="506"/>
      <c r="H4" s="506"/>
      <c r="I4" s="506"/>
      <c r="K4" s="1019"/>
      <c r="L4" s="1019"/>
      <c r="M4" s="1019"/>
      <c r="N4" s="1019"/>
      <c r="P4" s="1019"/>
      <c r="Q4" s="1019"/>
      <c r="R4" s="1034"/>
      <c r="S4" s="1035"/>
      <c r="U4" s="1032"/>
      <c r="V4" s="1033"/>
      <c r="W4" s="1019"/>
      <c r="X4" s="1019"/>
      <c r="Y4" s="1019"/>
      <c r="Z4" s="1019"/>
      <c r="AA4" s="1019"/>
    </row>
    <row r="5" spans="1:29" ht="12.75" customHeight="1" x14ac:dyDescent="0.25">
      <c r="A5" s="1019"/>
      <c r="B5" s="1019"/>
      <c r="C5" s="1027" t="s">
        <v>167</v>
      </c>
      <c r="D5" s="507"/>
      <c r="E5" s="507"/>
      <c r="F5" s="507"/>
      <c r="G5" s="507"/>
      <c r="H5" s="507"/>
      <c r="I5" s="507"/>
      <c r="K5" s="1019"/>
      <c r="L5" s="1019"/>
      <c r="M5" s="1019"/>
      <c r="N5" s="1019"/>
      <c r="P5" s="1019"/>
      <c r="Q5" s="1019"/>
      <c r="R5" s="1020" t="s">
        <v>167</v>
      </c>
      <c r="S5" s="1020" t="s">
        <v>168</v>
      </c>
      <c r="U5" s="1034"/>
      <c r="V5" s="1035"/>
      <c r="W5" s="1019"/>
      <c r="X5" s="1019"/>
      <c r="Y5" s="1019"/>
      <c r="Z5" s="1019"/>
      <c r="AA5" s="1019"/>
    </row>
    <row r="6" spans="1:29" ht="12.75" customHeight="1" x14ac:dyDescent="0.25">
      <c r="A6" s="1019"/>
      <c r="B6" s="1019"/>
      <c r="C6" s="1027"/>
      <c r="D6" s="507"/>
      <c r="E6" s="507"/>
      <c r="F6" s="507"/>
      <c r="G6" s="507"/>
      <c r="H6" s="507"/>
      <c r="I6" s="507"/>
      <c r="K6" s="1019"/>
      <c r="L6" s="1019"/>
      <c r="M6" s="1027" t="s">
        <v>180</v>
      </c>
      <c r="N6" s="1027"/>
      <c r="P6" s="1019"/>
      <c r="Q6" s="1019"/>
      <c r="R6" s="1020"/>
      <c r="S6" s="1020"/>
      <c r="U6" s="518" t="s">
        <v>237</v>
      </c>
      <c r="V6" s="518" t="s">
        <v>238</v>
      </c>
      <c r="W6" s="1019" t="s">
        <v>173</v>
      </c>
      <c r="X6" s="1019" t="s">
        <v>174</v>
      </c>
      <c r="Y6" s="505"/>
      <c r="Z6" s="1029" t="s">
        <v>175</v>
      </c>
      <c r="AA6" s="1029"/>
    </row>
    <row r="7" spans="1:29" ht="12.75" customHeight="1" x14ac:dyDescent="0.25">
      <c r="A7" s="1019"/>
      <c r="B7" s="1019"/>
      <c r="C7" s="1027"/>
      <c r="D7" s="507"/>
      <c r="E7" s="507">
        <v>1</v>
      </c>
      <c r="F7" s="507">
        <v>1</v>
      </c>
      <c r="G7" s="507"/>
      <c r="H7" s="507"/>
      <c r="I7" s="507"/>
      <c r="K7" s="421" t="s">
        <v>171</v>
      </c>
      <c r="L7" s="421" t="s">
        <v>172</v>
      </c>
      <c r="M7" s="1027"/>
      <c r="N7" s="1027"/>
      <c r="P7" s="1019"/>
      <c r="Q7" s="1019"/>
      <c r="R7" s="1020"/>
      <c r="S7" s="1020"/>
      <c r="U7" s="516" t="s">
        <v>171</v>
      </c>
      <c r="V7" s="516" t="s">
        <v>172</v>
      </c>
      <c r="W7" s="1019"/>
      <c r="X7" s="1019"/>
      <c r="Y7" s="505"/>
      <c r="Z7" s="421" t="s">
        <v>167</v>
      </c>
      <c r="AA7" s="421" t="s">
        <v>168</v>
      </c>
    </row>
    <row r="8" spans="1:29" x14ac:dyDescent="0.25">
      <c r="A8" s="1028">
        <v>0.66</v>
      </c>
      <c r="B8" s="514">
        <v>1.5</v>
      </c>
      <c r="C8" s="514">
        <v>0.6</v>
      </c>
      <c r="D8" s="515" t="s">
        <v>234</v>
      </c>
      <c r="E8" s="508">
        <f>E7+1</f>
        <v>2</v>
      </c>
      <c r="F8" s="513" t="str">
        <f>CONCATENATE("(",E8,", ",$F$7,", 5, ",C8,", ",D8,", NULL, NULL),(",E8,", ",$F$7,", 3, NULL, NULL, NULL, '0.66'),(",E8,", ",$F$7,", 1, NULL, NULL, NULL, '",B8,"'),(",E8,", ",$F$7,", 9, NULL, NULL, NULL, 'поливинилхлоридный')")</f>
        <v>(2, 1, 5, 0,6, 0.4, NULL, NULL),(2, 1, 3, NULL, NULL, NULL, '0.66'),(2, 1, 1, NULL, NULL, NULL, '1,5'),(2, 1, 9, NULL, NULL, NULL, 'поливинилхлоридный')</v>
      </c>
      <c r="G8" s="508"/>
      <c r="H8" s="508"/>
      <c r="I8" s="508"/>
      <c r="K8" s="421">
        <f>U8</f>
        <v>0</v>
      </c>
      <c r="L8" s="421">
        <f>V8</f>
        <v>6</v>
      </c>
      <c r="M8" s="421">
        <f>IF($M$6="Обп-2",W8,
IF($M$6="по броне ПВХ",Z8,
IF($M$6="по броне ПЭ",AA8,
"ошибка")))</f>
        <v>1.2</v>
      </c>
      <c r="N8" s="422">
        <f>IF($M$6="Обп-2",X8,
IF($M$6="по броне ПВХ",Z8,
IF($M$6="по броне ПЭ",AA8,
"ошибка")))</f>
        <v>1.2</v>
      </c>
      <c r="P8" s="1021">
        <v>0.66</v>
      </c>
      <c r="Q8" s="418">
        <v>1.5</v>
      </c>
      <c r="R8" s="418">
        <v>0.6</v>
      </c>
      <c r="S8" s="418">
        <v>0.6</v>
      </c>
      <c r="U8" s="422">
        <v>0</v>
      </c>
      <c r="V8" s="422">
        <v>6</v>
      </c>
      <c r="W8" s="433">
        <v>1.2</v>
      </c>
      <c r="X8" s="517">
        <v>1.2</v>
      </c>
      <c r="Y8" s="517">
        <v>0.9</v>
      </c>
      <c r="Z8" s="421">
        <v>1.8</v>
      </c>
      <c r="AA8" s="421">
        <v>1.7</v>
      </c>
      <c r="AB8" s="420">
        <v>1</v>
      </c>
      <c r="AC8" s="519" t="str">
        <f>CONCATENATE("(",AB8,", 2, 6, ",X8,", ",Y8,", NULL, NULL),(",AB8,", 2, 10, NULL, ",U8,", ",V8,")")</f>
        <v>(1, 2, 6, 1,2, 0,9, NULL, NULL),(1, 2, 10, NULL, 0, 6)</v>
      </c>
    </row>
    <row r="9" spans="1:29" x14ac:dyDescent="0.25">
      <c r="A9" s="1028"/>
      <c r="B9" s="514">
        <v>2.5</v>
      </c>
      <c r="C9" s="514">
        <v>0.6</v>
      </c>
      <c r="D9" s="515" t="s">
        <v>234</v>
      </c>
      <c r="E9" s="508">
        <f t="shared" ref="E9:E16" si="0">E8+1</f>
        <v>3</v>
      </c>
      <c r="F9" s="513" t="str">
        <f t="shared" ref="F9:F16" si="1">CONCATENATE("(",E9,", ",$F$7,", 5, ",C9,", ",D9,", NULL, NULL),(",E9,", ",$F$7,", 3, NULL, NULL, NULL, '0.66'),(",E9,", ",$F$7,", 1, NULL, NULL, NULL, '",B9,"'),(",E9,", ",$F$7,", 9, NULL, NULL, NULL, 'поливинилхлоридный')")</f>
        <v>(3, 1, 5, 0,6, 0.4, NULL, NULL),(3, 1, 3, NULL, NULL, NULL, '0.66'),(3, 1, 1, NULL, NULL, NULL, '2,5'),(3, 1, 9, NULL, NULL, NULL, 'поливинилхлоридный')</v>
      </c>
      <c r="G9" s="508"/>
      <c r="H9" s="508"/>
      <c r="I9" s="508"/>
      <c r="K9" s="422">
        <f t="shared" ref="K9:K13" si="2">U9</f>
        <v>6</v>
      </c>
      <c r="L9" s="422">
        <f t="shared" ref="L9:L13" si="3">V9</f>
        <v>15</v>
      </c>
      <c r="M9" s="422">
        <f t="shared" ref="M9:M13" si="4">IF($M$6="Обп-2",W9,
IF($M$6="по броне ПВХ",Z9,
IF($M$6="по броне ПЭ",AA9,
"ошибка")))</f>
        <v>1.5</v>
      </c>
      <c r="N9" s="422">
        <f t="shared" ref="N9:N13" si="5">IF($M$6="Обп-2",X9,
IF($M$6="по броне ПВХ",Z9,
IF($M$6="по броне ПЭ",AA9,
"ошибка")))</f>
        <v>1.5</v>
      </c>
      <c r="P9" s="1022"/>
      <c r="Q9" s="418">
        <v>2.5</v>
      </c>
      <c r="R9" s="418">
        <v>0.6</v>
      </c>
      <c r="S9" s="418">
        <v>0.6</v>
      </c>
      <c r="U9" s="422">
        <v>6</v>
      </c>
      <c r="V9" s="422">
        <v>15</v>
      </c>
      <c r="W9" s="433">
        <v>1.5</v>
      </c>
      <c r="X9" s="517">
        <v>1.5</v>
      </c>
      <c r="Y9" s="517">
        <v>1.2</v>
      </c>
      <c r="Z9" s="421">
        <v>1.8</v>
      </c>
      <c r="AA9" s="421">
        <v>1.7</v>
      </c>
      <c r="AB9" s="420">
        <f>AB8+1</f>
        <v>2</v>
      </c>
      <c r="AC9" s="519" t="str">
        <f t="shared" ref="AC9:AC15" si="6">CONCATENATE("(",AB9,", 2, 6, ",X9,", ",Y9,", NULL, NULL),(",AB9,", 2, 10, NULL, ",U9,", ",V9,")")</f>
        <v>(2, 2, 6, 1,5, 1,2, NULL, NULL),(2, 2, 10, NULL, 6, 15)</v>
      </c>
    </row>
    <row r="10" spans="1:29" x14ac:dyDescent="0.25">
      <c r="A10" s="1028"/>
      <c r="B10" s="419">
        <v>4</v>
      </c>
      <c r="C10" s="514">
        <v>0.7</v>
      </c>
      <c r="D10" s="515" t="s">
        <v>235</v>
      </c>
      <c r="E10" s="508">
        <f t="shared" si="0"/>
        <v>4</v>
      </c>
      <c r="F10" s="513" t="str">
        <f t="shared" si="1"/>
        <v>(4, 1, 5, 0,7, 0.5, NULL, NULL),(4, 1, 3, NULL, NULL, NULL, '0.66'),(4, 1, 1, NULL, NULL, NULL, '4'),(4, 1, 9, NULL, NULL, NULL, 'поливинилхлоридный')</v>
      </c>
      <c r="G10" s="508"/>
      <c r="H10" s="508"/>
      <c r="I10" s="508"/>
      <c r="K10" s="422">
        <f t="shared" si="2"/>
        <v>15</v>
      </c>
      <c r="L10" s="422">
        <f t="shared" si="3"/>
        <v>20</v>
      </c>
      <c r="M10" s="422">
        <f t="shared" si="4"/>
        <v>1.7</v>
      </c>
      <c r="N10" s="422">
        <f t="shared" si="5"/>
        <v>1.7</v>
      </c>
      <c r="P10" s="1022"/>
      <c r="Q10" s="419">
        <v>4</v>
      </c>
      <c r="R10" s="418">
        <v>0.7</v>
      </c>
      <c r="S10" s="418">
        <v>0.6</v>
      </c>
      <c r="U10" s="422">
        <v>15</v>
      </c>
      <c r="V10" s="422">
        <v>20</v>
      </c>
      <c r="W10" s="433">
        <v>1.7</v>
      </c>
      <c r="X10" s="517">
        <v>1.7</v>
      </c>
      <c r="Y10" s="517">
        <v>1.3</v>
      </c>
      <c r="Z10" s="421">
        <v>1.8</v>
      </c>
      <c r="AA10" s="421">
        <v>1.7</v>
      </c>
      <c r="AB10" s="420">
        <f t="shared" ref="AB10:AB15" si="7">AB9+1</f>
        <v>3</v>
      </c>
      <c r="AC10" s="519" t="str">
        <f t="shared" si="6"/>
        <v>(3, 2, 6, 1,7, 1,3, NULL, NULL),(3, 2, 10, NULL, 15, 20)</v>
      </c>
    </row>
    <row r="11" spans="1:29" x14ac:dyDescent="0.25">
      <c r="A11" s="1028"/>
      <c r="B11" s="419">
        <v>6</v>
      </c>
      <c r="C11" s="514">
        <v>0.7</v>
      </c>
      <c r="D11" s="515" t="s">
        <v>235</v>
      </c>
      <c r="E11" s="508">
        <f t="shared" si="0"/>
        <v>5</v>
      </c>
      <c r="F11" s="513" t="str">
        <f t="shared" si="1"/>
        <v>(5, 1, 5, 0,7, 0.5, NULL, NULL),(5, 1, 3, NULL, NULL, NULL, '0.66'),(5, 1, 1, NULL, NULL, NULL, '6'),(5, 1, 9, NULL, NULL, NULL, 'поливинилхлоридный')</v>
      </c>
      <c r="G11" s="508"/>
      <c r="H11" s="508"/>
      <c r="I11" s="508"/>
      <c r="K11" s="422">
        <f t="shared" si="2"/>
        <v>20</v>
      </c>
      <c r="L11" s="422">
        <f t="shared" si="3"/>
        <v>30</v>
      </c>
      <c r="M11" s="422">
        <f t="shared" si="4"/>
        <v>1.9</v>
      </c>
      <c r="N11" s="422">
        <f t="shared" si="5"/>
        <v>1.9</v>
      </c>
      <c r="P11" s="1022"/>
      <c r="Q11" s="419">
        <v>6</v>
      </c>
      <c r="R11" s="418">
        <v>0.7</v>
      </c>
      <c r="S11" s="418">
        <v>0.6</v>
      </c>
      <c r="U11" s="422">
        <v>20</v>
      </c>
      <c r="V11" s="422">
        <v>30</v>
      </c>
      <c r="W11" s="433">
        <v>1.9</v>
      </c>
      <c r="X11" s="517">
        <v>1.9</v>
      </c>
      <c r="Y11" s="517">
        <v>1.5</v>
      </c>
      <c r="Z11" s="421">
        <v>2</v>
      </c>
      <c r="AA11" s="421">
        <v>1.8</v>
      </c>
      <c r="AB11" s="420">
        <f t="shared" si="7"/>
        <v>4</v>
      </c>
      <c r="AC11" s="519" t="str">
        <f t="shared" si="6"/>
        <v>(4, 2, 6, 1,9, 1,5, NULL, NULL),(4, 2, 10, NULL, 20, 30)</v>
      </c>
    </row>
    <row r="12" spans="1:29" x14ac:dyDescent="0.25">
      <c r="A12" s="1028"/>
      <c r="B12" s="419">
        <v>10</v>
      </c>
      <c r="C12" s="514">
        <v>0.9</v>
      </c>
      <c r="D12" s="515" t="s">
        <v>231</v>
      </c>
      <c r="E12" s="508">
        <f t="shared" si="0"/>
        <v>6</v>
      </c>
      <c r="F12" s="513" t="str">
        <f t="shared" si="1"/>
        <v>(6, 1, 5, 0,9, 0.7, NULL, NULL),(6, 1, 3, NULL, NULL, NULL, '0.66'),(6, 1, 1, NULL, NULL, NULL, '10'),(6, 1, 9, NULL, NULL, NULL, 'поливинилхлоридный')</v>
      </c>
      <c r="G12" s="508"/>
      <c r="H12" s="508"/>
      <c r="I12" s="508"/>
      <c r="K12" s="422">
        <f t="shared" si="2"/>
        <v>30</v>
      </c>
      <c r="L12" s="422">
        <f t="shared" si="3"/>
        <v>40</v>
      </c>
      <c r="M12" s="422">
        <f t="shared" si="4"/>
        <v>2.1</v>
      </c>
      <c r="N12" s="422">
        <f t="shared" si="5"/>
        <v>2.1</v>
      </c>
      <c r="P12" s="1022"/>
      <c r="Q12" s="419">
        <v>10</v>
      </c>
      <c r="R12" s="418">
        <v>0.9</v>
      </c>
      <c r="S12" s="418">
        <v>0.6</v>
      </c>
      <c r="U12" s="422">
        <v>30</v>
      </c>
      <c r="V12" s="422">
        <v>40</v>
      </c>
      <c r="W12" s="433">
        <v>2.1</v>
      </c>
      <c r="X12" s="517">
        <v>2.1</v>
      </c>
      <c r="Y12" s="517">
        <v>1.7</v>
      </c>
      <c r="Z12" s="421">
        <v>2.2000000000000002</v>
      </c>
      <c r="AA12" s="421">
        <v>2.1</v>
      </c>
      <c r="AB12" s="420">
        <f t="shared" si="7"/>
        <v>5</v>
      </c>
      <c r="AC12" s="519" t="str">
        <f t="shared" si="6"/>
        <v>(5, 2, 6, 2,1, 1,7, NULL, NULL),(5, 2, 10, NULL, 30, 40)</v>
      </c>
    </row>
    <row r="13" spans="1:29" x14ac:dyDescent="0.25">
      <c r="A13" s="1028"/>
      <c r="B13" s="419">
        <v>16</v>
      </c>
      <c r="C13" s="514">
        <v>0.9</v>
      </c>
      <c r="D13" s="515" t="s">
        <v>231</v>
      </c>
      <c r="E13" s="508">
        <f t="shared" si="0"/>
        <v>7</v>
      </c>
      <c r="F13" s="513" t="str">
        <f t="shared" si="1"/>
        <v>(7, 1, 5, 0,9, 0.7, NULL, NULL),(7, 1, 3, NULL, NULL, NULL, '0.66'),(7, 1, 1, NULL, NULL, NULL, '16'),(7, 1, 9, NULL, NULL, NULL, 'поливинилхлоридный')</v>
      </c>
      <c r="G13" s="508"/>
      <c r="H13" s="508"/>
      <c r="I13" s="508"/>
      <c r="K13" s="422">
        <f t="shared" si="2"/>
        <v>40</v>
      </c>
      <c r="L13" s="422">
        <f t="shared" si="3"/>
        <v>50</v>
      </c>
      <c r="M13" s="422">
        <f t="shared" si="4"/>
        <v>2.2999999999999998</v>
      </c>
      <c r="N13" s="422">
        <f t="shared" si="5"/>
        <v>2.2999999999999998</v>
      </c>
      <c r="P13" s="1022"/>
      <c r="Q13" s="419">
        <v>16</v>
      </c>
      <c r="R13" s="418">
        <v>0.9</v>
      </c>
      <c r="S13" s="418">
        <v>0.6</v>
      </c>
      <c r="U13" s="422">
        <v>40</v>
      </c>
      <c r="V13" s="422">
        <v>50</v>
      </c>
      <c r="W13" s="433">
        <v>2.2999999999999998</v>
      </c>
      <c r="X13" s="517">
        <v>2.2999999999999998</v>
      </c>
      <c r="Y13" s="517">
        <v>1.9</v>
      </c>
      <c r="Z13" s="421">
        <v>2.4</v>
      </c>
      <c r="AA13" s="421">
        <v>2.4</v>
      </c>
      <c r="AB13" s="420">
        <f t="shared" si="7"/>
        <v>6</v>
      </c>
      <c r="AC13" s="519" t="str">
        <f t="shared" si="6"/>
        <v>(6, 2, 6, 2,3, 1,9, NULL, NULL),(6, 2, 10, NULL, 40, 50)</v>
      </c>
    </row>
    <row r="14" spans="1:29" x14ac:dyDescent="0.25">
      <c r="A14" s="1028"/>
      <c r="B14" s="419">
        <v>25</v>
      </c>
      <c r="C14" s="514">
        <v>1.1000000000000001</v>
      </c>
      <c r="D14" s="515" t="s">
        <v>232</v>
      </c>
      <c r="E14" s="508">
        <f t="shared" si="0"/>
        <v>8</v>
      </c>
      <c r="F14" s="513" t="str">
        <f t="shared" si="1"/>
        <v>(8, 1, 5, 1,1, 0.9, NULL, NULL),(8, 1, 3, NULL, NULL, NULL, '0.66'),(8, 1, 1, NULL, NULL, NULL, '25'),(8, 1, 9, NULL, NULL, NULL, 'поливинилхлоридный')</v>
      </c>
      <c r="G14" s="508"/>
      <c r="H14" s="508"/>
      <c r="I14" s="508"/>
      <c r="K14" s="422">
        <f>U14</f>
        <v>50</v>
      </c>
      <c r="L14" s="422">
        <f>V14</f>
        <v>60</v>
      </c>
      <c r="M14" s="422">
        <f>IF($M$6="Обп-2",W14,
IF($M$6="по броне ПВХ",Z14,
IF($M$6="по броне ПЭ",AA14,
"ошибка")))</f>
        <v>2.5</v>
      </c>
      <c r="N14" s="422">
        <f>IF($M$6="Обп-2",X14,
IF($M$6="по броне ПВХ",Z14,
IF($M$6="по броне ПЭ",AA14,
"ошибка")))</f>
        <v>2.5</v>
      </c>
      <c r="P14" s="1022"/>
      <c r="Q14" s="419">
        <v>25</v>
      </c>
      <c r="R14" s="418">
        <v>1.1000000000000001</v>
      </c>
      <c r="S14" s="418">
        <v>0.8</v>
      </c>
      <c r="U14" s="422">
        <v>50</v>
      </c>
      <c r="V14" s="422">
        <v>60</v>
      </c>
      <c r="W14" s="433">
        <v>2.5</v>
      </c>
      <c r="X14" s="517">
        <v>2.5</v>
      </c>
      <c r="Y14" s="517">
        <v>2</v>
      </c>
      <c r="Z14" s="433">
        <v>2.6</v>
      </c>
      <c r="AA14" s="433">
        <v>2.6</v>
      </c>
      <c r="AB14" s="420">
        <f t="shared" si="7"/>
        <v>7</v>
      </c>
      <c r="AC14" s="519" t="str">
        <f t="shared" si="6"/>
        <v>(7, 2, 6, 2,5, 2, NULL, NULL),(7, 2, 10, NULL, 50, 60)</v>
      </c>
    </row>
    <row r="15" spans="1:29" x14ac:dyDescent="0.25">
      <c r="A15" s="1028"/>
      <c r="B15" s="419">
        <v>35</v>
      </c>
      <c r="C15" s="514">
        <v>1.1000000000000001</v>
      </c>
      <c r="D15" s="515" t="s">
        <v>232</v>
      </c>
      <c r="E15" s="508">
        <f t="shared" si="0"/>
        <v>9</v>
      </c>
      <c r="F15" s="513" t="str">
        <f t="shared" si="1"/>
        <v>(9, 1, 5, 1,1, 0.9, NULL, NULL),(9, 1, 3, NULL, NULL, NULL, '0.66'),(9, 1, 1, NULL, NULL, NULL, '35'),(9, 1, 9, NULL, NULL, NULL, 'поливинилхлоридный')</v>
      </c>
      <c r="G15" s="508"/>
      <c r="H15" s="508"/>
      <c r="I15" s="508"/>
      <c r="K15" s="422">
        <f>U15</f>
        <v>60</v>
      </c>
      <c r="L15" s="422">
        <f>V15</f>
        <v>666</v>
      </c>
      <c r="M15" s="422">
        <f>IF($M$6="Обп-2",W15,
IF($M$6="по броне ПВХ",Z15,
IF($M$6="по броне ПЭ",AA15,
"ошибка")))</f>
        <v>3</v>
      </c>
      <c r="N15" s="422" t="str">
        <f>IF($M$6="Обп-2",X15,
IF($M$6="по броне ПВХ",Z15,
IF($M$6="по броне ПЭ",AA15,
"ошибка")))</f>
        <v>3</v>
      </c>
      <c r="P15" s="1022"/>
      <c r="Q15" s="419">
        <v>35</v>
      </c>
      <c r="R15" s="418">
        <v>1.1000000000000001</v>
      </c>
      <c r="S15" s="418">
        <v>0.8</v>
      </c>
      <c r="U15" s="422">
        <v>60</v>
      </c>
      <c r="V15" s="422">
        <v>666</v>
      </c>
      <c r="W15" s="433">
        <v>3</v>
      </c>
      <c r="X15" s="517" t="s">
        <v>236</v>
      </c>
      <c r="Y15" s="517">
        <v>2.5</v>
      </c>
      <c r="Z15" s="433">
        <v>3.1</v>
      </c>
      <c r="AA15" s="433">
        <v>2.8</v>
      </c>
      <c r="AB15" s="420">
        <f t="shared" si="7"/>
        <v>8</v>
      </c>
      <c r="AC15" s="519" t="str">
        <f t="shared" si="6"/>
        <v>(8, 2, 6, 3, 2,5, NULL, NULL),(8, 2, 10, NULL, 60, 666)</v>
      </c>
    </row>
    <row r="16" spans="1:29" x14ac:dyDescent="0.25">
      <c r="A16" s="1028"/>
      <c r="B16" s="419">
        <v>50</v>
      </c>
      <c r="C16" s="514">
        <v>1.3</v>
      </c>
      <c r="D16" s="515" t="s">
        <v>233</v>
      </c>
      <c r="E16" s="508">
        <f t="shared" si="0"/>
        <v>10</v>
      </c>
      <c r="F16" s="513" t="str">
        <f t="shared" si="1"/>
        <v>(10, 1, 5, 1,3, 1.1, NULL, NULL),(10, 1, 3, NULL, NULL, NULL, '0.66'),(10, 1, 1, NULL, NULL, NULL, '50'),(10, 1, 9, NULL, NULL, NULL, 'поливинилхлоридный')</v>
      </c>
      <c r="G16" s="508"/>
      <c r="H16" s="508"/>
      <c r="I16" s="508"/>
      <c r="P16" s="1023"/>
      <c r="Q16" s="419">
        <v>50</v>
      </c>
      <c r="R16" s="418">
        <v>1.3</v>
      </c>
      <c r="S16" s="418">
        <v>0.9</v>
      </c>
    </row>
    <row r="17" spans="1:19" x14ac:dyDescent="0.25">
      <c r="A17" s="1018">
        <v>1</v>
      </c>
      <c r="B17" s="418">
        <v>1.5</v>
      </c>
      <c r="C17" s="418">
        <f t="shared" ref="C17:C54" si="8">IF($C$5="ПВХ",R17,S17)</f>
        <v>0.8</v>
      </c>
      <c r="D17" s="509">
        <v>1</v>
      </c>
      <c r="E17" s="508" t="str">
        <f>CONCATENATE("(",D17,",",$E$7,",'",B17,"'),")</f>
        <v>(1,1,'1,5'),</v>
      </c>
      <c r="F17" s="508"/>
      <c r="G17" s="513" t="s">
        <v>226</v>
      </c>
      <c r="H17" s="508"/>
      <c r="I17" s="508"/>
      <c r="P17" s="1024">
        <v>1</v>
      </c>
      <c r="Q17" s="418">
        <v>1.5</v>
      </c>
      <c r="R17" s="418">
        <v>0.8</v>
      </c>
      <c r="S17" s="418">
        <v>0.7</v>
      </c>
    </row>
    <row r="18" spans="1:19" x14ac:dyDescent="0.25">
      <c r="A18" s="1018"/>
      <c r="B18" s="418">
        <v>2.5</v>
      </c>
      <c r="C18" s="418">
        <f t="shared" si="8"/>
        <v>0.8</v>
      </c>
      <c r="D18" s="509">
        <f>D17+1</f>
        <v>2</v>
      </c>
      <c r="E18" s="508" t="str">
        <f t="shared" ref="E18:E37" si="9">CONCATENATE("(",D18,",",$E$7,",'",B18,"'),")</f>
        <v>(2,1,'2,5'),</v>
      </c>
      <c r="F18" s="508"/>
      <c r="G18" s="513" t="s">
        <v>227</v>
      </c>
      <c r="H18" s="508"/>
      <c r="I18" s="508"/>
      <c r="P18" s="1025"/>
      <c r="Q18" s="418">
        <v>2.5</v>
      </c>
      <c r="R18" s="418">
        <v>0.8</v>
      </c>
      <c r="S18" s="418">
        <v>0.7</v>
      </c>
    </row>
    <row r="19" spans="1:19" x14ac:dyDescent="0.25">
      <c r="A19" s="1018"/>
      <c r="B19" s="419">
        <v>4</v>
      </c>
      <c r="C19" s="418">
        <f t="shared" si="8"/>
        <v>1</v>
      </c>
      <c r="D19" s="509">
        <f t="shared" ref="D19:D37" si="10">D18+1</f>
        <v>3</v>
      </c>
      <c r="E19" s="508" t="str">
        <f t="shared" si="9"/>
        <v>(3,1,'4'),</v>
      </c>
      <c r="F19" s="508"/>
      <c r="G19" s="513" t="s">
        <v>228</v>
      </c>
      <c r="H19" s="508"/>
      <c r="I19" s="508"/>
      <c r="P19" s="1025"/>
      <c r="Q19" s="419">
        <v>4</v>
      </c>
      <c r="R19" s="418">
        <v>1</v>
      </c>
      <c r="S19" s="418">
        <v>0.7</v>
      </c>
    </row>
    <row r="20" spans="1:19" x14ac:dyDescent="0.25">
      <c r="A20" s="1018"/>
      <c r="B20" s="419">
        <v>6</v>
      </c>
      <c r="C20" s="418">
        <f t="shared" si="8"/>
        <v>1</v>
      </c>
      <c r="D20" s="509">
        <f t="shared" si="10"/>
        <v>4</v>
      </c>
      <c r="E20" s="508" t="str">
        <f t="shared" si="9"/>
        <v>(4,1,'6'),</v>
      </c>
      <c r="F20" s="508"/>
      <c r="G20" s="513" t="s">
        <v>229</v>
      </c>
      <c r="H20" s="508"/>
      <c r="I20" s="508"/>
      <c r="P20" s="1025"/>
      <c r="Q20" s="419">
        <v>6</v>
      </c>
      <c r="R20" s="418">
        <v>1</v>
      </c>
      <c r="S20" s="418">
        <v>0.7</v>
      </c>
    </row>
    <row r="21" spans="1:19" x14ac:dyDescent="0.25">
      <c r="A21" s="1018"/>
      <c r="B21" s="419">
        <v>10</v>
      </c>
      <c r="C21" s="418">
        <f t="shared" si="8"/>
        <v>1</v>
      </c>
      <c r="D21" s="509">
        <f t="shared" si="10"/>
        <v>5</v>
      </c>
      <c r="E21" s="508" t="str">
        <f t="shared" si="9"/>
        <v>(5,1,'10'),</v>
      </c>
      <c r="F21" s="508"/>
      <c r="G21" s="513" t="s">
        <v>230</v>
      </c>
      <c r="H21" s="508"/>
      <c r="I21" s="508"/>
      <c r="P21" s="1025"/>
      <c r="Q21" s="419">
        <v>10</v>
      </c>
      <c r="R21" s="418">
        <v>1</v>
      </c>
      <c r="S21" s="418">
        <v>0.7</v>
      </c>
    </row>
    <row r="22" spans="1:19" x14ac:dyDescent="0.25">
      <c r="A22" s="1018"/>
      <c r="B22" s="419">
        <v>16</v>
      </c>
      <c r="C22" s="418">
        <f t="shared" si="8"/>
        <v>1</v>
      </c>
      <c r="D22" s="509">
        <f t="shared" si="10"/>
        <v>6</v>
      </c>
      <c r="E22" s="508" t="str">
        <f t="shared" si="9"/>
        <v>(6,1,'16'),</v>
      </c>
      <c r="F22" s="508"/>
      <c r="G22" s="508"/>
      <c r="H22" s="508"/>
      <c r="I22" s="508"/>
      <c r="P22" s="1025"/>
      <c r="Q22" s="419">
        <v>16</v>
      </c>
      <c r="R22" s="418">
        <v>1</v>
      </c>
      <c r="S22" s="418">
        <v>0.7</v>
      </c>
    </row>
    <row r="23" spans="1:19" x14ac:dyDescent="0.25">
      <c r="A23" s="1018"/>
      <c r="B23" s="419">
        <v>25</v>
      </c>
      <c r="C23" s="418">
        <f t="shared" si="8"/>
        <v>1.2</v>
      </c>
      <c r="D23" s="509">
        <f t="shared" si="10"/>
        <v>7</v>
      </c>
      <c r="E23" s="508" t="str">
        <f t="shared" si="9"/>
        <v>(7,1,'25'),</v>
      </c>
      <c r="F23" s="508"/>
      <c r="G23" s="508"/>
      <c r="H23" s="508"/>
      <c r="I23" s="508"/>
      <c r="P23" s="1025"/>
      <c r="Q23" s="419">
        <v>25</v>
      </c>
      <c r="R23" s="418">
        <v>1.2</v>
      </c>
      <c r="S23" s="418">
        <v>0.9</v>
      </c>
    </row>
    <row r="24" spans="1:19" x14ac:dyDescent="0.25">
      <c r="A24" s="1018"/>
      <c r="B24" s="419">
        <v>35</v>
      </c>
      <c r="C24" s="418">
        <f t="shared" si="8"/>
        <v>1.2</v>
      </c>
      <c r="D24" s="509">
        <f t="shared" si="10"/>
        <v>8</v>
      </c>
      <c r="E24" s="508" t="str">
        <f t="shared" si="9"/>
        <v>(8,1,'35'),</v>
      </c>
      <c r="F24" s="508"/>
      <c r="G24" s="508"/>
      <c r="H24" s="508"/>
      <c r="I24" s="508"/>
      <c r="P24" s="1025"/>
      <c r="Q24" s="419">
        <v>35</v>
      </c>
      <c r="R24" s="418">
        <v>1.2</v>
      </c>
      <c r="S24" s="418">
        <v>0.9</v>
      </c>
    </row>
    <row r="25" spans="1:19" x14ac:dyDescent="0.25">
      <c r="A25" s="1018"/>
      <c r="B25" s="419">
        <v>50</v>
      </c>
      <c r="C25" s="418">
        <f t="shared" si="8"/>
        <v>1.4</v>
      </c>
      <c r="D25" s="509">
        <f t="shared" si="10"/>
        <v>9</v>
      </c>
      <c r="E25" s="508" t="str">
        <f t="shared" si="9"/>
        <v>(9,1,'50'),</v>
      </c>
      <c r="F25" s="508"/>
      <c r="G25" s="508"/>
      <c r="H25" s="508"/>
      <c r="I25" s="508"/>
      <c r="P25" s="1025"/>
      <c r="Q25" s="419">
        <v>50</v>
      </c>
      <c r="R25" s="418">
        <v>1.4</v>
      </c>
      <c r="S25" s="418">
        <v>1</v>
      </c>
    </row>
    <row r="26" spans="1:19" x14ac:dyDescent="0.25">
      <c r="A26" s="1018"/>
      <c r="B26" s="419">
        <v>70</v>
      </c>
      <c r="C26" s="418">
        <f t="shared" si="8"/>
        <v>1.4</v>
      </c>
      <c r="D26" s="509">
        <f t="shared" si="10"/>
        <v>10</v>
      </c>
      <c r="E26" s="508" t="str">
        <f t="shared" si="9"/>
        <v>(10,1,'70'),</v>
      </c>
      <c r="F26" s="508"/>
      <c r="G26" s="508"/>
      <c r="H26" s="508"/>
      <c r="I26" s="508"/>
      <c r="P26" s="1025"/>
      <c r="Q26" s="419">
        <v>70</v>
      </c>
      <c r="R26" s="418">
        <v>1.4</v>
      </c>
      <c r="S26" s="418">
        <v>1.1000000000000001</v>
      </c>
    </row>
    <row r="27" spans="1:19" x14ac:dyDescent="0.25">
      <c r="A27" s="1018"/>
      <c r="B27" s="419">
        <v>95</v>
      </c>
      <c r="C27" s="418">
        <f t="shared" si="8"/>
        <v>1.6</v>
      </c>
      <c r="D27" s="509">
        <f t="shared" si="10"/>
        <v>11</v>
      </c>
      <c r="E27" s="508" t="str">
        <f t="shared" si="9"/>
        <v>(11,1,'95'),</v>
      </c>
      <c r="F27" s="508"/>
      <c r="G27" s="508"/>
      <c r="H27" s="508"/>
      <c r="I27" s="508"/>
      <c r="P27" s="1025"/>
      <c r="Q27" s="419">
        <v>95</v>
      </c>
      <c r="R27" s="418">
        <v>1.6</v>
      </c>
      <c r="S27" s="418">
        <v>1.1000000000000001</v>
      </c>
    </row>
    <row r="28" spans="1:19" x14ac:dyDescent="0.25">
      <c r="A28" s="1018"/>
      <c r="B28" s="419">
        <v>120</v>
      </c>
      <c r="C28" s="418">
        <f t="shared" si="8"/>
        <v>1.6</v>
      </c>
      <c r="D28" s="509">
        <f t="shared" si="10"/>
        <v>12</v>
      </c>
      <c r="E28" s="508" t="str">
        <f t="shared" si="9"/>
        <v>(12,1,'120'),</v>
      </c>
      <c r="F28" s="508"/>
      <c r="G28" s="508"/>
      <c r="H28" s="508"/>
      <c r="I28" s="508"/>
      <c r="P28" s="1025"/>
      <c r="Q28" s="419">
        <v>120</v>
      </c>
      <c r="R28" s="418">
        <v>1.6</v>
      </c>
      <c r="S28" s="418">
        <v>1.2</v>
      </c>
    </row>
    <row r="29" spans="1:19" x14ac:dyDescent="0.25">
      <c r="A29" s="1018"/>
      <c r="B29" s="419">
        <v>150</v>
      </c>
      <c r="C29" s="418">
        <f t="shared" si="8"/>
        <v>1.8</v>
      </c>
      <c r="D29" s="509">
        <f t="shared" si="10"/>
        <v>13</v>
      </c>
      <c r="E29" s="508" t="str">
        <f t="shared" si="9"/>
        <v>(13,1,'150'),</v>
      </c>
      <c r="F29" s="508"/>
      <c r="G29" s="508"/>
      <c r="H29" s="508"/>
      <c r="I29" s="508"/>
      <c r="P29" s="1025"/>
      <c r="Q29" s="419">
        <v>150</v>
      </c>
      <c r="R29" s="418">
        <v>1.8</v>
      </c>
      <c r="S29" s="418">
        <v>1.4</v>
      </c>
    </row>
    <row r="30" spans="1:19" x14ac:dyDescent="0.25">
      <c r="A30" s="1018"/>
      <c r="B30" s="419">
        <v>185</v>
      </c>
      <c r="C30" s="418">
        <f t="shared" si="8"/>
        <v>2</v>
      </c>
      <c r="D30" s="509">
        <f t="shared" si="10"/>
        <v>14</v>
      </c>
      <c r="E30" s="508" t="str">
        <f t="shared" si="9"/>
        <v>(14,1,'185'),</v>
      </c>
      <c r="F30" s="508"/>
      <c r="G30" s="508"/>
      <c r="H30" s="508"/>
      <c r="I30" s="508"/>
      <c r="P30" s="1025"/>
      <c r="Q30" s="419">
        <v>185</v>
      </c>
      <c r="R30" s="418">
        <v>2</v>
      </c>
      <c r="S30" s="418">
        <v>1.6</v>
      </c>
    </row>
    <row r="31" spans="1:19" x14ac:dyDescent="0.25">
      <c r="A31" s="1018"/>
      <c r="B31" s="419">
        <v>240</v>
      </c>
      <c r="C31" s="418">
        <f t="shared" si="8"/>
        <v>2.2000000000000002</v>
      </c>
      <c r="D31" s="509">
        <f t="shared" si="10"/>
        <v>15</v>
      </c>
      <c r="E31" s="508" t="str">
        <f t="shared" si="9"/>
        <v>(15,1,'240'),</v>
      </c>
      <c r="F31" s="508"/>
      <c r="G31" s="508"/>
      <c r="H31" s="508"/>
      <c r="I31" s="508"/>
      <c r="P31" s="1025"/>
      <c r="Q31" s="419">
        <v>240</v>
      </c>
      <c r="R31" s="418">
        <v>2.2000000000000002</v>
      </c>
      <c r="S31" s="418">
        <v>1.7</v>
      </c>
    </row>
    <row r="32" spans="1:19" x14ac:dyDescent="0.25">
      <c r="A32" s="1018"/>
      <c r="B32" s="419">
        <v>300</v>
      </c>
      <c r="C32" s="418">
        <f t="shared" si="8"/>
        <v>2.4</v>
      </c>
      <c r="D32" s="509">
        <f t="shared" si="10"/>
        <v>16</v>
      </c>
      <c r="E32" s="508" t="str">
        <f t="shared" si="9"/>
        <v>(16,1,'300'),</v>
      </c>
      <c r="F32" s="508"/>
      <c r="G32" s="508"/>
      <c r="H32" s="508"/>
      <c r="I32" s="508"/>
      <c r="P32" s="1025"/>
      <c r="Q32" s="419">
        <v>300</v>
      </c>
      <c r="R32" s="418">
        <v>2.4</v>
      </c>
      <c r="S32" s="418">
        <v>1.8</v>
      </c>
    </row>
    <row r="33" spans="1:19" x14ac:dyDescent="0.25">
      <c r="A33" s="1018"/>
      <c r="B33" s="419">
        <v>400</v>
      </c>
      <c r="C33" s="418">
        <f t="shared" si="8"/>
        <v>2.6</v>
      </c>
      <c r="D33" s="509">
        <f t="shared" si="10"/>
        <v>17</v>
      </c>
      <c r="E33" s="508" t="str">
        <f t="shared" si="9"/>
        <v>(17,1,'400'),</v>
      </c>
      <c r="F33" s="508"/>
      <c r="G33" s="508"/>
      <c r="H33" s="508"/>
      <c r="I33" s="508"/>
      <c r="P33" s="1025"/>
      <c r="Q33" s="419">
        <v>400</v>
      </c>
      <c r="R33" s="418">
        <v>2.6</v>
      </c>
      <c r="S33" s="418">
        <v>2</v>
      </c>
    </row>
    <row r="34" spans="1:19" x14ac:dyDescent="0.25">
      <c r="A34" s="1018"/>
      <c r="B34" s="419">
        <v>500</v>
      </c>
      <c r="C34" s="418">
        <f t="shared" si="8"/>
        <v>2.8</v>
      </c>
      <c r="D34" s="509">
        <f t="shared" si="10"/>
        <v>18</v>
      </c>
      <c r="E34" s="508" t="str">
        <f t="shared" si="9"/>
        <v>(18,1,'500'),</v>
      </c>
      <c r="F34" s="508"/>
      <c r="G34" s="508"/>
      <c r="H34" s="508"/>
      <c r="I34" s="508"/>
      <c r="P34" s="1025"/>
      <c r="Q34" s="419">
        <v>500</v>
      </c>
      <c r="R34" s="418">
        <v>2.8</v>
      </c>
      <c r="S34" s="418">
        <v>2.2000000000000002</v>
      </c>
    </row>
    <row r="35" spans="1:19" x14ac:dyDescent="0.25">
      <c r="A35" s="1018"/>
      <c r="B35" s="419">
        <v>630</v>
      </c>
      <c r="C35" s="418">
        <f t="shared" si="8"/>
        <v>2.8</v>
      </c>
      <c r="D35" s="509">
        <f t="shared" si="10"/>
        <v>19</v>
      </c>
      <c r="E35" s="508" t="str">
        <f t="shared" si="9"/>
        <v>(19,1,'630'),</v>
      </c>
      <c r="F35" s="508"/>
      <c r="G35" s="508"/>
      <c r="H35" s="508"/>
      <c r="I35" s="508"/>
      <c r="P35" s="1025"/>
      <c r="Q35" s="419">
        <v>630</v>
      </c>
      <c r="R35" s="418">
        <v>2.8</v>
      </c>
      <c r="S35" s="418">
        <v>2.4</v>
      </c>
    </row>
    <row r="36" spans="1:19" x14ac:dyDescent="0.25">
      <c r="A36" s="1018"/>
      <c r="B36" s="419">
        <v>800</v>
      </c>
      <c r="C36" s="418">
        <f t="shared" si="8"/>
        <v>2.8</v>
      </c>
      <c r="D36" s="509">
        <f t="shared" si="10"/>
        <v>20</v>
      </c>
      <c r="E36" s="508" t="str">
        <f t="shared" si="9"/>
        <v>(20,1,'800'),</v>
      </c>
      <c r="F36" s="508"/>
      <c r="G36" s="508"/>
      <c r="H36" s="508"/>
      <c r="I36" s="508"/>
      <c r="P36" s="1025"/>
      <c r="Q36" s="419">
        <v>800</v>
      </c>
      <c r="R36" s="418">
        <v>2.8</v>
      </c>
      <c r="S36" s="418">
        <v>2.6</v>
      </c>
    </row>
    <row r="37" spans="1:19" x14ac:dyDescent="0.25">
      <c r="A37" s="1018"/>
      <c r="B37" s="419">
        <v>1000</v>
      </c>
      <c r="C37" s="418">
        <f t="shared" si="8"/>
        <v>3</v>
      </c>
      <c r="D37" s="509">
        <f t="shared" si="10"/>
        <v>21</v>
      </c>
      <c r="E37" s="508" t="str">
        <f t="shared" si="9"/>
        <v>(21,1,'1000'),</v>
      </c>
      <c r="F37" s="508"/>
      <c r="G37" s="508"/>
      <c r="H37" s="508"/>
      <c r="I37" s="508"/>
      <c r="P37" s="1026"/>
      <c r="Q37" s="419">
        <v>1000</v>
      </c>
      <c r="R37" s="418">
        <v>3</v>
      </c>
      <c r="S37" s="418">
        <v>2.8</v>
      </c>
    </row>
    <row r="38" spans="1:19" x14ac:dyDescent="0.25">
      <c r="A38" s="1018">
        <v>3</v>
      </c>
      <c r="B38" s="419">
        <v>10</v>
      </c>
      <c r="C38" s="418">
        <f t="shared" si="8"/>
        <v>2.2000000000000002</v>
      </c>
      <c r="D38" s="508"/>
      <c r="E38" s="508"/>
      <c r="F38" s="508"/>
      <c r="G38" s="508"/>
      <c r="H38" s="508"/>
      <c r="I38" s="508"/>
      <c r="P38" s="1018">
        <v>3</v>
      </c>
      <c r="Q38" s="419">
        <v>10</v>
      </c>
      <c r="R38" s="418">
        <v>2.2000000000000002</v>
      </c>
      <c r="S38" s="418">
        <v>2</v>
      </c>
    </row>
    <row r="39" spans="1:19" x14ac:dyDescent="0.25">
      <c r="A39" s="1018"/>
      <c r="B39" s="419">
        <v>16</v>
      </c>
      <c r="C39" s="418">
        <f t="shared" si="8"/>
        <v>2.2000000000000002</v>
      </c>
      <c r="D39" s="508"/>
      <c r="E39" s="508"/>
      <c r="F39" s="508"/>
      <c r="G39" s="508"/>
      <c r="H39" s="508"/>
      <c r="I39" s="508"/>
      <c r="P39" s="1018"/>
      <c r="Q39" s="419">
        <v>16</v>
      </c>
      <c r="R39" s="418">
        <v>2.2000000000000002</v>
      </c>
      <c r="S39" s="418">
        <v>2</v>
      </c>
    </row>
    <row r="40" spans="1:19" x14ac:dyDescent="0.25">
      <c r="A40" s="1018"/>
      <c r="B40" s="419">
        <v>25</v>
      </c>
      <c r="C40" s="418">
        <f t="shared" si="8"/>
        <v>2.2000000000000002</v>
      </c>
      <c r="D40" s="508"/>
      <c r="E40" s="508"/>
      <c r="F40" s="508"/>
      <c r="G40" s="508"/>
      <c r="H40" s="508"/>
      <c r="I40" s="508"/>
      <c r="P40" s="1018"/>
      <c r="Q40" s="419">
        <v>25</v>
      </c>
      <c r="R40" s="418">
        <v>2.2000000000000002</v>
      </c>
      <c r="S40" s="418">
        <v>2</v>
      </c>
    </row>
    <row r="41" spans="1:19" x14ac:dyDescent="0.25">
      <c r="A41" s="1018"/>
      <c r="B41" s="419">
        <v>35</v>
      </c>
      <c r="C41" s="418">
        <f t="shared" si="8"/>
        <v>2.2000000000000002</v>
      </c>
      <c r="D41" s="508"/>
      <c r="E41" s="508"/>
      <c r="F41" s="508"/>
      <c r="G41" s="508"/>
      <c r="H41" s="508"/>
      <c r="I41" s="508"/>
      <c r="P41" s="1018"/>
      <c r="Q41" s="419">
        <v>35</v>
      </c>
      <c r="R41" s="418">
        <v>2.2000000000000002</v>
      </c>
      <c r="S41" s="418">
        <v>2</v>
      </c>
    </row>
    <row r="42" spans="1:19" x14ac:dyDescent="0.25">
      <c r="A42" s="1018"/>
      <c r="B42" s="419">
        <v>50</v>
      </c>
      <c r="C42" s="418">
        <f t="shared" si="8"/>
        <v>2.2000000000000002</v>
      </c>
      <c r="D42" s="508"/>
      <c r="E42" s="508"/>
      <c r="F42" s="508"/>
      <c r="G42" s="508"/>
      <c r="H42" s="508"/>
      <c r="I42" s="508"/>
      <c r="P42" s="1018"/>
      <c r="Q42" s="419">
        <v>50</v>
      </c>
      <c r="R42" s="418">
        <v>2.2000000000000002</v>
      </c>
      <c r="S42" s="418">
        <v>2</v>
      </c>
    </row>
    <row r="43" spans="1:19" x14ac:dyDescent="0.25">
      <c r="A43" s="1018"/>
      <c r="B43" s="419">
        <v>70</v>
      </c>
      <c r="C43" s="418">
        <f t="shared" si="8"/>
        <v>2.2000000000000002</v>
      </c>
      <c r="D43" s="508"/>
      <c r="E43" s="508"/>
      <c r="F43" s="508"/>
      <c r="G43" s="508"/>
      <c r="H43" s="508"/>
      <c r="I43" s="508"/>
      <c r="P43" s="1018"/>
      <c r="Q43" s="419">
        <v>70</v>
      </c>
      <c r="R43" s="418">
        <v>2.2000000000000002</v>
      </c>
      <c r="S43" s="418">
        <v>2</v>
      </c>
    </row>
    <row r="44" spans="1:19" x14ac:dyDescent="0.25">
      <c r="A44" s="1018"/>
      <c r="B44" s="419">
        <v>95</v>
      </c>
      <c r="C44" s="418">
        <f t="shared" si="8"/>
        <v>2.2000000000000002</v>
      </c>
      <c r="D44" s="508"/>
      <c r="E44" s="508"/>
      <c r="F44" s="508"/>
      <c r="G44" s="508"/>
      <c r="H44" s="508"/>
      <c r="I44" s="508"/>
      <c r="P44" s="1018"/>
      <c r="Q44" s="419">
        <v>95</v>
      </c>
      <c r="R44" s="418">
        <v>2.2000000000000002</v>
      </c>
      <c r="S44" s="418">
        <v>2</v>
      </c>
    </row>
    <row r="45" spans="1:19" x14ac:dyDescent="0.25">
      <c r="A45" s="1018"/>
      <c r="B45" s="419">
        <v>120</v>
      </c>
      <c r="C45" s="418">
        <f t="shared" si="8"/>
        <v>2.2000000000000002</v>
      </c>
      <c r="D45" s="508"/>
      <c r="E45" s="508"/>
      <c r="F45" s="508"/>
      <c r="G45" s="508"/>
      <c r="H45" s="508"/>
      <c r="I45" s="508"/>
      <c r="P45" s="1018"/>
      <c r="Q45" s="419">
        <v>120</v>
      </c>
      <c r="R45" s="418">
        <v>2.2000000000000002</v>
      </c>
      <c r="S45" s="418">
        <v>2</v>
      </c>
    </row>
    <row r="46" spans="1:19" x14ac:dyDescent="0.25">
      <c r="A46" s="1018"/>
      <c r="B46" s="419">
        <v>150</v>
      </c>
      <c r="C46" s="418">
        <f t="shared" si="8"/>
        <v>2.2000000000000002</v>
      </c>
      <c r="D46" s="508"/>
      <c r="E46" s="508"/>
      <c r="F46" s="508"/>
      <c r="G46" s="508"/>
      <c r="H46" s="508"/>
      <c r="I46" s="508"/>
      <c r="P46" s="1018"/>
      <c r="Q46" s="419">
        <v>150</v>
      </c>
      <c r="R46" s="418">
        <v>2.2000000000000002</v>
      </c>
      <c r="S46" s="418">
        <v>2</v>
      </c>
    </row>
    <row r="47" spans="1:19" x14ac:dyDescent="0.25">
      <c r="A47" s="1018"/>
      <c r="B47" s="419">
        <v>185</v>
      </c>
      <c r="C47" s="418">
        <f t="shared" si="8"/>
        <v>2.2000000000000002</v>
      </c>
      <c r="D47" s="508"/>
      <c r="E47" s="508"/>
      <c r="F47" s="508"/>
      <c r="G47" s="508"/>
      <c r="H47" s="508"/>
      <c r="I47" s="508"/>
      <c r="P47" s="1018"/>
      <c r="Q47" s="419">
        <v>185</v>
      </c>
      <c r="R47" s="418">
        <v>2.2000000000000002</v>
      </c>
      <c r="S47" s="418">
        <v>2</v>
      </c>
    </row>
    <row r="48" spans="1:19" x14ac:dyDescent="0.25">
      <c r="A48" s="1018"/>
      <c r="B48" s="419">
        <v>240</v>
      </c>
      <c r="C48" s="418">
        <f t="shared" si="8"/>
        <v>2.2000000000000002</v>
      </c>
      <c r="D48" s="508"/>
      <c r="E48" s="508"/>
      <c r="F48" s="508"/>
      <c r="G48" s="508"/>
      <c r="H48" s="508"/>
      <c r="I48" s="508"/>
      <c r="P48" s="1018"/>
      <c r="Q48" s="419">
        <v>240</v>
      </c>
      <c r="R48" s="418">
        <v>2.2000000000000002</v>
      </c>
      <c r="S48" s="418">
        <v>2</v>
      </c>
    </row>
    <row r="49" spans="1:19" x14ac:dyDescent="0.25">
      <c r="A49" s="1018"/>
      <c r="B49" s="419">
        <v>300</v>
      </c>
      <c r="C49" s="418">
        <f t="shared" si="8"/>
        <v>2.4</v>
      </c>
      <c r="D49" s="508"/>
      <c r="E49" s="508"/>
      <c r="F49" s="508"/>
      <c r="G49" s="508"/>
      <c r="H49" s="508"/>
      <c r="I49" s="508"/>
      <c r="P49" s="1018"/>
      <c r="Q49" s="419">
        <v>300</v>
      </c>
      <c r="R49" s="418">
        <v>2.4</v>
      </c>
      <c r="S49" s="418">
        <v>2</v>
      </c>
    </row>
    <row r="50" spans="1:19" x14ac:dyDescent="0.25">
      <c r="A50" s="1018"/>
      <c r="B50" s="419">
        <v>400</v>
      </c>
      <c r="C50" s="418">
        <f t="shared" si="8"/>
        <v>2.6</v>
      </c>
      <c r="D50" s="508"/>
      <c r="E50" s="508"/>
      <c r="F50" s="508"/>
      <c r="G50" s="508"/>
      <c r="H50" s="508"/>
      <c r="I50" s="508"/>
      <c r="P50" s="1018"/>
      <c r="Q50" s="419">
        <v>400</v>
      </c>
      <c r="R50" s="418">
        <v>2.6</v>
      </c>
      <c r="S50" s="418">
        <v>2</v>
      </c>
    </row>
    <row r="51" spans="1:19" x14ac:dyDescent="0.25">
      <c r="A51" s="1018"/>
      <c r="B51" s="419">
        <v>500</v>
      </c>
      <c r="C51" s="418">
        <f t="shared" si="8"/>
        <v>2.8</v>
      </c>
      <c r="D51" s="508"/>
      <c r="E51" s="508"/>
      <c r="F51" s="508"/>
      <c r="G51" s="508"/>
      <c r="H51" s="508"/>
      <c r="I51" s="508"/>
      <c r="P51" s="1018"/>
      <c r="Q51" s="419">
        <v>500</v>
      </c>
      <c r="R51" s="418">
        <v>2.8</v>
      </c>
      <c r="S51" s="418">
        <v>2.2000000000000002</v>
      </c>
    </row>
    <row r="52" spans="1:19" x14ac:dyDescent="0.25">
      <c r="A52" s="1018"/>
      <c r="B52" s="419">
        <v>630</v>
      </c>
      <c r="C52" s="418">
        <f t="shared" si="8"/>
        <v>2.8</v>
      </c>
      <c r="D52" s="508"/>
      <c r="E52" s="508"/>
      <c r="F52" s="508"/>
      <c r="G52" s="508"/>
      <c r="H52" s="508"/>
      <c r="I52" s="508"/>
      <c r="P52" s="1018"/>
      <c r="Q52" s="419">
        <v>630</v>
      </c>
      <c r="R52" s="418">
        <v>2.8</v>
      </c>
      <c r="S52" s="418">
        <v>2.4</v>
      </c>
    </row>
    <row r="53" spans="1:19" x14ac:dyDescent="0.25">
      <c r="A53" s="1018"/>
      <c r="B53" s="419">
        <v>800</v>
      </c>
      <c r="C53" s="418">
        <f t="shared" si="8"/>
        <v>2.8</v>
      </c>
      <c r="D53" s="508"/>
      <c r="E53" s="508"/>
      <c r="F53" s="508"/>
      <c r="G53" s="508"/>
      <c r="H53" s="508"/>
      <c r="I53" s="508"/>
      <c r="P53" s="1018"/>
      <c r="Q53" s="419">
        <v>800</v>
      </c>
      <c r="R53" s="418">
        <v>2.8</v>
      </c>
      <c r="S53" s="418">
        <v>2.6</v>
      </c>
    </row>
    <row r="54" spans="1:19" x14ac:dyDescent="0.25">
      <c r="A54" s="1018"/>
      <c r="B54" s="419">
        <v>1000</v>
      </c>
      <c r="C54" s="418">
        <f t="shared" si="8"/>
        <v>3</v>
      </c>
      <c r="D54" s="508"/>
      <c r="E54" s="508"/>
      <c r="F54" s="508"/>
      <c r="G54" s="508"/>
      <c r="H54" s="508"/>
      <c r="I54" s="508"/>
      <c r="P54" s="1018"/>
      <c r="Q54" s="419">
        <v>1000</v>
      </c>
      <c r="R54" s="418">
        <v>3</v>
      </c>
      <c r="S54" s="418">
        <v>2.8</v>
      </c>
    </row>
  </sheetData>
  <mergeCells count="23">
    <mergeCell ref="W1:AA5"/>
    <mergeCell ref="W6:W7"/>
    <mergeCell ref="X6:X7"/>
    <mergeCell ref="Z6:AA6"/>
    <mergeCell ref="R1:S4"/>
    <mergeCell ref="S5:S7"/>
    <mergeCell ref="U1:V5"/>
    <mergeCell ref="A38:A54"/>
    <mergeCell ref="P1:P7"/>
    <mergeCell ref="Q1:Q7"/>
    <mergeCell ref="R5:R7"/>
    <mergeCell ref="P8:P16"/>
    <mergeCell ref="P17:P37"/>
    <mergeCell ref="P38:P54"/>
    <mergeCell ref="A1:A7"/>
    <mergeCell ref="B1:B7"/>
    <mergeCell ref="C1:C4"/>
    <mergeCell ref="C5:C7"/>
    <mergeCell ref="A8:A16"/>
    <mergeCell ref="A17:A37"/>
    <mergeCell ref="K1:L6"/>
    <mergeCell ref="M6:N7"/>
    <mergeCell ref="M1:N5"/>
  </mergeCells>
  <conditionalFormatting sqref="B17:B25 B38:B42">
    <cfRule type="cellIs" dxfId="30" priority="21" operator="equal">
      <formula>0</formula>
    </cfRule>
  </conditionalFormatting>
  <conditionalFormatting sqref="A8">
    <cfRule type="cellIs" dxfId="29" priority="24" operator="equal">
      <formula>0</formula>
    </cfRule>
  </conditionalFormatting>
  <conditionalFormatting sqref="B8:B16">
    <cfRule type="cellIs" dxfId="28" priority="23" operator="equal">
      <formula>0</formula>
    </cfRule>
  </conditionalFormatting>
  <conditionalFormatting sqref="C8:I54">
    <cfRule type="cellIs" dxfId="27" priority="22" operator="equal">
      <formula>0</formula>
    </cfRule>
  </conditionalFormatting>
  <conditionalFormatting sqref="B26:B37">
    <cfRule type="cellIs" dxfId="26" priority="20" operator="equal">
      <formula>0</formula>
    </cfRule>
  </conditionalFormatting>
  <conditionalFormatting sqref="A17">
    <cfRule type="cellIs" dxfId="25" priority="19" operator="equal">
      <formula>0</formula>
    </cfRule>
  </conditionalFormatting>
  <conditionalFormatting sqref="B43:B54">
    <cfRule type="cellIs" dxfId="24" priority="17" operator="equal">
      <formula>0</formula>
    </cfRule>
  </conditionalFormatting>
  <conditionalFormatting sqref="Q17:Q25 Q38:Q42 R38:R54">
    <cfRule type="cellIs" dxfId="23" priority="13" operator="equal">
      <formula>0</formula>
    </cfRule>
  </conditionalFormatting>
  <conditionalFormatting sqref="P8">
    <cfRule type="cellIs" dxfId="22" priority="16" operator="equal">
      <formula>0</formula>
    </cfRule>
  </conditionalFormatting>
  <conditionalFormatting sqref="Q8:Q16">
    <cfRule type="cellIs" dxfId="21" priority="15" operator="equal">
      <formula>0</formula>
    </cfRule>
  </conditionalFormatting>
  <conditionalFormatting sqref="R8:R16">
    <cfRule type="cellIs" dxfId="20" priority="14" operator="equal">
      <formula>0</formula>
    </cfRule>
  </conditionalFormatting>
  <conditionalFormatting sqref="Q26:Q37">
    <cfRule type="cellIs" dxfId="19" priority="12" operator="equal">
      <formula>0</formula>
    </cfRule>
  </conditionalFormatting>
  <conditionalFormatting sqref="P17">
    <cfRule type="cellIs" dxfId="18" priority="11" operator="equal">
      <formula>0</formula>
    </cfRule>
  </conditionalFormatting>
  <conditionalFormatting sqref="R17:R37">
    <cfRule type="cellIs" dxfId="17" priority="10" operator="equal">
      <formula>0</formula>
    </cfRule>
  </conditionalFormatting>
  <conditionalFormatting sqref="Q43:Q54">
    <cfRule type="cellIs" dxfId="16" priority="9" operator="equal">
      <formula>0</formula>
    </cfRule>
  </conditionalFormatting>
  <conditionalFormatting sqref="S38:S54">
    <cfRule type="cellIs" dxfId="15" priority="5" operator="equal">
      <formula>0</formula>
    </cfRule>
  </conditionalFormatting>
  <conditionalFormatting sqref="S8:S16">
    <cfRule type="cellIs" dxfId="14" priority="6" operator="equal">
      <formula>0</formula>
    </cfRule>
  </conditionalFormatting>
  <conditionalFormatting sqref="S17:S37">
    <cfRule type="cellIs" dxfId="13" priority="2" operator="equal">
      <formula>0</formula>
    </cfRule>
  </conditionalFormatting>
  <dataValidations count="2">
    <dataValidation type="list" allowBlank="1" showInputMessage="1" showErrorMessage="1" sqref="C5:I7">
      <formula1>ПластикатИзоляции</formula1>
    </dataValidation>
    <dataValidation type="list" allowBlank="1" showInputMessage="1" showErrorMessage="1" sqref="M6">
      <formula1>ТипОболочки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topLeftCell="G1" workbookViewId="0">
      <selection activeCell="L8" sqref="L8:L18"/>
    </sheetView>
  </sheetViews>
  <sheetFormatPr defaultRowHeight="13.2" x14ac:dyDescent="0.25"/>
  <cols>
    <col min="2" max="3" width="7.109375" customWidth="1"/>
    <col min="4" max="4" width="50.77734375" customWidth="1"/>
    <col min="5" max="5" width="7.109375" customWidth="1"/>
    <col min="6" max="6" width="17.6640625" customWidth="1"/>
    <col min="7" max="9" width="7.109375" customWidth="1"/>
    <col min="10" max="10" width="15.21875" customWidth="1"/>
    <col min="11" max="11" width="18.5546875" customWidth="1"/>
  </cols>
  <sheetData>
    <row r="1" spans="1:15" x14ac:dyDescent="0.25">
      <c r="B1" t="s">
        <v>249</v>
      </c>
      <c r="C1" t="s">
        <v>251</v>
      </c>
      <c r="E1" t="s">
        <v>256</v>
      </c>
      <c r="F1" t="s">
        <v>258</v>
      </c>
      <c r="G1" t="s">
        <v>264</v>
      </c>
      <c r="H1" t="s">
        <v>269</v>
      </c>
      <c r="I1" t="s">
        <v>264</v>
      </c>
      <c r="J1" t="s">
        <v>271</v>
      </c>
      <c r="K1" t="s">
        <v>284</v>
      </c>
    </row>
    <row r="2" spans="1:15" x14ac:dyDescent="0.25">
      <c r="B2" t="s">
        <v>250</v>
      </c>
      <c r="C2" t="s">
        <v>252</v>
      </c>
      <c r="E2" t="s">
        <v>257</v>
      </c>
      <c r="F2" t="s">
        <v>259</v>
      </c>
      <c r="G2" t="s">
        <v>265</v>
      </c>
      <c r="H2" t="s">
        <v>270</v>
      </c>
      <c r="I2" t="s">
        <v>280</v>
      </c>
      <c r="J2" t="s">
        <v>272</v>
      </c>
      <c r="K2" t="s">
        <v>285</v>
      </c>
    </row>
    <row r="3" spans="1:15" x14ac:dyDescent="0.25">
      <c r="C3" t="s">
        <v>253</v>
      </c>
      <c r="F3" t="s">
        <v>260</v>
      </c>
      <c r="G3" t="s">
        <v>266</v>
      </c>
      <c r="I3" t="s">
        <v>281</v>
      </c>
      <c r="J3" t="s">
        <v>273</v>
      </c>
      <c r="K3" t="s">
        <v>275</v>
      </c>
      <c r="L3" s="1087" t="s">
        <v>286</v>
      </c>
    </row>
    <row r="4" spans="1:15" x14ac:dyDescent="0.25">
      <c r="C4" t="s">
        <v>254</v>
      </c>
      <c r="F4" t="s">
        <v>261</v>
      </c>
      <c r="G4" t="s">
        <v>267</v>
      </c>
      <c r="I4" t="s">
        <v>282</v>
      </c>
      <c r="J4" t="s">
        <v>274</v>
      </c>
      <c r="K4" t="s">
        <v>276</v>
      </c>
    </row>
    <row r="5" spans="1:15" x14ac:dyDescent="0.25">
      <c r="C5" t="s">
        <v>255</v>
      </c>
      <c r="F5" t="s">
        <v>262</v>
      </c>
      <c r="G5" t="s">
        <v>268</v>
      </c>
      <c r="I5" t="s">
        <v>283</v>
      </c>
    </row>
    <row r="6" spans="1:15" x14ac:dyDescent="0.25">
      <c r="F6" t="s">
        <v>263</v>
      </c>
    </row>
    <row r="7" spans="1:15" s="1081" customFormat="1" ht="51" customHeight="1" x14ac:dyDescent="0.25">
      <c r="A7" s="510" t="s">
        <v>239</v>
      </c>
      <c r="B7" s="510" t="s">
        <v>240</v>
      </c>
      <c r="C7" s="510" t="s">
        <v>241</v>
      </c>
      <c r="D7" s="510" t="s">
        <v>242</v>
      </c>
      <c r="E7" s="510" t="s">
        <v>243</v>
      </c>
      <c r="F7" s="510" t="s">
        <v>244</v>
      </c>
      <c r="G7" s="510" t="s">
        <v>245</v>
      </c>
      <c r="H7" s="510" t="s">
        <v>246</v>
      </c>
      <c r="I7" s="510" t="s">
        <v>279</v>
      </c>
      <c r="J7" s="510" t="s">
        <v>247</v>
      </c>
      <c r="K7" s="510" t="s">
        <v>248</v>
      </c>
      <c r="L7" s="1080"/>
      <c r="M7" s="1080"/>
      <c r="N7" s="1080"/>
      <c r="O7" s="1080"/>
    </row>
    <row r="8" spans="1:15" x14ac:dyDescent="0.25">
      <c r="A8" s="1082">
        <v>20000001</v>
      </c>
      <c r="B8" s="1082">
        <v>2</v>
      </c>
      <c r="C8" s="1083">
        <v>1</v>
      </c>
      <c r="D8" s="1084" t="s">
        <v>277</v>
      </c>
      <c r="E8" s="311">
        <v>1</v>
      </c>
      <c r="F8" s="1085">
        <v>2</v>
      </c>
      <c r="G8" s="1085">
        <v>1</v>
      </c>
      <c r="H8" s="1085">
        <v>7</v>
      </c>
      <c r="I8" s="1085">
        <v>2</v>
      </c>
      <c r="J8" s="1085">
        <v>1</v>
      </c>
      <c r="K8" s="1085">
        <v>1</v>
      </c>
      <c r="L8" t="str">
        <f>CONCATENATE("(",A8,", ",B8,", ",C8,", ","'",D8,"'",", ",E8,", ",F8,", ",G8,", ",H8,", ",I8,", ",J8,", ",K8,"),")</f>
        <v>(20000001, 2, 1, 'проволока АТ 2,26', 1, 2, 1, 7, 2, 1, 1),</v>
      </c>
    </row>
    <row r="9" spans="1:15" x14ac:dyDescent="0.25">
      <c r="A9" s="1082">
        <f>A8+1</f>
        <v>20000002</v>
      </c>
      <c r="B9" s="1082">
        <v>2</v>
      </c>
      <c r="C9" s="1083">
        <v>3</v>
      </c>
      <c r="D9" s="1082" t="s">
        <v>289</v>
      </c>
      <c r="E9" s="1086">
        <v>1</v>
      </c>
      <c r="F9" s="1085">
        <v>2</v>
      </c>
      <c r="G9" s="1085">
        <v>2</v>
      </c>
      <c r="H9" s="1085">
        <v>7</v>
      </c>
      <c r="I9" s="1085">
        <v>2</v>
      </c>
      <c r="J9" s="1085">
        <v>2</v>
      </c>
      <c r="K9" s="1085">
        <v>3</v>
      </c>
      <c r="L9" t="str">
        <f t="shared" ref="L9:L18" si="0">CONCATENATE("(",A9,", ",B9,", ",C9,", ","'",D9,"'",", ",E9,", ",F9,", ",G9,", ",H9,", ",I9,", ",J9,", ",K9,"),")</f>
        <v>(20000002, 2, 3, 'жила опрессованная АВ 4ок - 0,66 ЧЕР ГОСТ 16442-80', 1, 2, 2, 7, 2, 2, 3),</v>
      </c>
    </row>
    <row r="10" spans="1:15" x14ac:dyDescent="0.25">
      <c r="A10" s="1082">
        <f>A9+1</f>
        <v>20000003</v>
      </c>
      <c r="B10" s="1082">
        <v>1</v>
      </c>
      <c r="C10" s="1083">
        <v>5</v>
      </c>
      <c r="D10" s="1082" t="s">
        <v>278</v>
      </c>
      <c r="E10" s="1086">
        <v>1</v>
      </c>
      <c r="F10" s="1085">
        <v>2</v>
      </c>
      <c r="G10" s="1085">
        <v>2</v>
      </c>
      <c r="H10" s="1085">
        <v>7</v>
      </c>
      <c r="I10" s="1085">
        <v>2</v>
      </c>
      <c r="J10" s="1085">
        <v>2</v>
      </c>
      <c r="K10" s="1085">
        <v>3</v>
      </c>
      <c r="L10" t="str">
        <f t="shared" si="0"/>
        <v>(20000003, 1, 5, 'Кабель АВВГ 1*4ок - 0,66 ГОСТ 16442-80', 1, 2, 2, 7, 2, 2, 3),</v>
      </c>
    </row>
    <row r="11" spans="1:15" x14ac:dyDescent="0.25">
      <c r="A11" s="1082">
        <f>A10+1</f>
        <v>20000004</v>
      </c>
      <c r="B11" s="1082">
        <v>2</v>
      </c>
      <c r="C11" s="1083">
        <v>1</v>
      </c>
      <c r="D11" s="1082" t="s">
        <v>287</v>
      </c>
      <c r="E11" s="1086">
        <v>1</v>
      </c>
      <c r="F11" s="1085">
        <v>5</v>
      </c>
      <c r="G11" s="1085">
        <v>1</v>
      </c>
      <c r="H11" s="1085">
        <v>10</v>
      </c>
      <c r="I11" s="1085">
        <v>1</v>
      </c>
      <c r="J11" s="1085">
        <v>1</v>
      </c>
      <c r="K11" s="1085">
        <v>1</v>
      </c>
      <c r="L11" t="str">
        <f t="shared" si="0"/>
        <v>(20000004, 2, 1, 'проволока МТ 1,77', 1, 5, 1, 10, 1, 1, 1),</v>
      </c>
    </row>
    <row r="12" spans="1:15" x14ac:dyDescent="0.25">
      <c r="A12" s="1082">
        <f>A11+1</f>
        <v>20000005</v>
      </c>
      <c r="B12" s="1082">
        <v>2</v>
      </c>
      <c r="C12" s="1083">
        <v>2</v>
      </c>
      <c r="D12" s="1082" t="s">
        <v>288</v>
      </c>
      <c r="E12" s="1086">
        <v>1</v>
      </c>
      <c r="F12" s="1085">
        <v>5</v>
      </c>
      <c r="G12" s="1085">
        <v>2</v>
      </c>
      <c r="H12" s="1085">
        <v>10</v>
      </c>
      <c r="I12" s="1085">
        <v>3</v>
      </c>
      <c r="J12" s="1085">
        <v>1</v>
      </c>
      <c r="K12" s="1085">
        <v>1</v>
      </c>
      <c r="L12" t="str">
        <f t="shared" si="0"/>
        <v>(20000005, 2, 2, 'жила скрученная медная 16мк упл.', 1, 5, 2, 10, 3, 1, 1),</v>
      </c>
    </row>
    <row r="13" spans="1:15" x14ac:dyDescent="0.25">
      <c r="A13" s="1082">
        <f>A12+1</f>
        <v>20000006</v>
      </c>
      <c r="B13" s="1082">
        <v>2</v>
      </c>
      <c r="C13" s="1083">
        <v>3</v>
      </c>
      <c r="D13" s="1082" t="s">
        <v>290</v>
      </c>
      <c r="E13" s="1086">
        <v>1</v>
      </c>
      <c r="F13" s="1085">
        <v>5</v>
      </c>
      <c r="G13" s="1085">
        <v>2</v>
      </c>
      <c r="H13" s="1085">
        <v>10</v>
      </c>
      <c r="I13" s="1085">
        <v>3</v>
      </c>
      <c r="J13" s="1085">
        <v>2</v>
      </c>
      <c r="K13" s="1085">
        <v>4</v>
      </c>
      <c r="L13" t="str">
        <f t="shared" si="0"/>
        <v>(20000006, 2, 3, 'жила опрессованная В 16мк - 1 СЕР ГОСТ 16442-80', 1, 5, 2, 10, 3, 2, 4),</v>
      </c>
    </row>
    <row r="14" spans="1:15" x14ac:dyDescent="0.25">
      <c r="A14" s="1082">
        <f>A13+1</f>
        <v>20000007</v>
      </c>
      <c r="B14" s="1082">
        <v>2</v>
      </c>
      <c r="C14" s="1083">
        <v>3</v>
      </c>
      <c r="D14" s="1082" t="s">
        <v>291</v>
      </c>
      <c r="E14" s="1086">
        <v>1</v>
      </c>
      <c r="F14" s="1085">
        <v>5</v>
      </c>
      <c r="G14" s="1085">
        <v>2</v>
      </c>
      <c r="H14" s="1085">
        <v>10</v>
      </c>
      <c r="I14" s="1085">
        <v>3</v>
      </c>
      <c r="J14" s="1085">
        <v>2</v>
      </c>
      <c r="K14" s="1085">
        <v>4</v>
      </c>
      <c r="L14" t="str">
        <f t="shared" si="0"/>
        <v>(20000007, 2, 3, 'жила опрессованная В 16мк - 1 КОР ГОСТ 16442-80', 1, 5, 2, 10, 3, 2, 4),</v>
      </c>
    </row>
    <row r="15" spans="1:15" x14ac:dyDescent="0.25">
      <c r="A15" s="1082">
        <f>A14+1</f>
        <v>20000008</v>
      </c>
      <c r="B15" s="1082">
        <v>2</v>
      </c>
      <c r="C15" s="1083">
        <v>3</v>
      </c>
      <c r="D15" s="1082" t="s">
        <v>292</v>
      </c>
      <c r="E15" s="1086">
        <v>1</v>
      </c>
      <c r="F15" s="1085">
        <v>5</v>
      </c>
      <c r="G15" s="1085">
        <v>2</v>
      </c>
      <c r="H15" s="1085">
        <v>10</v>
      </c>
      <c r="I15" s="1085">
        <v>3</v>
      </c>
      <c r="J15" s="1085">
        <v>2</v>
      </c>
      <c r="K15" s="1085">
        <v>4</v>
      </c>
      <c r="L15" t="str">
        <f t="shared" si="0"/>
        <v>(20000008, 2, 3, 'жила опрессованная В 16мк - 1 ЧЕР ГОСТ 16442-80', 1, 5, 2, 10, 3, 2, 4),</v>
      </c>
    </row>
    <row r="16" spans="1:15" x14ac:dyDescent="0.25">
      <c r="A16" s="1082">
        <f>A15+1</f>
        <v>20000009</v>
      </c>
      <c r="B16" s="1082">
        <v>2</v>
      </c>
      <c r="C16" s="1083">
        <v>3</v>
      </c>
      <c r="D16" s="1082" t="s">
        <v>293</v>
      </c>
      <c r="E16" s="1086">
        <v>1</v>
      </c>
      <c r="F16" s="1085">
        <v>5</v>
      </c>
      <c r="G16" s="1085">
        <v>2</v>
      </c>
      <c r="H16" s="1085">
        <v>10</v>
      </c>
      <c r="I16" s="1085">
        <v>3</v>
      </c>
      <c r="J16" s="1085">
        <v>2</v>
      </c>
      <c r="K16" s="1085">
        <v>4</v>
      </c>
      <c r="L16" t="str">
        <f t="shared" si="0"/>
        <v>(20000009, 2, 3, 'жила опрессованная В 16мк - 1 СИН ГОСТ 16442-80', 1, 5, 2, 10, 3, 2, 4),</v>
      </c>
    </row>
    <row r="17" spans="1:12" x14ac:dyDescent="0.25">
      <c r="A17" s="1082">
        <f>A16+1</f>
        <v>20000010</v>
      </c>
      <c r="B17" s="1082">
        <v>2</v>
      </c>
      <c r="C17" s="1083">
        <v>4</v>
      </c>
      <c r="D17" s="1082" t="s">
        <v>294</v>
      </c>
      <c r="E17" s="1086">
        <v>1</v>
      </c>
      <c r="F17" s="1085">
        <v>5</v>
      </c>
      <c r="G17" s="1085">
        <v>5</v>
      </c>
      <c r="H17" s="1085">
        <v>10</v>
      </c>
      <c r="I17" s="1085">
        <v>3</v>
      </c>
      <c r="J17" s="1085">
        <v>1</v>
      </c>
      <c r="K17" s="1085">
        <v>4</v>
      </c>
      <c r="L17" t="str">
        <f t="shared" si="0"/>
        <v>(20000010, 2, 4, 'заготовка скрученная В 4х16мк (N) - 1 ГОСТ 16442-80', 1, 5, 5, 10, 3, 1, 4),</v>
      </c>
    </row>
    <row r="18" spans="1:12" x14ac:dyDescent="0.25">
      <c r="A18" s="1082">
        <f>A17+1</f>
        <v>20000011</v>
      </c>
      <c r="B18" s="1082">
        <v>1</v>
      </c>
      <c r="C18" s="1083">
        <v>5</v>
      </c>
      <c r="D18" s="1082" t="s">
        <v>295</v>
      </c>
      <c r="E18" s="1086">
        <v>1</v>
      </c>
      <c r="F18" s="1085">
        <v>5</v>
      </c>
      <c r="G18" s="1085">
        <v>5</v>
      </c>
      <c r="H18" s="1085">
        <v>10</v>
      </c>
      <c r="I18" s="1085">
        <v>3</v>
      </c>
      <c r="J18" s="1085">
        <v>2</v>
      </c>
      <c r="K18" s="1085">
        <v>4</v>
      </c>
      <c r="L18" t="str">
        <f t="shared" si="0"/>
        <v>(20000011, 1, 5, 'Кабель ВВГ 4х16мк (N) - 1 ГОСТ 16442-80', 1, 5, 5, 10, 3, 2, 4),</v>
      </c>
    </row>
  </sheetData>
  <conditionalFormatting sqref="A7:A8 C7:E7 C8:D8 A9:E18">
    <cfRule type="cellIs" dxfId="12" priority="13" operator="equal">
      <formula>0</formula>
    </cfRule>
  </conditionalFormatting>
  <conditionalFormatting sqref="B7">
    <cfRule type="cellIs" dxfId="11" priority="12" operator="equal">
      <formula>0</formula>
    </cfRule>
  </conditionalFormatting>
  <conditionalFormatting sqref="F7">
    <cfRule type="cellIs" dxfId="10" priority="11" operator="equal">
      <formula>0</formula>
    </cfRule>
  </conditionalFormatting>
  <conditionalFormatting sqref="G7">
    <cfRule type="cellIs" dxfId="9" priority="10" operator="equal">
      <formula>0</formula>
    </cfRule>
  </conditionalFormatting>
  <conditionalFormatting sqref="H7:I7">
    <cfRule type="cellIs" dxfId="8" priority="9" operator="equal">
      <formula>0</formula>
    </cfRule>
  </conditionalFormatting>
  <conditionalFormatting sqref="J7">
    <cfRule type="cellIs" dxfId="7" priority="7" operator="equal">
      <formula>0</formula>
    </cfRule>
  </conditionalFormatting>
  <conditionalFormatting sqref="K7">
    <cfRule type="cellIs" dxfId="5" priority="6" operator="equal">
      <formula>0</formula>
    </cfRule>
  </conditionalFormatting>
  <conditionalFormatting sqref="L7">
    <cfRule type="cellIs" dxfId="4" priority="5" operator="equal">
      <formula>0</formula>
    </cfRule>
  </conditionalFormatting>
  <conditionalFormatting sqref="M7">
    <cfRule type="cellIs" dxfId="3" priority="4" operator="equal">
      <formula>0</formula>
    </cfRule>
  </conditionalFormatting>
  <conditionalFormatting sqref="N7">
    <cfRule type="cellIs" dxfId="2" priority="3" operator="equal">
      <formula>0</formula>
    </cfRule>
  </conditionalFormatting>
  <conditionalFormatting sqref="O7">
    <cfRule type="cellIs" dxfId="1" priority="2" operator="equal">
      <formula>0</formula>
    </cfRule>
  </conditionalFormatting>
  <conditionalFormatting sqref="L3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Нормы</vt:lpstr>
      <vt:lpstr>0,66 кВ, фасонные жилы</vt:lpstr>
      <vt:lpstr>1 кВ, круглые жилы</vt:lpstr>
      <vt:lpstr>1 кВ, фасонные жилы</vt:lpstr>
      <vt:lpstr>3 кВ, круглые жилы</vt:lpstr>
      <vt:lpstr>3 кВ, фасонные жилы</vt:lpstr>
      <vt:lpstr>Данные ТНПА</vt:lpstr>
      <vt:lpstr>Лист1</vt:lpstr>
      <vt:lpstr>ПластикатИзоляции</vt:lpstr>
      <vt:lpstr>ТипОболочки</vt:lpstr>
    </vt:vector>
  </TitlesOfParts>
  <Company>Энергокомплект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Винокуров Кирилл Александрович</dc:creator>
  <cp:lastModifiedBy>Кирилл</cp:lastModifiedBy>
  <cp:lastPrinted>2011-08-28T08:31:09Z</cp:lastPrinted>
  <dcterms:created xsi:type="dcterms:W3CDTF">2002-03-24T06:53:48Z</dcterms:created>
  <dcterms:modified xsi:type="dcterms:W3CDTF">2020-03-14T21:11:14Z</dcterms:modified>
</cp:coreProperties>
</file>